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O:\QUOTATIONS\QUOTATIONS-UNDERWORK\Kolin İnşaat - Filyos Limanı Duba Kiralama\Tahkimat Teklifi\"/>
    </mc:Choice>
  </mc:AlternateContent>
  <bookViews>
    <workbookView xWindow="0" yWindow="0" windowWidth="12288" windowHeight="5832" tabRatio="801" firstSheet="4" activeTab="10"/>
  </bookViews>
  <sheets>
    <sheet name="schedule_ARAS" sheetId="14" r:id="rId1"/>
    <sheet name="Machinery Deployment Chart" sheetId="3" r:id="rId2"/>
    <sheet name="Manpower Histogram" sheetId="4" r:id="rId3"/>
    <sheet name="Mobilization" sheetId="5" r:id="rId4"/>
    <sheet name="MACHINERY &amp; EQUIPMENT COST" sheetId="6" r:id="rId5"/>
    <sheet name="PERSONNEL COST" sheetId="7" r:id="rId6"/>
    <sheet name="MATERIAL_ARAS" sheetId="8" r:id="rId7"/>
    <sheet name="SUBCONTRACTOR_ARAS" sheetId="9" r:id="rId8"/>
    <sheet name="INDIRECT COST" sheetId="10" r:id="rId9"/>
    <sheet name="On-cost Coefficient " sheetId="11" r:id="rId10"/>
    <sheet name="COST SUMMARY" sheetId="12" r:id="rId11"/>
  </sheets>
  <externalReferences>
    <externalReference r:id="rId12"/>
    <externalReference r:id="rId13"/>
    <externalReference r:id="rId14"/>
    <externalReference r:id="rId15"/>
  </externalReferences>
  <definedNames>
    <definedName name="__123Graph_A" hidden="1">'[1]Rate Analysis'!#REF!</definedName>
    <definedName name="__123Graph_B" hidden="1">'[1]Rate Analysis'!#REF!</definedName>
    <definedName name="__123Graph_C" hidden="1">'[1]Rate Analysis'!#REF!</definedName>
    <definedName name="__123Graph_D" hidden="1">'[1]Rate Analysis'!#REF!</definedName>
    <definedName name="__123Graph_E" hidden="1">'[1]Rate Analysis'!#REF!</definedName>
    <definedName name="__123Graph_F" hidden="1">'[1]Rate Analysis'!#REF!</definedName>
    <definedName name="__123Graph_X" hidden="1">'[1]Rate Analysis'!#REF!</definedName>
    <definedName name="_Fill" hidden="1">[2]산근!#REF!</definedName>
    <definedName name="_Key1" hidden="1">#REF!</definedName>
    <definedName name="_Key2" hidden="1">[3]PROCURE!#REF!</definedName>
    <definedName name="_kfkf" hidden="1">#REF!</definedName>
    <definedName name="_Order1" hidden="1">255</definedName>
    <definedName name="_Order2" hidden="1">255</definedName>
    <definedName name="_Parse_Out" hidden="1">[2]갑지!#REF!</definedName>
    <definedName name="_Regression_Int" hidden="1">1</definedName>
    <definedName name="_Sort" hidden="1">#REF!</definedName>
    <definedName name="_xlnm._FilterDatabase" localSheetId="0" hidden="1">schedule_ARAS!$B$5:$FA$79</definedName>
    <definedName name="_xlnm._FilterDatabase" hidden="1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AccessDatabase" hidden="1">"C:\posec\DATABASE\vlv_list\vlvlist1.mdb"</definedName>
    <definedName name="dataww" hidden="1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ktf" hidden="1">#REF!</definedName>
    <definedName name="kty" hidden="1">#REF!</definedName>
    <definedName name="ODH" hidden="1">#REF!</definedName>
    <definedName name="SDSD" hidden="1">#REF!</definedName>
    <definedName name="SDSDS" hidden="1">#REF!</definedName>
    <definedName name="shutt" hidden="1">#REF!</definedName>
    <definedName name="sum" hidden="1">#REF!</definedName>
    <definedName name="WAASD" hidden="1">#REF!</definedName>
    <definedName name="wrn.2번." hidden="1">{#N/A,#N/A,FALSE,"2~8번"}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x" hidden="1">{#N/A,#N/A,FALSE,"운반시간"}</definedName>
    <definedName name="_xlnm.Print_Area" localSheetId="10">'COST SUMMARY'!$A$1:$D$25</definedName>
    <definedName name="_xlnm.Print_Area" localSheetId="8">'INDIRECT COST'!$A$1:$F$20</definedName>
    <definedName name="_xlnm.Print_Area" localSheetId="4">'MACHINERY &amp; EQUIPMENT COST'!$A$1:$M$34</definedName>
    <definedName name="_xlnm.Print_Area" localSheetId="1">'Machinery Deployment Chart'!$B$1:$ES$65</definedName>
    <definedName name="_xlnm.Print_Area" localSheetId="2">'Manpower Histogram'!$B$1:$EU$71</definedName>
    <definedName name="_xlnm.Print_Area" localSheetId="6">MATERIAL_ARAS!$A$1:$F$20</definedName>
    <definedName name="_xlnm.Print_Area" localSheetId="3">Mobilization!$A$1:$D$33</definedName>
    <definedName name="_xlnm.Print_Area" localSheetId="9">'On-cost Coefficient '!$A$1:$F$28</definedName>
    <definedName name="_xlnm.Print_Area" localSheetId="5">'PERSONNEL COST'!$A$1:$I$38</definedName>
    <definedName name="_xlnm.Print_Area" localSheetId="0">schedule_ARAS!$B$1:$EV$79</definedName>
    <definedName name="_xlnm.Print_Area" localSheetId="7">SUBCONTRACTOR_ARAS!$A$1:$F$15</definedName>
    <definedName name="견적조건" hidden="1">[4]산근!#REF!</definedName>
    <definedName name="ㄴㅁㄹㅈㄹ" hidden="1">#REF!</definedName>
    <definedName name="ㄷㅎㄹㅇ" hidden="1">#REF!</definedName>
    <definedName name="부대공사" hidden="1">#REF!</definedName>
    <definedName name="ㅠ뮤ㅐ" hidden="1">#REF!</definedName>
    <definedName name="찰샇기" hidden="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61" i="14" l="1"/>
  <c r="AH61" i="14"/>
  <c r="AI61" i="14"/>
  <c r="AJ61" i="14"/>
  <c r="AG62" i="14"/>
  <c r="AH62" i="14"/>
  <c r="AI62" i="14"/>
  <c r="AJ62" i="14"/>
  <c r="AG63" i="14"/>
  <c r="AH63" i="14"/>
  <c r="AI63" i="14"/>
  <c r="AJ63" i="14"/>
  <c r="AG64" i="14"/>
  <c r="AH64" i="14"/>
  <c r="AI64" i="14"/>
  <c r="AJ64" i="14"/>
  <c r="AG65" i="14"/>
  <c r="AH65" i="14"/>
  <c r="AI65" i="14"/>
  <c r="AJ65" i="14"/>
  <c r="AG66" i="14"/>
  <c r="AH66" i="14"/>
  <c r="AI66" i="14"/>
  <c r="AJ66" i="14"/>
  <c r="AG67" i="14"/>
  <c r="AH67" i="14"/>
  <c r="AI67" i="14"/>
  <c r="AJ67" i="14"/>
  <c r="AG68" i="14"/>
  <c r="AH68" i="14"/>
  <c r="AI68" i="14"/>
  <c r="AJ68" i="14"/>
  <c r="AG69" i="14"/>
  <c r="AH69" i="14"/>
  <c r="AI69" i="14"/>
  <c r="AJ69" i="14"/>
  <c r="AG70" i="14"/>
  <c r="AH70" i="14"/>
  <c r="AI70" i="14"/>
  <c r="AJ70" i="14"/>
  <c r="AG71" i="14"/>
  <c r="AH71" i="14"/>
  <c r="AI71" i="14"/>
  <c r="AJ71" i="14"/>
  <c r="AG72" i="14"/>
  <c r="AH72" i="14"/>
  <c r="AI72" i="14"/>
  <c r="AJ72" i="14"/>
  <c r="AG73" i="14"/>
  <c r="AH73" i="14"/>
  <c r="AI73" i="14"/>
  <c r="AJ73" i="14"/>
  <c r="AJ60" i="14"/>
  <c r="AI60" i="14"/>
  <c r="AH60" i="14"/>
  <c r="AG60" i="14"/>
  <c r="AG56" i="14"/>
  <c r="AH56" i="14"/>
  <c r="AI56" i="14"/>
  <c r="AJ56" i="14"/>
  <c r="AG57" i="14"/>
  <c r="AH57" i="14"/>
  <c r="AI57" i="14"/>
  <c r="AJ57" i="14"/>
  <c r="AJ55" i="14"/>
  <c r="AI55" i="14"/>
  <c r="AH55" i="14"/>
  <c r="AG55" i="14"/>
  <c r="AG44" i="14"/>
  <c r="AH44" i="14"/>
  <c r="AI44" i="14"/>
  <c r="AJ44" i="14"/>
  <c r="AG45" i="14"/>
  <c r="AH45" i="14"/>
  <c r="AI45" i="14"/>
  <c r="AJ45" i="14"/>
  <c r="AG46" i="14"/>
  <c r="AH46" i="14"/>
  <c r="AI46" i="14"/>
  <c r="AJ46" i="14"/>
  <c r="AG47" i="14"/>
  <c r="AH47" i="14"/>
  <c r="AI47" i="14"/>
  <c r="AJ47" i="14"/>
  <c r="AG48" i="14"/>
  <c r="AH48" i="14"/>
  <c r="AI48" i="14"/>
  <c r="AJ48" i="14"/>
  <c r="AG49" i="14"/>
  <c r="AH49" i="14"/>
  <c r="AI49" i="14"/>
  <c r="AJ49" i="14"/>
  <c r="AJ43" i="14"/>
  <c r="AI43" i="14"/>
  <c r="AH43" i="14"/>
  <c r="AG43" i="14"/>
  <c r="AG13" i="14"/>
  <c r="AH13" i="14"/>
  <c r="AI13" i="14"/>
  <c r="AJ13" i="14"/>
  <c r="AG14" i="14"/>
  <c r="AH14" i="14"/>
  <c r="AI14" i="14"/>
  <c r="AJ14" i="14"/>
  <c r="AG15" i="14"/>
  <c r="AH15" i="14"/>
  <c r="AI15" i="14"/>
  <c r="AJ15" i="14"/>
  <c r="AG16" i="14"/>
  <c r="AH16" i="14"/>
  <c r="AI16" i="14"/>
  <c r="AJ16" i="14"/>
  <c r="AG17" i="14"/>
  <c r="AH17" i="14"/>
  <c r="AI17" i="14"/>
  <c r="AJ17" i="14"/>
  <c r="AG18" i="14"/>
  <c r="AH18" i="14"/>
  <c r="AI18" i="14"/>
  <c r="AJ18" i="14"/>
  <c r="AG19" i="14"/>
  <c r="AH19" i="14"/>
  <c r="AI19" i="14"/>
  <c r="AJ19" i="14"/>
  <c r="AG20" i="14"/>
  <c r="AH20" i="14"/>
  <c r="AI20" i="14"/>
  <c r="AJ20" i="14"/>
  <c r="AG21" i="14"/>
  <c r="AH21" i="14"/>
  <c r="AI21" i="14"/>
  <c r="AJ21" i="14"/>
  <c r="AG22" i="14"/>
  <c r="AH22" i="14"/>
  <c r="AI22" i="14"/>
  <c r="AJ22" i="14"/>
  <c r="AG23" i="14"/>
  <c r="AH23" i="14"/>
  <c r="AI23" i="14"/>
  <c r="AJ23" i="14"/>
  <c r="AG24" i="14"/>
  <c r="AH24" i="14"/>
  <c r="AI24" i="14"/>
  <c r="AJ24" i="14"/>
  <c r="AG25" i="14"/>
  <c r="AH25" i="14"/>
  <c r="AI25" i="14"/>
  <c r="AJ25" i="14"/>
  <c r="AG26" i="14"/>
  <c r="AH26" i="14"/>
  <c r="AI26" i="14"/>
  <c r="AJ26" i="14"/>
  <c r="AG27" i="14"/>
  <c r="AH27" i="14"/>
  <c r="AI27" i="14"/>
  <c r="AJ27" i="14"/>
  <c r="AG28" i="14"/>
  <c r="AH28" i="14"/>
  <c r="AI28" i="14"/>
  <c r="AJ28" i="14"/>
  <c r="AG29" i="14"/>
  <c r="AH29" i="14"/>
  <c r="AI29" i="14"/>
  <c r="AJ29" i="14"/>
  <c r="AG30" i="14"/>
  <c r="AH30" i="14"/>
  <c r="AI30" i="14"/>
  <c r="AJ30" i="14"/>
  <c r="AG31" i="14"/>
  <c r="AH31" i="14"/>
  <c r="AI31" i="14"/>
  <c r="AJ31" i="14"/>
  <c r="AG32" i="14"/>
  <c r="AH32" i="14"/>
  <c r="AI32" i="14"/>
  <c r="AJ32" i="14"/>
  <c r="AG33" i="14"/>
  <c r="AH33" i="14"/>
  <c r="AI33" i="14"/>
  <c r="AJ33" i="14"/>
  <c r="AG34" i="14"/>
  <c r="AH34" i="14"/>
  <c r="AI34" i="14"/>
  <c r="AJ34" i="14"/>
  <c r="AG35" i="14"/>
  <c r="AH35" i="14"/>
  <c r="AI35" i="14"/>
  <c r="AJ35" i="14"/>
  <c r="AG36" i="14"/>
  <c r="AH36" i="14"/>
  <c r="AI36" i="14"/>
  <c r="AJ36" i="14"/>
  <c r="AJ12" i="14"/>
  <c r="AI12" i="14"/>
  <c r="AH12" i="14"/>
  <c r="AG12" i="14"/>
  <c r="F20" i="8"/>
  <c r="F8" i="8"/>
  <c r="F9" i="8"/>
  <c r="F10" i="8"/>
  <c r="F11" i="8"/>
  <c r="F12" i="8"/>
  <c r="F13" i="8"/>
  <c r="F14" i="8"/>
  <c r="F15" i="8"/>
  <c r="F7" i="8"/>
  <c r="F6" i="8"/>
  <c r="H22" i="7"/>
  <c r="H23" i="7"/>
  <c r="H24" i="7"/>
  <c r="H25" i="7"/>
  <c r="H26" i="7"/>
  <c r="H27" i="7"/>
  <c r="H28" i="7"/>
  <c r="H29" i="7"/>
  <c r="H30" i="7"/>
  <c r="H31" i="7"/>
  <c r="H32" i="7"/>
  <c r="H33" i="7"/>
  <c r="H12" i="7"/>
  <c r="EV30" i="4"/>
  <c r="EV29" i="4"/>
  <c r="EV28" i="4"/>
  <c r="EV27" i="4"/>
  <c r="EV26" i="4"/>
  <c r="EV25" i="4"/>
  <c r="EV24" i="4"/>
  <c r="EV23" i="4"/>
  <c r="EV22" i="4"/>
  <c r="EV21" i="4"/>
  <c r="EV20" i="4"/>
  <c r="EV19" i="4"/>
  <c r="EV18" i="4"/>
  <c r="EV13" i="4"/>
  <c r="A22" i="7"/>
  <c r="A23" i="7"/>
  <c r="A24" i="7"/>
  <c r="A25" i="7"/>
  <c r="A26" i="7"/>
  <c r="A27" i="7"/>
  <c r="A28" i="7"/>
  <c r="A29" i="7"/>
  <c r="A30" i="7"/>
  <c r="A31" i="7"/>
  <c r="A32" i="7"/>
  <c r="A33" i="7"/>
  <c r="A21" i="7"/>
  <c r="A20" i="7"/>
  <c r="A8" i="7"/>
  <c r="A9" i="7"/>
  <c r="A10" i="7"/>
  <c r="A11" i="7"/>
  <c r="A12" i="7"/>
  <c r="A7" i="7"/>
  <c r="A6" i="7"/>
  <c r="I24" i="6"/>
  <c r="I23" i="6"/>
  <c r="J23" i="6"/>
  <c r="J18" i="6"/>
  <c r="J19" i="6"/>
  <c r="J20" i="6"/>
  <c r="J21" i="6"/>
  <c r="J22" i="6"/>
  <c r="J10" i="6"/>
  <c r="J11" i="6"/>
  <c r="J12" i="6"/>
  <c r="J13" i="6"/>
  <c r="J14" i="6"/>
  <c r="J15" i="6"/>
  <c r="J16" i="6"/>
  <c r="J17" i="6"/>
  <c r="I18" i="6"/>
  <c r="I20" i="6"/>
  <c r="I22" i="6"/>
  <c r="I10" i="6"/>
  <c r="I11" i="6"/>
  <c r="I12" i="6"/>
  <c r="I13" i="6"/>
  <c r="I14" i="6"/>
  <c r="I15" i="6"/>
  <c r="I16" i="6"/>
  <c r="I17" i="6"/>
  <c r="I9" i="6"/>
  <c r="I6" i="6"/>
  <c r="I5" i="6"/>
  <c r="J9" i="6"/>
  <c r="J8" i="6"/>
  <c r="J7" i="6"/>
  <c r="J6" i="6"/>
  <c r="J5" i="6"/>
  <c r="Q4" i="6"/>
  <c r="Q3" i="6" l="1"/>
  <c r="B24" i="6"/>
  <c r="B23" i="6"/>
  <c r="AD26" i="3"/>
  <c r="AE26" i="3"/>
  <c r="AF26" i="3"/>
  <c r="AG26" i="3"/>
  <c r="AH26" i="3"/>
  <c r="AI26" i="3"/>
  <c r="AJ26" i="3"/>
  <c r="AK26" i="3"/>
  <c r="AD27" i="3"/>
  <c r="AE27" i="3"/>
  <c r="AF27" i="3"/>
  <c r="AG27" i="3"/>
  <c r="AH27" i="3"/>
  <c r="AI27" i="3"/>
  <c r="AJ27" i="3"/>
  <c r="AK27" i="3"/>
  <c r="AO27" i="3"/>
  <c r="AR27" i="3" s="1"/>
  <c r="AP27" i="3"/>
  <c r="AQ27" i="3"/>
  <c r="E27" i="3"/>
  <c r="E26" i="3"/>
  <c r="C26" i="3"/>
  <c r="C27" i="3"/>
  <c r="EY30" i="14"/>
  <c r="EY31" i="14"/>
  <c r="AK31" i="14"/>
  <c r="BQ31" i="14"/>
  <c r="CY31" i="14" s="1"/>
  <c r="CW31" i="14"/>
  <c r="EC31" i="14"/>
  <c r="ED31" i="14"/>
  <c r="EE31" i="14"/>
  <c r="EF31" i="14"/>
  <c r="CX31" i="14"/>
  <c r="CZ31" i="14"/>
  <c r="BR31" i="14"/>
  <c r="BS31" i="14"/>
  <c r="BT31" i="14"/>
  <c r="AL31" i="14"/>
  <c r="AM31" i="14"/>
  <c r="AN31" i="14"/>
  <c r="AO31" i="14"/>
  <c r="BU31" i="14"/>
  <c r="DC31" i="14" s="1"/>
  <c r="DA31" i="14"/>
  <c r="EG31" i="14"/>
  <c r="EH31" i="14"/>
  <c r="EI31" i="14"/>
  <c r="EJ31" i="14"/>
  <c r="DB31" i="14"/>
  <c r="DD31" i="14"/>
  <c r="BV31" i="14"/>
  <c r="BW31" i="14"/>
  <c r="BX31" i="14"/>
  <c r="AP31" i="14"/>
  <c r="AQ31" i="14"/>
  <c r="AR31" i="14"/>
  <c r="AS31" i="14"/>
  <c r="BY31" i="14"/>
  <c r="DG31" i="14" s="1"/>
  <c r="DE31" i="14"/>
  <c r="EK31" i="14"/>
  <c r="EL31" i="14"/>
  <c r="EM31" i="14"/>
  <c r="EN31" i="14"/>
  <c r="DF31" i="14"/>
  <c r="DH31" i="14"/>
  <c r="BZ31" i="14"/>
  <c r="CA31" i="14"/>
  <c r="CB31" i="14"/>
  <c r="AT31" i="14"/>
  <c r="AU31" i="14"/>
  <c r="AV31" i="14"/>
  <c r="AW31" i="14"/>
  <c r="CC31" i="14"/>
  <c r="DK31" i="14" s="1"/>
  <c r="DI31" i="14"/>
  <c r="EO31" i="14"/>
  <c r="EP31" i="14"/>
  <c r="EQ31" i="14"/>
  <c r="ER31" i="14"/>
  <c r="DJ31" i="14"/>
  <c r="DL31" i="14"/>
  <c r="CD31" i="14"/>
  <c r="CE31" i="14"/>
  <c r="CF31" i="14"/>
  <c r="AX31" i="14"/>
  <c r="AY31" i="14"/>
  <c r="AZ31" i="14"/>
  <c r="BA31" i="14"/>
  <c r="CG31" i="14"/>
  <c r="DO31" i="14" s="1"/>
  <c r="DM31" i="14"/>
  <c r="ES31" i="14"/>
  <c r="ET31" i="14"/>
  <c r="EU31" i="14"/>
  <c r="EV31" i="14"/>
  <c r="DN31" i="14"/>
  <c r="DP31" i="14"/>
  <c r="CH31" i="14"/>
  <c r="CI31" i="14"/>
  <c r="CJ31" i="14"/>
  <c r="BB31" i="14"/>
  <c r="BC31" i="14"/>
  <c r="BD31" i="14"/>
  <c r="BE31" i="14"/>
  <c r="CK31" i="14"/>
  <c r="DQ31" i="14"/>
  <c r="DR31" i="14"/>
  <c r="DS31" i="14"/>
  <c r="DT31" i="14"/>
  <c r="CL31" i="14"/>
  <c r="CM31" i="14"/>
  <c r="CN31" i="14"/>
  <c r="BF31" i="14"/>
  <c r="BG31" i="14"/>
  <c r="BH31" i="14"/>
  <c r="BI31" i="14"/>
  <c r="CP31" i="14" s="1"/>
  <c r="CO31" i="14"/>
  <c r="DW31" i="14" s="1"/>
  <c r="DU31" i="14"/>
  <c r="DV31" i="14"/>
  <c r="CR31" i="14"/>
  <c r="BJ31" i="14"/>
  <c r="BK31" i="14"/>
  <c r="BL31" i="14"/>
  <c r="BM31" i="14"/>
  <c r="CS31" i="14"/>
  <c r="DY31" i="14"/>
  <c r="DZ31" i="14"/>
  <c r="EA31" i="14"/>
  <c r="EB31" i="14"/>
  <c r="CT31" i="14"/>
  <c r="CU31" i="14"/>
  <c r="CV31" i="14"/>
  <c r="BN31" i="14"/>
  <c r="BO31" i="14"/>
  <c r="BP31" i="14"/>
  <c r="AK30" i="14"/>
  <c r="BQ30" i="14"/>
  <c r="CY30" i="14" s="1"/>
  <c r="CW30" i="14"/>
  <c r="EC30" i="14"/>
  <c r="ED30" i="14"/>
  <c r="EE30" i="14"/>
  <c r="EF30" i="14"/>
  <c r="CX30" i="14"/>
  <c r="CZ30" i="14"/>
  <c r="BR30" i="14"/>
  <c r="BS30" i="14"/>
  <c r="BT30" i="14"/>
  <c r="AL30" i="14"/>
  <c r="AM30" i="14"/>
  <c r="AN30" i="14"/>
  <c r="AO30" i="14"/>
  <c r="BU30" i="14"/>
  <c r="DC30" i="14" s="1"/>
  <c r="DA30" i="14"/>
  <c r="EG30" i="14"/>
  <c r="EH30" i="14"/>
  <c r="EI30" i="14"/>
  <c r="EJ30" i="14"/>
  <c r="DB30" i="14"/>
  <c r="DD30" i="14"/>
  <c r="BV30" i="14"/>
  <c r="BW30" i="14"/>
  <c r="BX30" i="14"/>
  <c r="AP30" i="14"/>
  <c r="AQ30" i="14"/>
  <c r="AR30" i="14"/>
  <c r="AS30" i="14"/>
  <c r="BY30" i="14"/>
  <c r="DG30" i="14" s="1"/>
  <c r="DE30" i="14"/>
  <c r="EK30" i="14"/>
  <c r="EL30" i="14"/>
  <c r="EM30" i="14"/>
  <c r="EN30" i="14"/>
  <c r="DF30" i="14"/>
  <c r="DH30" i="14"/>
  <c r="BZ30" i="14"/>
  <c r="CA30" i="14"/>
  <c r="CB30" i="14"/>
  <c r="AT30" i="14"/>
  <c r="AU30" i="14"/>
  <c r="AV30" i="14"/>
  <c r="AW30" i="14"/>
  <c r="CC30" i="14"/>
  <c r="DK30" i="14" s="1"/>
  <c r="DI30" i="14"/>
  <c r="EO30" i="14"/>
  <c r="EP30" i="14"/>
  <c r="EQ30" i="14"/>
  <c r="ER30" i="14"/>
  <c r="DJ30" i="14"/>
  <c r="DL30" i="14"/>
  <c r="CD30" i="14"/>
  <c r="CE30" i="14"/>
  <c r="CF30" i="14"/>
  <c r="AX30" i="14"/>
  <c r="AY30" i="14"/>
  <c r="AZ30" i="14"/>
  <c r="BA30" i="14"/>
  <c r="CG30" i="14"/>
  <c r="DO30" i="14" s="1"/>
  <c r="DM30" i="14"/>
  <c r="ES30" i="14"/>
  <c r="ET30" i="14"/>
  <c r="EU30" i="14"/>
  <c r="EV30" i="14"/>
  <c r="DN30" i="14"/>
  <c r="DP30" i="14"/>
  <c r="CH30" i="14"/>
  <c r="CI30" i="14"/>
  <c r="CJ30" i="14"/>
  <c r="BB30" i="14"/>
  <c r="BC30" i="14"/>
  <c r="BD30" i="14"/>
  <c r="BE30" i="14"/>
  <c r="CK30" i="14"/>
  <c r="DQ30" i="14"/>
  <c r="DR30" i="14"/>
  <c r="DS30" i="14"/>
  <c r="DT30" i="14"/>
  <c r="CL30" i="14"/>
  <c r="CM30" i="14"/>
  <c r="CN30" i="14"/>
  <c r="BF30" i="14"/>
  <c r="BG30" i="14"/>
  <c r="BH30" i="14"/>
  <c r="BI30" i="14"/>
  <c r="CP30" i="14" s="1"/>
  <c r="CO30" i="14"/>
  <c r="DW30" i="14" s="1"/>
  <c r="DU30" i="14"/>
  <c r="DV30" i="14"/>
  <c r="CR30" i="14"/>
  <c r="BJ30" i="14"/>
  <c r="BK30" i="14"/>
  <c r="BL30" i="14"/>
  <c r="BM30" i="14"/>
  <c r="CS30" i="14"/>
  <c r="DY30" i="14"/>
  <c r="DZ30" i="14"/>
  <c r="EA30" i="14"/>
  <c r="EB30" i="14"/>
  <c r="CT30" i="14"/>
  <c r="CU30" i="14"/>
  <c r="CV30" i="14"/>
  <c r="BN30" i="14"/>
  <c r="BO30" i="14"/>
  <c r="BP30" i="14"/>
  <c r="ET43" i="3"/>
  <c r="C32" i="6" s="1"/>
  <c r="E32" i="6" s="1"/>
  <c r="ET22" i="3"/>
  <c r="C19" i="6" s="1"/>
  <c r="E19" i="6" s="1"/>
  <c r="ET23" i="3"/>
  <c r="C20" i="6" s="1"/>
  <c r="E20" i="6" s="1"/>
  <c r="ET30" i="3"/>
  <c r="C27" i="6" s="1"/>
  <c r="E27" i="6" s="1"/>
  <c r="F27" i="6" s="1"/>
  <c r="E50" i="14"/>
  <c r="EW73" i="14"/>
  <c r="EW72" i="14"/>
  <c r="EW71" i="14"/>
  <c r="EW70" i="14"/>
  <c r="EW69" i="14"/>
  <c r="EW68" i="14"/>
  <c r="EW67" i="14"/>
  <c r="EW66" i="14"/>
  <c r="EW65" i="14"/>
  <c r="EW64" i="14"/>
  <c r="EW63" i="14"/>
  <c r="EW62" i="14"/>
  <c r="EW61" i="14"/>
  <c r="EW60" i="14"/>
  <c r="EW57" i="14"/>
  <c r="EW56" i="14"/>
  <c r="ET42" i="3" s="1"/>
  <c r="C31" i="6" s="1"/>
  <c r="E31" i="6" s="1"/>
  <c r="EW55" i="14"/>
  <c r="ET41" i="3" s="1"/>
  <c r="C30" i="6" s="1"/>
  <c r="E30" i="6" s="1"/>
  <c r="EZ32" i="14"/>
  <c r="EU28" i="3" s="1"/>
  <c r="G26" i="6" s="1"/>
  <c r="EZ33" i="14"/>
  <c r="EU29" i="3" s="1"/>
  <c r="G27" i="6" s="1"/>
  <c r="EY18" i="14"/>
  <c r="EY19" i="14"/>
  <c r="EY20" i="14"/>
  <c r="EY21" i="14"/>
  <c r="EY22" i="14"/>
  <c r="EY23" i="14"/>
  <c r="EY24" i="14"/>
  <c r="EY25" i="14"/>
  <c r="EY26" i="14"/>
  <c r="EY27" i="14"/>
  <c r="EY28" i="14"/>
  <c r="EY29" i="14"/>
  <c r="EY32" i="14"/>
  <c r="EY33" i="14"/>
  <c r="EY34" i="14"/>
  <c r="EY35" i="14"/>
  <c r="EY36" i="14"/>
  <c r="EY13" i="14"/>
  <c r="EW18" i="14"/>
  <c r="EZ18" i="14" s="1"/>
  <c r="EU14" i="3" s="1"/>
  <c r="G11" i="6" s="1"/>
  <c r="EW19" i="14"/>
  <c r="EZ19" i="14" s="1"/>
  <c r="EU15" i="3" s="1"/>
  <c r="G12" i="6" s="1"/>
  <c r="EW20" i="14"/>
  <c r="ET16" i="3" s="1"/>
  <c r="C13" i="6" s="1"/>
  <c r="EW21" i="14"/>
  <c r="EZ21" i="14" s="1"/>
  <c r="EU17" i="3" s="1"/>
  <c r="G14" i="6" s="1"/>
  <c r="EW22" i="14"/>
  <c r="ET18" i="3" s="1"/>
  <c r="C15" i="6" s="1"/>
  <c r="EW23" i="14"/>
  <c r="FA23" i="14" s="1"/>
  <c r="EV19" i="3" s="1"/>
  <c r="H16" i="6" s="1"/>
  <c r="EW24" i="14"/>
  <c r="EZ24" i="14" s="1"/>
  <c r="EU20" i="3" s="1"/>
  <c r="G17" i="6" s="1"/>
  <c r="EW25" i="14"/>
  <c r="ET21" i="3" s="1"/>
  <c r="C18" i="6" s="1"/>
  <c r="E18" i="6" s="1"/>
  <c r="EW26" i="14"/>
  <c r="EZ26" i="14" s="1"/>
  <c r="EU22" i="3" s="1"/>
  <c r="G19" i="6" s="1"/>
  <c r="EW27" i="14"/>
  <c r="EZ27" i="14" s="1"/>
  <c r="EU23" i="3" s="1"/>
  <c r="G20" i="6" s="1"/>
  <c r="EW28" i="14"/>
  <c r="ET24" i="3" s="1"/>
  <c r="C21" i="6" s="1"/>
  <c r="E21" i="6" s="1"/>
  <c r="EW29" i="14"/>
  <c r="ET25" i="3" s="1"/>
  <c r="C22" i="6" s="1"/>
  <c r="E22" i="6" s="1"/>
  <c r="EW32" i="14"/>
  <c r="ET28" i="3" s="1"/>
  <c r="C25" i="6" s="1"/>
  <c r="EW33" i="14"/>
  <c r="ET29" i="3" s="1"/>
  <c r="C26" i="6" s="1"/>
  <c r="E26" i="6" s="1"/>
  <c r="EW34" i="14"/>
  <c r="EZ34" i="14" s="1"/>
  <c r="EU30" i="3" s="1"/>
  <c r="G28" i="6" s="1"/>
  <c r="EW35" i="14"/>
  <c r="ET31" i="3" s="1"/>
  <c r="C28" i="6" s="1"/>
  <c r="E28" i="6" s="1"/>
  <c r="EW36" i="14"/>
  <c r="EZ36" i="14" s="1"/>
  <c r="EU32" i="3" s="1"/>
  <c r="EW17" i="14"/>
  <c r="ET13" i="3" s="1"/>
  <c r="C10" i="6" s="1"/>
  <c r="EW16" i="14"/>
  <c r="ET12" i="3" s="1"/>
  <c r="C9" i="6" s="1"/>
  <c r="EW15" i="14"/>
  <c r="ET11" i="3" s="1"/>
  <c r="C8" i="6" s="1"/>
  <c r="EW14" i="14"/>
  <c r="ET10" i="3" s="1"/>
  <c r="C7" i="6" s="1"/>
  <c r="EW13" i="14"/>
  <c r="FA13" i="14" s="1"/>
  <c r="EV9" i="3" s="1"/>
  <c r="H6" i="6" s="1"/>
  <c r="EW12" i="14"/>
  <c r="ET8" i="3" s="1"/>
  <c r="C5" i="6" s="1"/>
  <c r="D6" i="5"/>
  <c r="D5" i="5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G14" i="4"/>
  <c r="BH14" i="4"/>
  <c r="BI14" i="4"/>
  <c r="BJ14" i="4"/>
  <c r="BK14" i="4"/>
  <c r="BM14" i="4"/>
  <c r="BP14" i="4"/>
  <c r="BQ14" i="4"/>
  <c r="CJ14" i="4" s="1"/>
  <c r="BR14" i="4"/>
  <c r="BS14" i="4"/>
  <c r="BU14" i="4"/>
  <c r="BV14" i="4"/>
  <c r="CE14" i="4"/>
  <c r="CH14" i="4"/>
  <c r="CI14" i="4"/>
  <c r="AF15" i="4"/>
  <c r="AG15" i="4"/>
  <c r="AZ15" i="4" s="1"/>
  <c r="AH15" i="4"/>
  <c r="AI15" i="4"/>
  <c r="AJ15" i="4"/>
  <c r="AK15" i="4"/>
  <c r="AL15" i="4"/>
  <c r="AM15" i="4"/>
  <c r="AN15" i="4"/>
  <c r="AO15" i="4"/>
  <c r="BI15" i="4" s="1"/>
  <c r="AP15" i="4"/>
  <c r="AQ15" i="4"/>
  <c r="AR15" i="4"/>
  <c r="AS15" i="4"/>
  <c r="AT15" i="4"/>
  <c r="AU15" i="4"/>
  <c r="AV15" i="4"/>
  <c r="AW15" i="4"/>
  <c r="BQ15" i="4" s="1"/>
  <c r="AX15" i="4"/>
  <c r="AY15" i="4"/>
  <c r="BA15" i="4"/>
  <c r="BW15" i="4" s="1"/>
  <c r="BB15" i="4"/>
  <c r="BC15" i="4"/>
  <c r="BH15" i="4"/>
  <c r="BJ15" i="4"/>
  <c r="BK15" i="4"/>
  <c r="BP15" i="4"/>
  <c r="BR15" i="4"/>
  <c r="BS15" i="4"/>
  <c r="CB15" i="4"/>
  <c r="CC15" i="4"/>
  <c r="CD15" i="4"/>
  <c r="CE15" i="4"/>
  <c r="CJ15" i="4"/>
  <c r="CK15" i="4"/>
  <c r="DQ15" i="4" s="1"/>
  <c r="CL15" i="4"/>
  <c r="CM15" i="4"/>
  <c r="CV15" i="4"/>
  <c r="CX15" i="4"/>
  <c r="DP15" i="4"/>
  <c r="AI10" i="3"/>
  <c r="AG16" i="3"/>
  <c r="AH16" i="3" s="1"/>
  <c r="AD28" i="3"/>
  <c r="P9" i="3"/>
  <c r="Q9" i="3"/>
  <c r="R9" i="3"/>
  <c r="U9" i="3"/>
  <c r="P11" i="3"/>
  <c r="Q11" i="3"/>
  <c r="R11" i="3"/>
  <c r="U11" i="3"/>
  <c r="P13" i="3"/>
  <c r="Q13" i="3"/>
  <c r="R13" i="3"/>
  <c r="U13" i="3"/>
  <c r="Q14" i="3"/>
  <c r="U14" i="3" s="1"/>
  <c r="T14" i="3"/>
  <c r="P15" i="3"/>
  <c r="Q16" i="3"/>
  <c r="R16" i="3"/>
  <c r="S16" i="3"/>
  <c r="P17" i="3"/>
  <c r="Q17" i="3"/>
  <c r="Q18" i="3"/>
  <c r="P19" i="3"/>
  <c r="P23" i="3"/>
  <c r="Q23" i="3"/>
  <c r="R23" i="3"/>
  <c r="U23" i="3"/>
  <c r="X23" i="3"/>
  <c r="Y23" i="3"/>
  <c r="P25" i="3"/>
  <c r="Q25" i="3"/>
  <c r="R25" i="3" s="1"/>
  <c r="O29" i="3"/>
  <c r="O30" i="3"/>
  <c r="O31" i="3"/>
  <c r="E10" i="3"/>
  <c r="AG10" i="3" s="1"/>
  <c r="E11" i="3"/>
  <c r="E12" i="3"/>
  <c r="AD12" i="3" s="1"/>
  <c r="E13" i="3"/>
  <c r="AG13" i="3" s="1"/>
  <c r="AI13" i="3" s="1"/>
  <c r="E14" i="3"/>
  <c r="AD14" i="3" s="1"/>
  <c r="E15" i="3"/>
  <c r="AF15" i="3" s="1"/>
  <c r="E16" i="3"/>
  <c r="AE16" i="3" s="1"/>
  <c r="E17" i="3"/>
  <c r="AE17" i="3" s="1"/>
  <c r="E18" i="3"/>
  <c r="AG18" i="3" s="1"/>
  <c r="AJ18" i="3" s="1"/>
  <c r="E19" i="3"/>
  <c r="AF19" i="3" s="1"/>
  <c r="E20" i="3"/>
  <c r="AE20" i="3" s="1"/>
  <c r="E21" i="3"/>
  <c r="AE21" i="3" s="1"/>
  <c r="E22" i="3"/>
  <c r="AD22" i="3" s="1"/>
  <c r="E23" i="3"/>
  <c r="AD23" i="3" s="1"/>
  <c r="E24" i="3"/>
  <c r="AG24" i="3" s="1"/>
  <c r="AI24" i="3" s="1"/>
  <c r="E25" i="3"/>
  <c r="AD25" i="3" s="1"/>
  <c r="E28" i="3"/>
  <c r="AE28" i="3" s="1"/>
  <c r="E29" i="3"/>
  <c r="AD29" i="3" s="1"/>
  <c r="E30" i="3"/>
  <c r="AD30" i="3" s="1"/>
  <c r="E31" i="3"/>
  <c r="AG31" i="3" s="1"/>
  <c r="AH31" i="3" s="1"/>
  <c r="E32" i="3"/>
  <c r="AD32" i="3" s="1"/>
  <c r="E9" i="3"/>
  <c r="AG9" i="3" s="1"/>
  <c r="AK9" i="3" s="1"/>
  <c r="E8" i="3"/>
  <c r="AG8" i="3" s="1"/>
  <c r="C32" i="3"/>
  <c r="B29" i="6" s="1"/>
  <c r="C25" i="3"/>
  <c r="B22" i="6" s="1"/>
  <c r="C28" i="3"/>
  <c r="B25" i="6" s="1"/>
  <c r="C29" i="3"/>
  <c r="B26" i="6" s="1"/>
  <c r="C30" i="3"/>
  <c r="B27" i="6" s="1"/>
  <c r="C31" i="3"/>
  <c r="B28" i="6" s="1"/>
  <c r="C24" i="3"/>
  <c r="B21" i="6" s="1"/>
  <c r="C14" i="3"/>
  <c r="B11" i="6" s="1"/>
  <c r="C15" i="3"/>
  <c r="B12" i="6" s="1"/>
  <c r="C16" i="3"/>
  <c r="B13" i="6" s="1"/>
  <c r="C17" i="3"/>
  <c r="B14" i="6" s="1"/>
  <c r="C18" i="3"/>
  <c r="B15" i="6" s="1"/>
  <c r="C19" i="3"/>
  <c r="B16" i="6" s="1"/>
  <c r="C20" i="3"/>
  <c r="B17" i="6" s="1"/>
  <c r="C21" i="3"/>
  <c r="B18" i="6" s="1"/>
  <c r="C22" i="3"/>
  <c r="B19" i="6" s="1"/>
  <c r="C23" i="3"/>
  <c r="B20" i="6" s="1"/>
  <c r="C13" i="3"/>
  <c r="B10" i="6" s="1"/>
  <c r="C12" i="3"/>
  <c r="B9" i="6" s="1"/>
  <c r="C11" i="3"/>
  <c r="B8" i="6" s="1"/>
  <c r="C10" i="3"/>
  <c r="B7" i="6" s="1"/>
  <c r="C9" i="3"/>
  <c r="B6" i="6" s="1"/>
  <c r="C8" i="3"/>
  <c r="B5" i="6" s="1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O61" i="14"/>
  <c r="BP61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O62" i="14"/>
  <c r="BP62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O63" i="14"/>
  <c r="BP63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G64" i="14"/>
  <c r="BH64" i="14"/>
  <c r="BI64" i="14"/>
  <c r="BJ64" i="14"/>
  <c r="BK64" i="14"/>
  <c r="BL64" i="14"/>
  <c r="BM64" i="14"/>
  <c r="BN64" i="14"/>
  <c r="BO64" i="14"/>
  <c r="BP64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G65" i="14"/>
  <c r="BH65" i="14"/>
  <c r="BI65" i="14"/>
  <c r="BJ65" i="14"/>
  <c r="BK65" i="14"/>
  <c r="BL65" i="14"/>
  <c r="BM65" i="14"/>
  <c r="BN65" i="14"/>
  <c r="BO65" i="14"/>
  <c r="BP65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G66" i="14"/>
  <c r="BH66" i="14"/>
  <c r="BI66" i="14"/>
  <c r="BJ66" i="14"/>
  <c r="BK66" i="14"/>
  <c r="BL66" i="14"/>
  <c r="BM66" i="14"/>
  <c r="BN66" i="14"/>
  <c r="BO66" i="14"/>
  <c r="BP66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BI67" i="14"/>
  <c r="BJ67" i="14"/>
  <c r="BK67" i="14"/>
  <c r="BL67" i="14"/>
  <c r="BM67" i="14"/>
  <c r="BN67" i="14"/>
  <c r="BO67" i="14"/>
  <c r="BP67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J68" i="14"/>
  <c r="BK68" i="14"/>
  <c r="BL68" i="14"/>
  <c r="BM68" i="14"/>
  <c r="BN68" i="14"/>
  <c r="BO68" i="14"/>
  <c r="BP68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L69" i="14"/>
  <c r="BM69" i="14"/>
  <c r="BN69" i="14"/>
  <c r="BO69" i="14"/>
  <c r="BP69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L70" i="14"/>
  <c r="BM70" i="14"/>
  <c r="BN70" i="14"/>
  <c r="BO70" i="14"/>
  <c r="BP70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M71" i="14"/>
  <c r="BN71" i="14"/>
  <c r="BO71" i="14"/>
  <c r="BP71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L72" i="14"/>
  <c r="BM72" i="14"/>
  <c r="BN72" i="14"/>
  <c r="BO72" i="14"/>
  <c r="BP72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O73" i="14"/>
  <c r="BP73" i="14"/>
  <c r="BP60" i="14"/>
  <c r="BO60" i="14"/>
  <c r="BN60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BQ60" i="14"/>
  <c r="BR60" i="14"/>
  <c r="BS60" i="14"/>
  <c r="BT60" i="14"/>
  <c r="BU60" i="14"/>
  <c r="BV60" i="14"/>
  <c r="BW60" i="14"/>
  <c r="BX60" i="14"/>
  <c r="BY60" i="14"/>
  <c r="BZ60" i="14"/>
  <c r="CA60" i="14"/>
  <c r="CB60" i="14"/>
  <c r="CC60" i="14"/>
  <c r="CD60" i="14"/>
  <c r="CE60" i="14"/>
  <c r="CF60" i="14"/>
  <c r="CG60" i="14"/>
  <c r="CH60" i="14"/>
  <c r="CI60" i="14"/>
  <c r="CJ60" i="14"/>
  <c r="CK60" i="14"/>
  <c r="CL60" i="14"/>
  <c r="CM60" i="14"/>
  <c r="CN60" i="14"/>
  <c r="CO60" i="14"/>
  <c r="CP60" i="14"/>
  <c r="CQ60" i="14"/>
  <c r="CR60" i="14"/>
  <c r="CS60" i="14"/>
  <c r="CT60" i="14"/>
  <c r="CU60" i="14"/>
  <c r="CV60" i="14"/>
  <c r="CW60" i="14"/>
  <c r="CX60" i="14"/>
  <c r="CY60" i="14"/>
  <c r="CZ60" i="14"/>
  <c r="DA60" i="14"/>
  <c r="DB60" i="14"/>
  <c r="DC60" i="14"/>
  <c r="DD60" i="14"/>
  <c r="DE60" i="14"/>
  <c r="DF60" i="14"/>
  <c r="DG60" i="14"/>
  <c r="DH60" i="14"/>
  <c r="DI60" i="14"/>
  <c r="DJ60" i="14"/>
  <c r="DK60" i="14"/>
  <c r="DL60" i="14"/>
  <c r="DM60" i="14"/>
  <c r="DN60" i="14"/>
  <c r="DO60" i="14"/>
  <c r="DP60" i="14"/>
  <c r="DQ60" i="14"/>
  <c r="DR60" i="14"/>
  <c r="DS60" i="14"/>
  <c r="DT60" i="14"/>
  <c r="DU60" i="14"/>
  <c r="DV60" i="14"/>
  <c r="DW60" i="14"/>
  <c r="DX60" i="14"/>
  <c r="DY60" i="14"/>
  <c r="DZ60" i="14"/>
  <c r="EA60" i="14"/>
  <c r="EB60" i="14"/>
  <c r="EC60" i="14"/>
  <c r="ED60" i="14"/>
  <c r="EE60" i="14"/>
  <c r="EF60" i="14"/>
  <c r="EG60" i="14"/>
  <c r="EH60" i="14"/>
  <c r="EI60" i="14"/>
  <c r="EJ60" i="14"/>
  <c r="EK60" i="14"/>
  <c r="EL60" i="14"/>
  <c r="EM60" i="14"/>
  <c r="EN60" i="14"/>
  <c r="EO60" i="14"/>
  <c r="EP60" i="14"/>
  <c r="EQ60" i="14"/>
  <c r="ER60" i="14"/>
  <c r="ES60" i="14"/>
  <c r="ET60" i="14"/>
  <c r="EU60" i="14"/>
  <c r="EV60" i="14"/>
  <c r="CR61" i="14"/>
  <c r="BQ61" i="14"/>
  <c r="BR61" i="14"/>
  <c r="BS61" i="14"/>
  <c r="BT61" i="14"/>
  <c r="BU61" i="14"/>
  <c r="BV61" i="14"/>
  <c r="BW61" i="14"/>
  <c r="BX61" i="14"/>
  <c r="BY61" i="14"/>
  <c r="DF61" i="14" s="1"/>
  <c r="BZ61" i="14"/>
  <c r="CA61" i="14"/>
  <c r="CB61" i="14"/>
  <c r="CJ61" i="14"/>
  <c r="CN61" i="14"/>
  <c r="CO61" i="14"/>
  <c r="DU61" i="14" s="1"/>
  <c r="CP61" i="14"/>
  <c r="CX61" i="14"/>
  <c r="CY61" i="14"/>
  <c r="CZ61" i="14"/>
  <c r="DD61" i="14"/>
  <c r="BQ62" i="14"/>
  <c r="BR62" i="14"/>
  <c r="BS62" i="14"/>
  <c r="BT62" i="14"/>
  <c r="BU62" i="14"/>
  <c r="BV62" i="14"/>
  <c r="BW62" i="14"/>
  <c r="BX62" i="14"/>
  <c r="BY62" i="14"/>
  <c r="DJ62" i="14" s="1"/>
  <c r="BZ62" i="14"/>
  <c r="CA62" i="14"/>
  <c r="CB62" i="14"/>
  <c r="CC62" i="14"/>
  <c r="CD62" i="14"/>
  <c r="CE62" i="14"/>
  <c r="CF62" i="14"/>
  <c r="CG62" i="14"/>
  <c r="DR62" i="14" s="1"/>
  <c r="CH62" i="14"/>
  <c r="CI62" i="14"/>
  <c r="CJ62" i="14"/>
  <c r="CK62" i="14"/>
  <c r="CL62" i="14"/>
  <c r="CM62" i="14"/>
  <c r="CN62" i="14"/>
  <c r="CO62" i="14"/>
  <c r="DZ62" i="14" s="1"/>
  <c r="CP62" i="14"/>
  <c r="CQ62" i="14"/>
  <c r="CR62" i="14"/>
  <c r="CS62" i="14"/>
  <c r="CT62" i="14"/>
  <c r="CU62" i="14"/>
  <c r="CV62" i="14"/>
  <c r="CW62" i="14"/>
  <c r="CX62" i="14"/>
  <c r="CY62" i="14"/>
  <c r="CZ62" i="14"/>
  <c r="DA62" i="14"/>
  <c r="DB62" i="14"/>
  <c r="DC62" i="14"/>
  <c r="DD62" i="14"/>
  <c r="DE62" i="14"/>
  <c r="EP62" i="14" s="1"/>
  <c r="DF62" i="14"/>
  <c r="DG62" i="14"/>
  <c r="DH62" i="14"/>
  <c r="DI62" i="14"/>
  <c r="DM62" i="14"/>
  <c r="DN62" i="14"/>
  <c r="DO62" i="14"/>
  <c r="DP62" i="14"/>
  <c r="DQ62" i="14"/>
  <c r="DU62" i="14"/>
  <c r="DV62" i="14"/>
  <c r="DW62" i="14"/>
  <c r="DX62" i="14"/>
  <c r="DY62" i="14"/>
  <c r="EC62" i="14"/>
  <c r="ED62" i="14"/>
  <c r="EE62" i="14"/>
  <c r="EF62" i="14"/>
  <c r="EG62" i="14"/>
  <c r="EH62" i="14"/>
  <c r="EI62" i="14"/>
  <c r="EJ62" i="14"/>
  <c r="EK62" i="14"/>
  <c r="EL62" i="14"/>
  <c r="EM62" i="14"/>
  <c r="EN62" i="14"/>
  <c r="EO62" i="14"/>
  <c r="ES62" i="14"/>
  <c r="ET62" i="14"/>
  <c r="EU62" i="14"/>
  <c r="EV62" i="14"/>
  <c r="BQ63" i="14"/>
  <c r="BR63" i="14"/>
  <c r="BS63" i="14"/>
  <c r="BT63" i="14"/>
  <c r="BU63" i="14"/>
  <c r="BV63" i="14"/>
  <c r="BW63" i="14"/>
  <c r="BX63" i="14"/>
  <c r="BY63" i="14"/>
  <c r="DE63" i="14" s="1"/>
  <c r="ER63" i="14" s="1"/>
  <c r="BZ63" i="14"/>
  <c r="CA63" i="14"/>
  <c r="CB63" i="14"/>
  <c r="CF63" i="14"/>
  <c r="CG63" i="14"/>
  <c r="CH63" i="14"/>
  <c r="CJ63" i="14"/>
  <c r="CN63" i="14"/>
  <c r="CO63" i="14"/>
  <c r="DW63" i="14" s="1"/>
  <c r="CP63" i="14"/>
  <c r="CQ63" i="14"/>
  <c r="CR63" i="14"/>
  <c r="CV63" i="14"/>
  <c r="CX63" i="14"/>
  <c r="CY63" i="14"/>
  <c r="CZ63" i="14"/>
  <c r="DD63" i="14"/>
  <c r="DT63" i="14"/>
  <c r="DU63" i="14"/>
  <c r="EB63" i="14"/>
  <c r="BQ64" i="14"/>
  <c r="BR64" i="14"/>
  <c r="BS64" i="14"/>
  <c r="BT64" i="14"/>
  <c r="BU64" i="14"/>
  <c r="BV64" i="14"/>
  <c r="BW64" i="14"/>
  <c r="BX64" i="14"/>
  <c r="BY64" i="14"/>
  <c r="DL64" i="14" s="1"/>
  <c r="BZ64" i="14"/>
  <c r="CA64" i="14"/>
  <c r="CB64" i="14"/>
  <c r="CC64" i="14"/>
  <c r="CD64" i="14"/>
  <c r="CE64" i="14"/>
  <c r="CF64" i="14"/>
  <c r="CG64" i="14"/>
  <c r="DT64" i="14" s="1"/>
  <c r="CH64" i="14"/>
  <c r="CI64" i="14"/>
  <c r="CJ64" i="14"/>
  <c r="CK64" i="14"/>
  <c r="CL64" i="14"/>
  <c r="CM64" i="14"/>
  <c r="CN64" i="14"/>
  <c r="CO64" i="14"/>
  <c r="EB64" i="14" s="1"/>
  <c r="CP64" i="14"/>
  <c r="CQ64" i="14"/>
  <c r="CR64" i="14"/>
  <c r="CS64" i="14"/>
  <c r="CT64" i="14"/>
  <c r="CU64" i="14"/>
  <c r="CV64" i="14"/>
  <c r="CW64" i="14"/>
  <c r="CX64" i="14"/>
  <c r="CY64" i="14"/>
  <c r="CZ64" i="14"/>
  <c r="DA64" i="14"/>
  <c r="DB64" i="14"/>
  <c r="DC64" i="14"/>
  <c r="DD64" i="14"/>
  <c r="DE64" i="14"/>
  <c r="ER64" i="14" s="1"/>
  <c r="DF64" i="14"/>
  <c r="DG64" i="14"/>
  <c r="DH64" i="14"/>
  <c r="DI64" i="14"/>
  <c r="DJ64" i="14"/>
  <c r="DK64" i="14"/>
  <c r="DM64" i="14"/>
  <c r="DN64" i="14"/>
  <c r="DO64" i="14"/>
  <c r="DP64" i="14"/>
  <c r="DQ64" i="14"/>
  <c r="DR64" i="14"/>
  <c r="DS64" i="14"/>
  <c r="DU64" i="14"/>
  <c r="DV64" i="14"/>
  <c r="DW64" i="14"/>
  <c r="DX64" i="14"/>
  <c r="DY64" i="14"/>
  <c r="DZ64" i="14"/>
  <c r="EA64" i="14"/>
  <c r="EC64" i="14"/>
  <c r="ED64" i="14"/>
  <c r="EE64" i="14"/>
  <c r="EF64" i="14"/>
  <c r="EG64" i="14"/>
  <c r="EH64" i="14"/>
  <c r="EI64" i="14"/>
  <c r="EJ64" i="14"/>
  <c r="EK64" i="14"/>
  <c r="EL64" i="14"/>
  <c r="EM64" i="14"/>
  <c r="EN64" i="14"/>
  <c r="EO64" i="14"/>
  <c r="EP64" i="14"/>
  <c r="EQ64" i="14"/>
  <c r="ES64" i="14"/>
  <c r="ET64" i="14"/>
  <c r="EU64" i="14"/>
  <c r="EV64" i="14"/>
  <c r="CG65" i="14"/>
  <c r="BQ65" i="14"/>
  <c r="DD65" i="14" s="1"/>
  <c r="BR65" i="14"/>
  <c r="BS65" i="14"/>
  <c r="BT65" i="14"/>
  <c r="BU65" i="14"/>
  <c r="BV65" i="14"/>
  <c r="BW65" i="14"/>
  <c r="BX65" i="14"/>
  <c r="BY65" i="14"/>
  <c r="DL65" i="14" s="1"/>
  <c r="BZ65" i="14"/>
  <c r="CJ65" i="14"/>
  <c r="CN65" i="14"/>
  <c r="CX65" i="14"/>
  <c r="CY65" i="14"/>
  <c r="BQ66" i="14"/>
  <c r="BR66" i="14"/>
  <c r="BS66" i="14"/>
  <c r="BT66" i="14"/>
  <c r="BU66" i="14"/>
  <c r="BV66" i="14"/>
  <c r="BW66" i="14"/>
  <c r="BX66" i="14"/>
  <c r="BY66" i="14"/>
  <c r="DH66" i="14" s="1"/>
  <c r="BZ66" i="14"/>
  <c r="CA66" i="14"/>
  <c r="CB66" i="14"/>
  <c r="CC66" i="14"/>
  <c r="CD66" i="14"/>
  <c r="CE66" i="14"/>
  <c r="CF66" i="14"/>
  <c r="CG66" i="14"/>
  <c r="DP66" i="14" s="1"/>
  <c r="CH66" i="14"/>
  <c r="CI66" i="14"/>
  <c r="CJ66" i="14"/>
  <c r="CK66" i="14"/>
  <c r="CL66" i="14"/>
  <c r="CM66" i="14"/>
  <c r="CN66" i="14"/>
  <c r="CO66" i="14"/>
  <c r="DX66" i="14" s="1"/>
  <c r="CP66" i="14"/>
  <c r="CQ66" i="14"/>
  <c r="CR66" i="14"/>
  <c r="CS66" i="14"/>
  <c r="CT66" i="14"/>
  <c r="CU66" i="14"/>
  <c r="CV66" i="14"/>
  <c r="CW66" i="14"/>
  <c r="CX66" i="14"/>
  <c r="CY66" i="14"/>
  <c r="CZ66" i="14"/>
  <c r="DA66" i="14"/>
  <c r="DB66" i="14"/>
  <c r="DC66" i="14"/>
  <c r="DD66" i="14"/>
  <c r="DE66" i="14"/>
  <c r="EN66" i="14" s="1"/>
  <c r="DF66" i="14"/>
  <c r="DG66" i="14"/>
  <c r="DM66" i="14"/>
  <c r="EV66" i="14" s="1"/>
  <c r="DN66" i="14"/>
  <c r="DO66" i="14"/>
  <c r="DU66" i="14"/>
  <c r="DV66" i="14"/>
  <c r="DW66" i="14"/>
  <c r="EC66" i="14"/>
  <c r="ED66" i="14"/>
  <c r="EE66" i="14"/>
  <c r="EF66" i="14"/>
  <c r="EG66" i="14"/>
  <c r="EH66" i="14"/>
  <c r="EI66" i="14"/>
  <c r="EJ66" i="14"/>
  <c r="EK66" i="14"/>
  <c r="EL66" i="14"/>
  <c r="EM66" i="14"/>
  <c r="ES66" i="14"/>
  <c r="ET66" i="14"/>
  <c r="EU66" i="14"/>
  <c r="CV67" i="14"/>
  <c r="BQ67" i="14"/>
  <c r="BR67" i="14"/>
  <c r="BS67" i="14"/>
  <c r="BT67" i="14"/>
  <c r="BU67" i="14"/>
  <c r="BV67" i="14"/>
  <c r="BW67" i="14"/>
  <c r="BX67" i="14"/>
  <c r="BY67" i="14"/>
  <c r="DG67" i="14" s="1"/>
  <c r="BZ67" i="14"/>
  <c r="CA67" i="14"/>
  <c r="CB67" i="14"/>
  <c r="CF67" i="14"/>
  <c r="CJ67" i="14"/>
  <c r="CN67" i="14"/>
  <c r="CO67" i="14"/>
  <c r="CP67" i="14"/>
  <c r="CQ67" i="14"/>
  <c r="CX67" i="14"/>
  <c r="CY67" i="14"/>
  <c r="CZ67" i="14"/>
  <c r="DD67" i="14"/>
  <c r="EB67" i="14"/>
  <c r="BQ68" i="14"/>
  <c r="BR68" i="14"/>
  <c r="BS68" i="14"/>
  <c r="BT68" i="14"/>
  <c r="BU68" i="14"/>
  <c r="BV68" i="14"/>
  <c r="BW68" i="14"/>
  <c r="BX68" i="14"/>
  <c r="BY68" i="14"/>
  <c r="DI68" i="14" s="1"/>
  <c r="BZ68" i="14"/>
  <c r="CA68" i="14"/>
  <c r="CB68" i="14"/>
  <c r="CC68" i="14"/>
  <c r="CD68" i="14"/>
  <c r="CE68" i="14"/>
  <c r="CF68" i="14"/>
  <c r="CG68" i="14"/>
  <c r="DQ68" i="14" s="1"/>
  <c r="CH68" i="14"/>
  <c r="CI68" i="14"/>
  <c r="CJ68" i="14"/>
  <c r="CK68" i="14"/>
  <c r="CL68" i="14"/>
  <c r="CM68" i="14"/>
  <c r="CN68" i="14"/>
  <c r="CO68" i="14"/>
  <c r="DY68" i="14" s="1"/>
  <c r="CP68" i="14"/>
  <c r="CQ68" i="14"/>
  <c r="CR68" i="14"/>
  <c r="CS68" i="14"/>
  <c r="CT68" i="14"/>
  <c r="CU68" i="14"/>
  <c r="CV68" i="14"/>
  <c r="CW68" i="14"/>
  <c r="CX68" i="14"/>
  <c r="CY68" i="14"/>
  <c r="CZ68" i="14"/>
  <c r="DA68" i="14"/>
  <c r="DB68" i="14"/>
  <c r="DC68" i="14"/>
  <c r="DD68" i="14"/>
  <c r="DE68" i="14"/>
  <c r="EO68" i="14" s="1"/>
  <c r="DF68" i="14"/>
  <c r="DG68" i="14"/>
  <c r="DH68" i="14"/>
  <c r="DM68" i="14"/>
  <c r="DN68" i="14"/>
  <c r="DO68" i="14"/>
  <c r="DP68" i="14"/>
  <c r="DU68" i="14"/>
  <c r="DV68" i="14"/>
  <c r="DW68" i="14"/>
  <c r="DX68" i="14"/>
  <c r="EC68" i="14"/>
  <c r="ED68" i="14"/>
  <c r="EE68" i="14"/>
  <c r="EF68" i="14"/>
  <c r="EG68" i="14"/>
  <c r="EH68" i="14"/>
  <c r="EI68" i="14"/>
  <c r="EJ68" i="14"/>
  <c r="EK68" i="14"/>
  <c r="EL68" i="14"/>
  <c r="EM68" i="14"/>
  <c r="EN68" i="14"/>
  <c r="ES68" i="14"/>
  <c r="ET68" i="14"/>
  <c r="EU68" i="14"/>
  <c r="EV68" i="14"/>
  <c r="BQ69" i="14"/>
  <c r="BR69" i="14"/>
  <c r="BS69" i="14"/>
  <c r="BT69" i="14"/>
  <c r="BU69" i="14"/>
  <c r="BV69" i="14"/>
  <c r="BW69" i="14"/>
  <c r="BX69" i="14"/>
  <c r="BY69" i="14"/>
  <c r="BZ69" i="14"/>
  <c r="CA69" i="14"/>
  <c r="CB69" i="14"/>
  <c r="CF69" i="14"/>
  <c r="CG69" i="14"/>
  <c r="DT69" i="14" s="1"/>
  <c r="CH69" i="14"/>
  <c r="CI69" i="14"/>
  <c r="CJ69" i="14"/>
  <c r="CN69" i="14"/>
  <c r="CO69" i="14"/>
  <c r="DX69" i="14" s="1"/>
  <c r="CP69" i="14"/>
  <c r="CQ69" i="14"/>
  <c r="CR69" i="14"/>
  <c r="CV69" i="14"/>
  <c r="CW69" i="14"/>
  <c r="CX69" i="14"/>
  <c r="CY69" i="14"/>
  <c r="CZ69" i="14"/>
  <c r="DD69" i="14"/>
  <c r="DE69" i="14"/>
  <c r="EL69" i="14" s="1"/>
  <c r="DF69" i="14"/>
  <c r="DG69" i="14"/>
  <c r="DH69" i="14"/>
  <c r="DL69" i="14"/>
  <c r="DU69" i="14"/>
  <c r="DV69" i="14"/>
  <c r="EB69" i="14"/>
  <c r="EJ69" i="14"/>
  <c r="EQ69" i="14"/>
  <c r="ER69" i="14"/>
  <c r="BQ70" i="14"/>
  <c r="BR70" i="14"/>
  <c r="BS70" i="14"/>
  <c r="BT70" i="14"/>
  <c r="BU70" i="14"/>
  <c r="BV70" i="14"/>
  <c r="BW70" i="14"/>
  <c r="BX70" i="14"/>
  <c r="BY70" i="14"/>
  <c r="BZ70" i="14"/>
  <c r="CA70" i="14"/>
  <c r="CB70" i="14"/>
  <c r="CC70" i="14"/>
  <c r="CD70" i="14"/>
  <c r="CE70" i="14"/>
  <c r="CF70" i="14"/>
  <c r="CG70" i="14"/>
  <c r="CH70" i="14"/>
  <c r="CI70" i="14"/>
  <c r="CJ70" i="14"/>
  <c r="CK70" i="14"/>
  <c r="CL70" i="14"/>
  <c r="CM70" i="14"/>
  <c r="CN70" i="14"/>
  <c r="CO70" i="14"/>
  <c r="CP70" i="14"/>
  <c r="CQ70" i="14"/>
  <c r="CR70" i="14"/>
  <c r="CS70" i="14"/>
  <c r="CT70" i="14"/>
  <c r="CU70" i="14"/>
  <c r="CV70" i="14"/>
  <c r="CW70" i="14"/>
  <c r="CX70" i="14"/>
  <c r="CY70" i="14"/>
  <c r="CZ70" i="14"/>
  <c r="DA70" i="14"/>
  <c r="DB70" i="14"/>
  <c r="DC70" i="14"/>
  <c r="DD70" i="14"/>
  <c r="DE70" i="14"/>
  <c r="DF70" i="14"/>
  <c r="DG70" i="14"/>
  <c r="DH70" i="14"/>
  <c r="DI70" i="14"/>
  <c r="DJ70" i="14"/>
  <c r="DK70" i="14"/>
  <c r="DL70" i="14"/>
  <c r="DM70" i="14"/>
  <c r="DN70" i="14"/>
  <c r="DO70" i="14"/>
  <c r="DP70" i="14"/>
  <c r="DQ70" i="14"/>
  <c r="DR70" i="14"/>
  <c r="DS70" i="14"/>
  <c r="DT70" i="14"/>
  <c r="DU70" i="14"/>
  <c r="DV70" i="14"/>
  <c r="DW70" i="14"/>
  <c r="DX70" i="14"/>
  <c r="DY70" i="14"/>
  <c r="DZ70" i="14"/>
  <c r="EA70" i="14"/>
  <c r="EB70" i="14"/>
  <c r="EC70" i="14"/>
  <c r="ED70" i="14"/>
  <c r="EE70" i="14"/>
  <c r="EF70" i="14"/>
  <c r="EG70" i="14"/>
  <c r="EH70" i="14"/>
  <c r="EI70" i="14"/>
  <c r="EJ70" i="14"/>
  <c r="EK70" i="14"/>
  <c r="EL70" i="14"/>
  <c r="EM70" i="14"/>
  <c r="EN70" i="14"/>
  <c r="EO70" i="14"/>
  <c r="EP70" i="14"/>
  <c r="EQ70" i="14"/>
  <c r="ER70" i="14"/>
  <c r="ES70" i="14"/>
  <c r="ET70" i="14"/>
  <c r="EU70" i="14"/>
  <c r="EV70" i="14"/>
  <c r="CB71" i="14"/>
  <c r="CO71" i="14"/>
  <c r="BQ71" i="14"/>
  <c r="BR71" i="14"/>
  <c r="BS71" i="14"/>
  <c r="BT71" i="14"/>
  <c r="BU71" i="14"/>
  <c r="BV71" i="14"/>
  <c r="BW71" i="14"/>
  <c r="BX71" i="14"/>
  <c r="BY71" i="14"/>
  <c r="DH71" i="14" s="1"/>
  <c r="BZ71" i="14"/>
  <c r="CI71" i="14"/>
  <c r="CJ71" i="14"/>
  <c r="CU71" i="14"/>
  <c r="CV71" i="14"/>
  <c r="DF71" i="14"/>
  <c r="BQ72" i="14"/>
  <c r="BR72" i="14"/>
  <c r="BS72" i="14"/>
  <c r="BT72" i="14"/>
  <c r="BU72" i="14"/>
  <c r="BV72" i="14"/>
  <c r="BW72" i="14"/>
  <c r="BX72" i="14"/>
  <c r="BY72" i="14"/>
  <c r="BZ72" i="14"/>
  <c r="CA72" i="14"/>
  <c r="CB72" i="14"/>
  <c r="CC72" i="14"/>
  <c r="CD72" i="14"/>
  <c r="CE72" i="14"/>
  <c r="CF72" i="14"/>
  <c r="CG72" i="14"/>
  <c r="CH72" i="14"/>
  <c r="CI72" i="14"/>
  <c r="CJ72" i="14"/>
  <c r="CK72" i="14"/>
  <c r="CL72" i="14"/>
  <c r="CM72" i="14"/>
  <c r="CN72" i="14"/>
  <c r="CO72" i="14"/>
  <c r="CP72" i="14"/>
  <c r="CQ72" i="14"/>
  <c r="CR72" i="14"/>
  <c r="CS72" i="14"/>
  <c r="CT72" i="14"/>
  <c r="CU72" i="14"/>
  <c r="CV72" i="14"/>
  <c r="CW72" i="14"/>
  <c r="CX72" i="14"/>
  <c r="CY72" i="14"/>
  <c r="CZ72" i="14"/>
  <c r="DA72" i="14"/>
  <c r="DB72" i="14"/>
  <c r="DC72" i="14"/>
  <c r="DD72" i="14"/>
  <c r="DE72" i="14"/>
  <c r="DF72" i="14"/>
  <c r="DG72" i="14"/>
  <c r="DH72" i="14"/>
  <c r="DI72" i="14"/>
  <c r="DJ72" i="14"/>
  <c r="DK72" i="14"/>
  <c r="DL72" i="14"/>
  <c r="DM72" i="14"/>
  <c r="DN72" i="14"/>
  <c r="DO72" i="14"/>
  <c r="DP72" i="14"/>
  <c r="DQ72" i="14"/>
  <c r="DR72" i="14"/>
  <c r="DS72" i="14"/>
  <c r="DT72" i="14"/>
  <c r="DU72" i="14"/>
  <c r="DV72" i="14"/>
  <c r="DW72" i="14"/>
  <c r="DX72" i="14"/>
  <c r="DY72" i="14"/>
  <c r="DZ72" i="14"/>
  <c r="EA72" i="14"/>
  <c r="EB72" i="14"/>
  <c r="EC72" i="14"/>
  <c r="ED72" i="14"/>
  <c r="EE72" i="14"/>
  <c r="EF72" i="14"/>
  <c r="EG72" i="14"/>
  <c r="EH72" i="14"/>
  <c r="EI72" i="14"/>
  <c r="EJ72" i="14"/>
  <c r="EK72" i="14"/>
  <c r="EL72" i="14"/>
  <c r="EM72" i="14"/>
  <c r="EN72" i="14"/>
  <c r="EO72" i="14"/>
  <c r="EP72" i="14"/>
  <c r="EQ72" i="14"/>
  <c r="ER72" i="14"/>
  <c r="ES72" i="14"/>
  <c r="ET72" i="14"/>
  <c r="EU72" i="14"/>
  <c r="EV72" i="14"/>
  <c r="CG73" i="14"/>
  <c r="BQ73" i="14"/>
  <c r="CZ73" i="14" s="1"/>
  <c r="BR73" i="14"/>
  <c r="BS73" i="14"/>
  <c r="BT73" i="14"/>
  <c r="BU73" i="14"/>
  <c r="BV73" i="14"/>
  <c r="BW73" i="14"/>
  <c r="BX73" i="14"/>
  <c r="BY73" i="14"/>
  <c r="DE73" i="14" s="1"/>
  <c r="BZ73" i="14"/>
  <c r="CA73" i="14"/>
  <c r="CB73" i="14"/>
  <c r="CI73" i="14"/>
  <c r="CJ73" i="14"/>
  <c r="CM73" i="14"/>
  <c r="CN73" i="14"/>
  <c r="CU73" i="14"/>
  <c r="CV73" i="14"/>
  <c r="CW73" i="14"/>
  <c r="CX73" i="14"/>
  <c r="EC73" i="14"/>
  <c r="ED73" i="14"/>
  <c r="AO61" i="14"/>
  <c r="AP61" i="14"/>
  <c r="AQ61" i="14"/>
  <c r="AR61" i="14"/>
  <c r="AO62" i="14"/>
  <c r="AP62" i="14"/>
  <c r="AQ62" i="14"/>
  <c r="AR62" i="14"/>
  <c r="AO63" i="14"/>
  <c r="AP63" i="14"/>
  <c r="AQ63" i="14"/>
  <c r="AR63" i="14"/>
  <c r="AO64" i="14"/>
  <c r="AP64" i="14"/>
  <c r="AQ64" i="14"/>
  <c r="AR64" i="14"/>
  <c r="AO65" i="14"/>
  <c r="AP65" i="14"/>
  <c r="AQ65" i="14"/>
  <c r="AR65" i="14"/>
  <c r="AO66" i="14"/>
  <c r="AP66" i="14"/>
  <c r="AQ66" i="14"/>
  <c r="AR66" i="14"/>
  <c r="AO67" i="14"/>
  <c r="AP67" i="14"/>
  <c r="AQ67" i="14"/>
  <c r="AR67" i="14"/>
  <c r="AO68" i="14"/>
  <c r="AP68" i="14"/>
  <c r="AQ68" i="14"/>
  <c r="AR68" i="14"/>
  <c r="AO69" i="14"/>
  <c r="AP69" i="14"/>
  <c r="AQ69" i="14"/>
  <c r="AR69" i="14"/>
  <c r="AO70" i="14"/>
  <c r="AP70" i="14"/>
  <c r="AQ70" i="14"/>
  <c r="AR70" i="14"/>
  <c r="AO71" i="14"/>
  <c r="AP71" i="14"/>
  <c r="AQ71" i="14"/>
  <c r="AR71" i="14"/>
  <c r="AO72" i="14"/>
  <c r="AP72" i="14"/>
  <c r="AQ72" i="14"/>
  <c r="AR72" i="14"/>
  <c r="AO73" i="14"/>
  <c r="AP73" i="14"/>
  <c r="AQ73" i="14"/>
  <c r="AR73" i="14"/>
  <c r="AR60" i="14"/>
  <c r="AQ60" i="14"/>
  <c r="AP60" i="14"/>
  <c r="AO60" i="14"/>
  <c r="AO56" i="14"/>
  <c r="AP56" i="14"/>
  <c r="AQ56" i="14"/>
  <c r="AR56" i="14"/>
  <c r="AS56" i="14"/>
  <c r="BY56" i="14" s="1"/>
  <c r="AT56" i="14"/>
  <c r="AU56" i="14"/>
  <c r="AV56" i="14"/>
  <c r="AW56" i="14"/>
  <c r="AX56" i="14"/>
  <c r="AY56" i="14"/>
  <c r="AZ56" i="14"/>
  <c r="BA56" i="14"/>
  <c r="CG56" i="14" s="1"/>
  <c r="BB56" i="14"/>
  <c r="BC56" i="14"/>
  <c r="BD56" i="14"/>
  <c r="BE56" i="14"/>
  <c r="BF56" i="14"/>
  <c r="BG56" i="14"/>
  <c r="BH56" i="14"/>
  <c r="BI56" i="14"/>
  <c r="CO56" i="14" s="1"/>
  <c r="BJ56" i="14"/>
  <c r="BK56" i="14"/>
  <c r="BL56" i="14"/>
  <c r="BM56" i="14"/>
  <c r="BN56" i="14"/>
  <c r="BO56" i="14"/>
  <c r="BP56" i="14"/>
  <c r="AO57" i="14"/>
  <c r="BU57" i="14" s="1"/>
  <c r="AP57" i="14"/>
  <c r="AQ57" i="14"/>
  <c r="AR57" i="14"/>
  <c r="AS57" i="14"/>
  <c r="AT57" i="14"/>
  <c r="AU57" i="14"/>
  <c r="AV57" i="14"/>
  <c r="AW57" i="14"/>
  <c r="CC57" i="14" s="1"/>
  <c r="AX57" i="14"/>
  <c r="AY57" i="14"/>
  <c r="AZ57" i="14"/>
  <c r="BA57" i="14"/>
  <c r="BB57" i="14"/>
  <c r="BC57" i="14"/>
  <c r="BD57" i="14"/>
  <c r="BE57" i="14"/>
  <c r="CK57" i="14" s="1"/>
  <c r="BF57" i="14"/>
  <c r="BG57" i="14"/>
  <c r="BH57" i="14"/>
  <c r="BI57" i="14"/>
  <c r="BJ57" i="14"/>
  <c r="BK57" i="14"/>
  <c r="BL57" i="14"/>
  <c r="BM57" i="14"/>
  <c r="CS57" i="14" s="1"/>
  <c r="BN57" i="14"/>
  <c r="BO57" i="14"/>
  <c r="BP57" i="14"/>
  <c r="BP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BQ55" i="14"/>
  <c r="BR55" i="14"/>
  <c r="BS55" i="14"/>
  <c r="BT55" i="14"/>
  <c r="BU55" i="14"/>
  <c r="BV55" i="14"/>
  <c r="BW55" i="14"/>
  <c r="BX55" i="14"/>
  <c r="BY55" i="14"/>
  <c r="BZ55" i="14"/>
  <c r="CA55" i="14"/>
  <c r="CB55" i="14"/>
  <c r="CC55" i="14"/>
  <c r="CD55" i="14"/>
  <c r="CE55" i="14"/>
  <c r="CF55" i="14"/>
  <c r="CG55" i="14"/>
  <c r="CH55" i="14"/>
  <c r="CI55" i="14"/>
  <c r="CJ55" i="14"/>
  <c r="CK55" i="14"/>
  <c r="CL55" i="14"/>
  <c r="CM55" i="14"/>
  <c r="CN55" i="14"/>
  <c r="CO55" i="14"/>
  <c r="CP55" i="14"/>
  <c r="CQ55" i="14"/>
  <c r="CR55" i="14"/>
  <c r="CS55" i="14"/>
  <c r="CT55" i="14"/>
  <c r="CU55" i="14"/>
  <c r="CV55" i="14"/>
  <c r="CW55" i="14"/>
  <c r="CX55" i="14"/>
  <c r="CY55" i="14"/>
  <c r="CZ55" i="14"/>
  <c r="DA55" i="14"/>
  <c r="DB55" i="14"/>
  <c r="DC55" i="14"/>
  <c r="DD55" i="14"/>
  <c r="DE55" i="14"/>
  <c r="DF55" i="14"/>
  <c r="DG55" i="14"/>
  <c r="DH55" i="14"/>
  <c r="DI55" i="14"/>
  <c r="DJ55" i="14"/>
  <c r="DK55" i="14"/>
  <c r="DL55" i="14"/>
  <c r="DM55" i="14"/>
  <c r="DN55" i="14"/>
  <c r="DO55" i="14"/>
  <c r="DP55" i="14"/>
  <c r="DQ55" i="14"/>
  <c r="DR55" i="14"/>
  <c r="DS55" i="14"/>
  <c r="DT55" i="14"/>
  <c r="DU55" i="14"/>
  <c r="DV55" i="14"/>
  <c r="DW55" i="14"/>
  <c r="DX55" i="14"/>
  <c r="DY55" i="14"/>
  <c r="DZ55" i="14"/>
  <c r="EA55" i="14"/>
  <c r="EB55" i="14"/>
  <c r="EC55" i="14"/>
  <c r="ED55" i="14"/>
  <c r="EE55" i="14"/>
  <c r="EF55" i="14"/>
  <c r="EG55" i="14"/>
  <c r="EH55" i="14"/>
  <c r="EI55" i="14"/>
  <c r="EJ55" i="14"/>
  <c r="EK55" i="14"/>
  <c r="EL55" i="14"/>
  <c r="EM55" i="14"/>
  <c r="EN55" i="14"/>
  <c r="EO55" i="14"/>
  <c r="EP55" i="14"/>
  <c r="EQ55" i="14"/>
  <c r="ER55" i="14"/>
  <c r="ES55" i="14"/>
  <c r="ET55" i="14"/>
  <c r="EU55" i="14"/>
  <c r="EV55" i="14"/>
  <c r="BQ56" i="14"/>
  <c r="BR56" i="14"/>
  <c r="BS56" i="14"/>
  <c r="BT56" i="14"/>
  <c r="BU56" i="14"/>
  <c r="BV56" i="14"/>
  <c r="BW56" i="14"/>
  <c r="BX56" i="14"/>
  <c r="CC56" i="14"/>
  <c r="CD56" i="14"/>
  <c r="CE56" i="14"/>
  <c r="CF56" i="14"/>
  <c r="CK56" i="14"/>
  <c r="CL56" i="14"/>
  <c r="CM56" i="14"/>
  <c r="CN56" i="14"/>
  <c r="CS56" i="14"/>
  <c r="CT56" i="14"/>
  <c r="CU56" i="14"/>
  <c r="CV56" i="14"/>
  <c r="CW56" i="14"/>
  <c r="CX56" i="14"/>
  <c r="CY56" i="14"/>
  <c r="CZ56" i="14"/>
  <c r="DA56" i="14"/>
  <c r="DB56" i="14"/>
  <c r="DC56" i="14"/>
  <c r="DD56" i="14"/>
  <c r="DI56" i="14"/>
  <c r="DJ56" i="14"/>
  <c r="DK56" i="14"/>
  <c r="DL56" i="14"/>
  <c r="DQ56" i="14"/>
  <c r="DR56" i="14"/>
  <c r="DS56" i="14"/>
  <c r="DT56" i="14"/>
  <c r="DY56" i="14"/>
  <c r="DZ56" i="14"/>
  <c r="EA56" i="14"/>
  <c r="EB56" i="14"/>
  <c r="EC56" i="14"/>
  <c r="ED56" i="14"/>
  <c r="EE56" i="14"/>
  <c r="EF56" i="14"/>
  <c r="EG56" i="14"/>
  <c r="EH56" i="14"/>
  <c r="EI56" i="14"/>
  <c r="EJ56" i="14"/>
  <c r="EO56" i="14"/>
  <c r="EP56" i="14"/>
  <c r="EQ56" i="14"/>
  <c r="ER56" i="14"/>
  <c r="BQ57" i="14"/>
  <c r="BR57" i="14"/>
  <c r="BS57" i="14"/>
  <c r="BT57" i="14"/>
  <c r="BY57" i="14"/>
  <c r="BZ57" i="14"/>
  <c r="CA57" i="14"/>
  <c r="CB57" i="14"/>
  <c r="CG57" i="14"/>
  <c r="CH57" i="14"/>
  <c r="CI57" i="14"/>
  <c r="CJ57" i="14"/>
  <c r="CO57" i="14"/>
  <c r="CP57" i="14"/>
  <c r="CQ57" i="14"/>
  <c r="CR57" i="14"/>
  <c r="CW57" i="14"/>
  <c r="CX57" i="14"/>
  <c r="CY57" i="14"/>
  <c r="CZ57" i="14"/>
  <c r="DE57" i="14"/>
  <c r="DF57" i="14"/>
  <c r="DG57" i="14"/>
  <c r="DH57" i="14"/>
  <c r="DM57" i="14"/>
  <c r="DN57" i="14"/>
  <c r="DO57" i="14"/>
  <c r="DP57" i="14"/>
  <c r="DU57" i="14"/>
  <c r="DV57" i="14"/>
  <c r="DW57" i="14"/>
  <c r="DX57" i="14"/>
  <c r="EC57" i="14"/>
  <c r="ED57" i="14"/>
  <c r="EE57" i="14"/>
  <c r="EF57" i="14"/>
  <c r="EK57" i="14"/>
  <c r="EL57" i="14"/>
  <c r="EM57" i="14"/>
  <c r="EN57" i="14"/>
  <c r="ES57" i="14"/>
  <c r="ET57" i="14"/>
  <c r="EU57" i="14"/>
  <c r="EV57" i="14"/>
  <c r="AK56" i="14"/>
  <c r="AL56" i="14"/>
  <c r="AM56" i="14"/>
  <c r="AN56" i="14"/>
  <c r="AK57" i="14"/>
  <c r="AL57" i="14"/>
  <c r="AM57" i="14"/>
  <c r="AN57" i="14"/>
  <c r="AK60" i="14"/>
  <c r="AL60" i="14"/>
  <c r="AM60" i="14"/>
  <c r="AN60" i="14"/>
  <c r="AK61" i="14"/>
  <c r="AL61" i="14"/>
  <c r="AM61" i="14"/>
  <c r="AN61" i="14"/>
  <c r="AK62" i="14"/>
  <c r="AL62" i="14"/>
  <c r="AM62" i="14"/>
  <c r="AN62" i="14"/>
  <c r="AK63" i="14"/>
  <c r="AL63" i="14"/>
  <c r="AM63" i="14"/>
  <c r="AN63" i="14"/>
  <c r="AK64" i="14"/>
  <c r="AL64" i="14"/>
  <c r="AM64" i="14"/>
  <c r="AN64" i="14"/>
  <c r="AK65" i="14"/>
  <c r="AL65" i="14"/>
  <c r="AM65" i="14"/>
  <c r="AN65" i="14"/>
  <c r="AK66" i="14"/>
  <c r="AL66" i="14"/>
  <c r="AM66" i="14"/>
  <c r="AN66" i="14"/>
  <c r="AK67" i="14"/>
  <c r="AL67" i="14"/>
  <c r="AM67" i="14"/>
  <c r="AN67" i="14"/>
  <c r="AK68" i="14"/>
  <c r="AL68" i="14"/>
  <c r="AM68" i="14"/>
  <c r="AN68" i="14"/>
  <c r="AK69" i="14"/>
  <c r="AL69" i="14"/>
  <c r="AM69" i="14"/>
  <c r="AN69" i="14"/>
  <c r="AK70" i="14"/>
  <c r="AL70" i="14"/>
  <c r="AM70" i="14"/>
  <c r="AN70" i="14"/>
  <c r="AK71" i="14"/>
  <c r="AL71" i="14"/>
  <c r="AM71" i="14"/>
  <c r="AN71" i="14"/>
  <c r="AK72" i="14"/>
  <c r="AL72" i="14"/>
  <c r="AM72" i="14"/>
  <c r="AN72" i="14"/>
  <c r="AK73" i="14"/>
  <c r="AL73" i="14"/>
  <c r="AM73" i="14"/>
  <c r="AN73" i="14"/>
  <c r="AN55" i="14"/>
  <c r="AM55" i="14"/>
  <c r="AL55" i="14"/>
  <c r="AK55" i="14"/>
  <c r="BA44" i="14"/>
  <c r="BB44" i="14"/>
  <c r="BC44" i="14"/>
  <c r="BD44" i="14"/>
  <c r="BE44" i="14"/>
  <c r="BF44" i="14"/>
  <c r="BG44" i="14"/>
  <c r="BH44" i="14"/>
  <c r="BI44" i="14"/>
  <c r="CO44" i="14" s="1"/>
  <c r="BJ44" i="14"/>
  <c r="BK44" i="14"/>
  <c r="BL44" i="14"/>
  <c r="BM44" i="14"/>
  <c r="BN44" i="14"/>
  <c r="BO44" i="14"/>
  <c r="BP44" i="14"/>
  <c r="BA45" i="14"/>
  <c r="CL45" i="14" s="1"/>
  <c r="BB45" i="14"/>
  <c r="BC45" i="14"/>
  <c r="BD45" i="14"/>
  <c r="BE45" i="14"/>
  <c r="BF45" i="14"/>
  <c r="BG45" i="14"/>
  <c r="BH45" i="14"/>
  <c r="BI45" i="14"/>
  <c r="CT45" i="14" s="1"/>
  <c r="BJ45" i="14"/>
  <c r="BK45" i="14"/>
  <c r="BL45" i="14"/>
  <c r="BM45" i="14"/>
  <c r="BN45" i="14"/>
  <c r="BO45" i="14"/>
  <c r="BP45" i="14"/>
  <c r="BA46" i="14"/>
  <c r="BB46" i="14"/>
  <c r="BC46" i="14"/>
  <c r="BD46" i="14"/>
  <c r="BE46" i="14"/>
  <c r="BF46" i="14"/>
  <c r="BG46" i="14"/>
  <c r="BH46" i="14"/>
  <c r="BI46" i="14"/>
  <c r="CO46" i="14" s="1"/>
  <c r="DU46" i="14" s="1"/>
  <c r="BJ46" i="14"/>
  <c r="BK46" i="14"/>
  <c r="BL46" i="14"/>
  <c r="BM46" i="14"/>
  <c r="BN46" i="14"/>
  <c r="BO46" i="14"/>
  <c r="BP46" i="14"/>
  <c r="BA47" i="14"/>
  <c r="CH47" i="14" s="1"/>
  <c r="BB47" i="14"/>
  <c r="BC47" i="14"/>
  <c r="BD47" i="14"/>
  <c r="BE47" i="14"/>
  <c r="BF47" i="14"/>
  <c r="BG47" i="14"/>
  <c r="BH47" i="14"/>
  <c r="BI47" i="14"/>
  <c r="CP47" i="14" s="1"/>
  <c r="BJ47" i="14"/>
  <c r="BK47" i="14"/>
  <c r="BL47" i="14"/>
  <c r="BM47" i="14"/>
  <c r="BN47" i="14"/>
  <c r="BO47" i="14"/>
  <c r="BP47" i="14"/>
  <c r="BA48" i="14"/>
  <c r="CH48" i="14" s="1"/>
  <c r="BB48" i="14"/>
  <c r="BC48" i="14"/>
  <c r="BD48" i="14"/>
  <c r="BE48" i="14"/>
  <c r="BF48" i="14"/>
  <c r="BG48" i="14"/>
  <c r="BH48" i="14"/>
  <c r="BI48" i="14"/>
  <c r="CV48" i="14" s="1"/>
  <c r="BJ48" i="14"/>
  <c r="BK48" i="14"/>
  <c r="BL48" i="14"/>
  <c r="BM48" i="14"/>
  <c r="BN48" i="14"/>
  <c r="BO48" i="14"/>
  <c r="BP48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O49" i="14"/>
  <c r="BP49" i="14"/>
  <c r="BP43" i="14"/>
  <c r="BO43" i="14"/>
  <c r="BN43" i="14"/>
  <c r="BM43" i="14"/>
  <c r="BL43" i="14"/>
  <c r="BK43" i="14"/>
  <c r="BJ43" i="14"/>
  <c r="BI43" i="14"/>
  <c r="CQ43" i="14" s="1"/>
  <c r="BH43" i="14"/>
  <c r="BG43" i="14"/>
  <c r="BF43" i="14"/>
  <c r="BE43" i="14"/>
  <c r="BD43" i="14"/>
  <c r="BC43" i="14"/>
  <c r="BB43" i="14"/>
  <c r="BA43" i="14"/>
  <c r="CI43" i="14" s="1"/>
  <c r="AW44" i="14"/>
  <c r="AX44" i="14"/>
  <c r="AY44" i="14"/>
  <c r="AZ44" i="14"/>
  <c r="AW45" i="14"/>
  <c r="AX45" i="14"/>
  <c r="AY45" i="14"/>
  <c r="AZ45" i="14"/>
  <c r="AW46" i="14"/>
  <c r="AX46" i="14"/>
  <c r="AY46" i="14"/>
  <c r="AZ46" i="14"/>
  <c r="AW47" i="14"/>
  <c r="AX47" i="14"/>
  <c r="AY47" i="14"/>
  <c r="AZ47" i="14"/>
  <c r="AW48" i="14"/>
  <c r="AX48" i="14"/>
  <c r="AY48" i="14"/>
  <c r="AZ48" i="14"/>
  <c r="AW49" i="14"/>
  <c r="AX49" i="14"/>
  <c r="AY49" i="14"/>
  <c r="AZ49" i="14"/>
  <c r="AZ43" i="14"/>
  <c r="AY43" i="14"/>
  <c r="AX43" i="14"/>
  <c r="AW43" i="14"/>
  <c r="AS44" i="14"/>
  <c r="BY44" i="14" s="1"/>
  <c r="AT44" i="14"/>
  <c r="AU44" i="14"/>
  <c r="AV44" i="14"/>
  <c r="AS45" i="14"/>
  <c r="CA45" i="14" s="1"/>
  <c r="AT45" i="14"/>
  <c r="AU45" i="14"/>
  <c r="AV45" i="14"/>
  <c r="AS46" i="14"/>
  <c r="CF46" i="14" s="1"/>
  <c r="AT46" i="14"/>
  <c r="AU46" i="14"/>
  <c r="AV46" i="14"/>
  <c r="AS47" i="14"/>
  <c r="CC47" i="14" s="1"/>
  <c r="AT47" i="14"/>
  <c r="AU47" i="14"/>
  <c r="AV47" i="14"/>
  <c r="AS48" i="14"/>
  <c r="BY48" i="14" s="1"/>
  <c r="AT48" i="14"/>
  <c r="AU48" i="14"/>
  <c r="AV48" i="14"/>
  <c r="AS49" i="14"/>
  <c r="BZ49" i="14" s="1"/>
  <c r="AT49" i="14"/>
  <c r="AU49" i="14"/>
  <c r="AV49" i="14"/>
  <c r="AV43" i="14"/>
  <c r="AU43" i="14"/>
  <c r="AT43" i="14"/>
  <c r="AS43" i="14"/>
  <c r="CA43" i="14" s="1"/>
  <c r="BW43" i="14"/>
  <c r="BY43" i="14"/>
  <c r="DL43" i="14" s="1"/>
  <c r="BZ43" i="14"/>
  <c r="CM43" i="14"/>
  <c r="CN43" i="14"/>
  <c r="CO43" i="14"/>
  <c r="EB43" i="14" s="1"/>
  <c r="CP43" i="14"/>
  <c r="DX43" i="14"/>
  <c r="CH44" i="14"/>
  <c r="BS44" i="14"/>
  <c r="CA44" i="14"/>
  <c r="CB44" i="14"/>
  <c r="BY46" i="14"/>
  <c r="DG46" i="14" s="1"/>
  <c r="BZ46" i="14"/>
  <c r="CA46" i="14"/>
  <c r="CB46" i="14"/>
  <c r="CJ46" i="14"/>
  <c r="CN46" i="14"/>
  <c r="BQ47" i="14"/>
  <c r="DC47" i="14" s="1"/>
  <c r="CO47" i="14"/>
  <c r="DZ47" i="14" s="1"/>
  <c r="CU47" i="14"/>
  <c r="CV47" i="14"/>
  <c r="CB48" i="14"/>
  <c r="CF48" i="14"/>
  <c r="BR49" i="14"/>
  <c r="BY49" i="14"/>
  <c r="DF49" i="14" s="1"/>
  <c r="CD49" i="14"/>
  <c r="CE49" i="14"/>
  <c r="CF49" i="14"/>
  <c r="CG49" i="14"/>
  <c r="DS49" i="14" s="1"/>
  <c r="CH49" i="14"/>
  <c r="CI49" i="14"/>
  <c r="CJ49" i="14"/>
  <c r="CK49" i="14"/>
  <c r="CL49" i="14"/>
  <c r="CM49" i="14"/>
  <c r="CN49" i="14"/>
  <c r="CO49" i="14"/>
  <c r="EA49" i="14" s="1"/>
  <c r="CP49" i="14"/>
  <c r="CQ49" i="14"/>
  <c r="CR49" i="14"/>
  <c r="CS49" i="14"/>
  <c r="CT49" i="14"/>
  <c r="CU49" i="14"/>
  <c r="CV49" i="14"/>
  <c r="DM49" i="14"/>
  <c r="ES49" i="14" s="1"/>
  <c r="DN49" i="14"/>
  <c r="DO49" i="14"/>
  <c r="DP49" i="14"/>
  <c r="DQ49" i="14"/>
  <c r="DU49" i="14"/>
  <c r="DV49" i="14"/>
  <c r="DW49" i="14"/>
  <c r="DX49" i="14"/>
  <c r="DY49" i="14"/>
  <c r="DZ49" i="14"/>
  <c r="ET49" i="14"/>
  <c r="EU49" i="14"/>
  <c r="EV49" i="14"/>
  <c r="AK44" i="14"/>
  <c r="BU44" i="14" s="1"/>
  <c r="AL44" i="14"/>
  <c r="AM44" i="14"/>
  <c r="AN44" i="14"/>
  <c r="AO44" i="14"/>
  <c r="AP44" i="14"/>
  <c r="AQ44" i="14"/>
  <c r="AR44" i="14"/>
  <c r="AK45" i="14"/>
  <c r="BR45" i="14" s="1"/>
  <c r="AL45" i="14"/>
  <c r="AM45" i="14"/>
  <c r="AN45" i="14"/>
  <c r="AO45" i="14"/>
  <c r="AP45" i="14"/>
  <c r="AQ45" i="14"/>
  <c r="AR45" i="14"/>
  <c r="AK46" i="14"/>
  <c r="BU46" i="14" s="1"/>
  <c r="AL46" i="14"/>
  <c r="AM46" i="14"/>
  <c r="AN46" i="14"/>
  <c r="AO46" i="14"/>
  <c r="AP46" i="14"/>
  <c r="AQ46" i="14"/>
  <c r="AR46" i="14"/>
  <c r="AK47" i="14"/>
  <c r="BS47" i="14" s="1"/>
  <c r="AL47" i="14"/>
  <c r="AM47" i="14"/>
  <c r="AN47" i="14"/>
  <c r="AO47" i="14"/>
  <c r="AP47" i="14"/>
  <c r="AQ47" i="14"/>
  <c r="AR47" i="14"/>
  <c r="AK48" i="14"/>
  <c r="BW48" i="14" s="1"/>
  <c r="AL48" i="14"/>
  <c r="AM48" i="14"/>
  <c r="AN48" i="14"/>
  <c r="AO48" i="14"/>
  <c r="AP48" i="14"/>
  <c r="AQ48" i="14"/>
  <c r="AR48" i="14"/>
  <c r="AK49" i="14"/>
  <c r="BS49" i="14" s="1"/>
  <c r="AL49" i="14"/>
  <c r="AM49" i="14"/>
  <c r="AN49" i="14"/>
  <c r="AO49" i="14"/>
  <c r="AP49" i="14"/>
  <c r="AQ49" i="14"/>
  <c r="AR49" i="14"/>
  <c r="AR43" i="14"/>
  <c r="AQ43" i="14"/>
  <c r="AP43" i="14"/>
  <c r="AO43" i="14"/>
  <c r="AN43" i="14"/>
  <c r="AM43" i="14"/>
  <c r="AL43" i="14"/>
  <c r="AK43" i="14"/>
  <c r="BX43" i="14" s="1"/>
  <c r="AK26" i="14"/>
  <c r="AL26" i="14"/>
  <c r="AM26" i="14"/>
  <c r="AN26" i="14"/>
  <c r="AO26" i="14"/>
  <c r="BU26" i="14" s="1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R26" i="14"/>
  <c r="CS26" i="14"/>
  <c r="CT26" i="14"/>
  <c r="CU26" i="14"/>
  <c r="CV26" i="14"/>
  <c r="CW26" i="14"/>
  <c r="CX26" i="14"/>
  <c r="CY26" i="14"/>
  <c r="CZ26" i="14"/>
  <c r="DE26" i="14"/>
  <c r="DF26" i="14"/>
  <c r="DG26" i="14"/>
  <c r="DH26" i="14"/>
  <c r="DI26" i="14"/>
  <c r="DJ26" i="14"/>
  <c r="DK26" i="14"/>
  <c r="DL26" i="14"/>
  <c r="DM26" i="14"/>
  <c r="DN26" i="14"/>
  <c r="DO26" i="14"/>
  <c r="DP26" i="14"/>
  <c r="DQ26" i="14"/>
  <c r="DR26" i="14"/>
  <c r="DS26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EF26" i="14"/>
  <c r="EK26" i="14"/>
  <c r="EL26" i="14"/>
  <c r="EM26" i="14"/>
  <c r="EN26" i="14"/>
  <c r="EO26" i="14"/>
  <c r="EP26" i="14"/>
  <c r="EQ26" i="14"/>
  <c r="ER26" i="14"/>
  <c r="ES26" i="14"/>
  <c r="ET26" i="14"/>
  <c r="EU26" i="14"/>
  <c r="EV26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DM27" i="14"/>
  <c r="DN27" i="14"/>
  <c r="DO27" i="14"/>
  <c r="DP27" i="14"/>
  <c r="DQ27" i="14"/>
  <c r="DR27" i="14"/>
  <c r="DS27" i="14"/>
  <c r="DT27" i="14"/>
  <c r="DU27" i="14"/>
  <c r="DV27" i="14"/>
  <c r="DW27" i="14"/>
  <c r="DX27" i="14"/>
  <c r="DY27" i="14"/>
  <c r="DZ27" i="14"/>
  <c r="EA27" i="14"/>
  <c r="EB27" i="14"/>
  <c r="EC27" i="14"/>
  <c r="ED27" i="14"/>
  <c r="EE27" i="14"/>
  <c r="EF27" i="14"/>
  <c r="EG27" i="14"/>
  <c r="EH27" i="14"/>
  <c r="EI27" i="14"/>
  <c r="EJ27" i="14"/>
  <c r="EK27" i="14"/>
  <c r="EL27" i="14"/>
  <c r="EM27" i="14"/>
  <c r="EN27" i="14"/>
  <c r="EO27" i="14"/>
  <c r="EP27" i="14"/>
  <c r="EQ27" i="14"/>
  <c r="ER27" i="14"/>
  <c r="ES27" i="14"/>
  <c r="ET27" i="14"/>
  <c r="EU27" i="14"/>
  <c r="EV27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DM28" i="14"/>
  <c r="DN28" i="14"/>
  <c r="DO28" i="14"/>
  <c r="DP28" i="14"/>
  <c r="DQ28" i="14"/>
  <c r="DR28" i="14"/>
  <c r="DS28" i="14"/>
  <c r="DT28" i="14"/>
  <c r="DU28" i="14"/>
  <c r="DV28" i="14"/>
  <c r="DW28" i="14"/>
  <c r="DX28" i="14"/>
  <c r="DY28" i="14"/>
  <c r="DZ28" i="14"/>
  <c r="EA28" i="14"/>
  <c r="EB28" i="14"/>
  <c r="EC28" i="14"/>
  <c r="ED28" i="14"/>
  <c r="EE28" i="14"/>
  <c r="EF28" i="14"/>
  <c r="EG28" i="14"/>
  <c r="EH28" i="14"/>
  <c r="EI28" i="14"/>
  <c r="EJ28" i="14"/>
  <c r="EK28" i="14"/>
  <c r="EL28" i="14"/>
  <c r="EM28" i="14"/>
  <c r="EN28" i="14"/>
  <c r="EO28" i="14"/>
  <c r="EP28" i="14"/>
  <c r="EQ28" i="14"/>
  <c r="ER28" i="14"/>
  <c r="ES28" i="14"/>
  <c r="ET28" i="14"/>
  <c r="EU28" i="14"/>
  <c r="EV28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U29" i="14"/>
  <c r="CV29" i="14"/>
  <c r="CW29" i="14"/>
  <c r="CX29" i="14"/>
  <c r="CY29" i="14"/>
  <c r="CZ29" i="14"/>
  <c r="DA29" i="14"/>
  <c r="DB29" i="14"/>
  <c r="DC29" i="14"/>
  <c r="DD29" i="14"/>
  <c r="DE29" i="14"/>
  <c r="DF29" i="14"/>
  <c r="DG29" i="14"/>
  <c r="DH29" i="14"/>
  <c r="DI29" i="14"/>
  <c r="DJ29" i="14"/>
  <c r="DK29" i="14"/>
  <c r="DL29" i="14"/>
  <c r="DM29" i="14"/>
  <c r="DN29" i="14"/>
  <c r="DO29" i="14"/>
  <c r="DP29" i="14"/>
  <c r="DQ29" i="14"/>
  <c r="DR29" i="14"/>
  <c r="DS29" i="14"/>
  <c r="DT29" i="14"/>
  <c r="DU29" i="14"/>
  <c r="DV29" i="14"/>
  <c r="DW29" i="14"/>
  <c r="DX29" i="14"/>
  <c r="DY29" i="14"/>
  <c r="DZ29" i="14"/>
  <c r="EA29" i="14"/>
  <c r="EB29" i="14"/>
  <c r="EC29" i="14"/>
  <c r="ED29" i="14"/>
  <c r="EE29" i="14"/>
  <c r="EF29" i="14"/>
  <c r="EG29" i="14"/>
  <c r="EH29" i="14"/>
  <c r="EI29" i="14"/>
  <c r="EJ29" i="14"/>
  <c r="EK29" i="14"/>
  <c r="EL29" i="14"/>
  <c r="EM29" i="14"/>
  <c r="EN29" i="14"/>
  <c r="EO29" i="14"/>
  <c r="EP29" i="14"/>
  <c r="EQ29" i="14"/>
  <c r="ER29" i="14"/>
  <c r="ES29" i="14"/>
  <c r="ET29" i="14"/>
  <c r="EU29" i="14"/>
  <c r="EV29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DA32" i="14"/>
  <c r="DB32" i="14"/>
  <c r="DC32" i="14"/>
  <c r="DD32" i="14"/>
  <c r="DE32" i="14"/>
  <c r="DF32" i="14"/>
  <c r="DG32" i="14"/>
  <c r="DH32" i="14"/>
  <c r="DI32" i="14"/>
  <c r="DJ32" i="14"/>
  <c r="DK32" i="14"/>
  <c r="DL32" i="14"/>
  <c r="DM32" i="14"/>
  <c r="DN32" i="14"/>
  <c r="DO32" i="14"/>
  <c r="DP32" i="14"/>
  <c r="DQ32" i="14"/>
  <c r="DR32" i="14"/>
  <c r="DS32" i="14"/>
  <c r="DT32" i="14"/>
  <c r="DU32" i="14"/>
  <c r="DV32" i="14"/>
  <c r="DW32" i="14"/>
  <c r="DX32" i="14"/>
  <c r="DY32" i="14"/>
  <c r="DZ32" i="14"/>
  <c r="EA32" i="14"/>
  <c r="EB32" i="14"/>
  <c r="EC32" i="14"/>
  <c r="ED32" i="14"/>
  <c r="EE32" i="14"/>
  <c r="EF32" i="14"/>
  <c r="EG32" i="14"/>
  <c r="EH32" i="14"/>
  <c r="EI32" i="14"/>
  <c r="EJ32" i="14"/>
  <c r="EK32" i="14"/>
  <c r="EL32" i="14"/>
  <c r="EM32" i="14"/>
  <c r="EN32" i="14"/>
  <c r="EO32" i="14"/>
  <c r="EP32" i="14"/>
  <c r="EQ32" i="14"/>
  <c r="ER32" i="14"/>
  <c r="ES32" i="14"/>
  <c r="ET32" i="14"/>
  <c r="EU32" i="14"/>
  <c r="EV32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BQ33" i="14"/>
  <c r="BR33" i="14"/>
  <c r="BS33" i="14"/>
  <c r="BT33" i="14"/>
  <c r="BU33" i="14"/>
  <c r="BV33" i="14"/>
  <c r="BW33" i="14"/>
  <c r="BX33" i="14"/>
  <c r="BY33" i="14"/>
  <c r="BZ33" i="14"/>
  <c r="CA33" i="14"/>
  <c r="CB33" i="14"/>
  <c r="CC33" i="14"/>
  <c r="CD33" i="14"/>
  <c r="CE33" i="14"/>
  <c r="CF33" i="14"/>
  <c r="CG33" i="14"/>
  <c r="CH33" i="14"/>
  <c r="CI33" i="14"/>
  <c r="CJ33" i="14"/>
  <c r="CK33" i="14"/>
  <c r="CL33" i="14"/>
  <c r="CM33" i="14"/>
  <c r="CN33" i="14"/>
  <c r="CO33" i="14"/>
  <c r="CP33" i="14"/>
  <c r="CQ33" i="14"/>
  <c r="CR33" i="14"/>
  <c r="CS33" i="14"/>
  <c r="CT33" i="14"/>
  <c r="CU33" i="14"/>
  <c r="CV33" i="14"/>
  <c r="CW33" i="14"/>
  <c r="CX33" i="14"/>
  <c r="CY33" i="14"/>
  <c r="CZ33" i="14"/>
  <c r="DA33" i="14"/>
  <c r="DB33" i="14"/>
  <c r="DC33" i="14"/>
  <c r="DD33" i="14"/>
  <c r="DE33" i="14"/>
  <c r="DF33" i="14"/>
  <c r="DG33" i="14"/>
  <c r="DH33" i="14"/>
  <c r="DI33" i="14"/>
  <c r="DJ33" i="14"/>
  <c r="DK33" i="14"/>
  <c r="DL33" i="14"/>
  <c r="DM33" i="14"/>
  <c r="DN33" i="14"/>
  <c r="DO33" i="14"/>
  <c r="DP33" i="14"/>
  <c r="DQ33" i="14"/>
  <c r="DR33" i="14"/>
  <c r="DS33" i="14"/>
  <c r="DT33" i="14"/>
  <c r="DU33" i="14"/>
  <c r="DV33" i="14"/>
  <c r="DW33" i="14"/>
  <c r="DX33" i="14"/>
  <c r="DY33" i="14"/>
  <c r="DZ33" i="14"/>
  <c r="EA33" i="14"/>
  <c r="EB33" i="14"/>
  <c r="EC33" i="14"/>
  <c r="ED33" i="14"/>
  <c r="EE33" i="14"/>
  <c r="EF33" i="14"/>
  <c r="EG33" i="14"/>
  <c r="EH33" i="14"/>
  <c r="EI33" i="14"/>
  <c r="EJ33" i="14"/>
  <c r="EK33" i="14"/>
  <c r="EL33" i="14"/>
  <c r="EM33" i="14"/>
  <c r="EN33" i="14"/>
  <c r="EO33" i="14"/>
  <c r="EP33" i="14"/>
  <c r="EQ33" i="14"/>
  <c r="ER33" i="14"/>
  <c r="ES33" i="14"/>
  <c r="ET33" i="14"/>
  <c r="EU33" i="14"/>
  <c r="EV33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EF34" i="14"/>
  <c r="EG34" i="14"/>
  <c r="EH34" i="14"/>
  <c r="EI34" i="14"/>
  <c r="EJ34" i="14"/>
  <c r="EK34" i="14"/>
  <c r="EL34" i="14"/>
  <c r="EM34" i="14"/>
  <c r="EN34" i="14"/>
  <c r="EO34" i="14"/>
  <c r="EP34" i="14"/>
  <c r="EQ34" i="14"/>
  <c r="ER34" i="14"/>
  <c r="ES34" i="14"/>
  <c r="ET34" i="14"/>
  <c r="EU34" i="14"/>
  <c r="EV34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DM35" i="14"/>
  <c r="DN35" i="14"/>
  <c r="DO35" i="14"/>
  <c r="DP35" i="14"/>
  <c r="DQ35" i="14"/>
  <c r="DR35" i="14"/>
  <c r="DS35" i="14"/>
  <c r="DT35" i="14"/>
  <c r="DU35" i="14"/>
  <c r="DV35" i="14"/>
  <c r="DW35" i="14"/>
  <c r="DX35" i="14"/>
  <c r="DY35" i="14"/>
  <c r="DZ35" i="14"/>
  <c r="EA35" i="14"/>
  <c r="EB35" i="14"/>
  <c r="EC35" i="14"/>
  <c r="ED35" i="14"/>
  <c r="EE35" i="14"/>
  <c r="EF35" i="14"/>
  <c r="EG35" i="14"/>
  <c r="EH35" i="14"/>
  <c r="EI35" i="14"/>
  <c r="EJ35" i="14"/>
  <c r="EK35" i="14"/>
  <c r="EL35" i="14"/>
  <c r="EM35" i="14"/>
  <c r="EN35" i="14"/>
  <c r="EO35" i="14"/>
  <c r="EP35" i="14"/>
  <c r="EQ35" i="14"/>
  <c r="ER35" i="14"/>
  <c r="ES35" i="14"/>
  <c r="ET35" i="14"/>
  <c r="EU35" i="14"/>
  <c r="EV35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DM36" i="14"/>
  <c r="DN36" i="14"/>
  <c r="DO36" i="14"/>
  <c r="DP36" i="14"/>
  <c r="DQ36" i="14"/>
  <c r="DR36" i="14"/>
  <c r="DS36" i="14"/>
  <c r="DT36" i="14"/>
  <c r="DU36" i="14"/>
  <c r="DV36" i="14"/>
  <c r="DW36" i="14"/>
  <c r="DX36" i="14"/>
  <c r="DY36" i="14"/>
  <c r="DZ36" i="14"/>
  <c r="EA36" i="14"/>
  <c r="EB36" i="14"/>
  <c r="EC36" i="14"/>
  <c r="ED36" i="14"/>
  <c r="EE36" i="14"/>
  <c r="EF36" i="14"/>
  <c r="EG36" i="14"/>
  <c r="EH36" i="14"/>
  <c r="EI36" i="14"/>
  <c r="EJ36" i="14"/>
  <c r="EK36" i="14"/>
  <c r="EL36" i="14"/>
  <c r="EM36" i="14"/>
  <c r="EN36" i="14"/>
  <c r="EO36" i="14"/>
  <c r="EP36" i="14"/>
  <c r="EQ36" i="14"/>
  <c r="ER36" i="14"/>
  <c r="ES36" i="14"/>
  <c r="ET36" i="14"/>
  <c r="EU36" i="14"/>
  <c r="EV36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DM25" i="14"/>
  <c r="DN25" i="14"/>
  <c r="DO25" i="14"/>
  <c r="DP25" i="14"/>
  <c r="DQ25" i="14"/>
  <c r="DR25" i="14"/>
  <c r="DS25" i="14"/>
  <c r="DT25" i="14"/>
  <c r="DU25" i="14"/>
  <c r="DV25" i="14"/>
  <c r="DW25" i="14"/>
  <c r="DX25" i="14"/>
  <c r="DY25" i="14"/>
  <c r="DZ25" i="14"/>
  <c r="EA25" i="14"/>
  <c r="EB25" i="14"/>
  <c r="EC25" i="14"/>
  <c r="ED25" i="14"/>
  <c r="EE25" i="14"/>
  <c r="EF25" i="14"/>
  <c r="EG25" i="14"/>
  <c r="EH25" i="14"/>
  <c r="EI25" i="14"/>
  <c r="EJ25" i="14"/>
  <c r="EK25" i="14"/>
  <c r="EL25" i="14"/>
  <c r="EM25" i="14"/>
  <c r="EN25" i="14"/>
  <c r="EO25" i="14"/>
  <c r="EP25" i="14"/>
  <c r="EQ25" i="14"/>
  <c r="ER25" i="14"/>
  <c r="ES25" i="14"/>
  <c r="ET25" i="14"/>
  <c r="EU25" i="14"/>
  <c r="EV25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CW13" i="14"/>
  <c r="CX13" i="14"/>
  <c r="CY13" i="14"/>
  <c r="CZ13" i="14"/>
  <c r="DA13" i="14"/>
  <c r="DB13" i="14"/>
  <c r="DC13" i="14"/>
  <c r="DD13" i="14"/>
  <c r="DE13" i="14"/>
  <c r="DF13" i="14"/>
  <c r="DG13" i="14"/>
  <c r="DH13" i="14"/>
  <c r="DI13" i="14"/>
  <c r="DJ13" i="14"/>
  <c r="DK13" i="14"/>
  <c r="DL13" i="14"/>
  <c r="DM13" i="14"/>
  <c r="DN13" i="14"/>
  <c r="DO13" i="14"/>
  <c r="DP13" i="14"/>
  <c r="DQ13" i="14"/>
  <c r="DR13" i="14"/>
  <c r="DS13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EF13" i="14"/>
  <c r="EG13" i="14"/>
  <c r="EH13" i="14"/>
  <c r="EI13" i="14"/>
  <c r="EJ13" i="14"/>
  <c r="EK13" i="14"/>
  <c r="EL13" i="14"/>
  <c r="EM13" i="14"/>
  <c r="EN13" i="14"/>
  <c r="EO13" i="14"/>
  <c r="EP13" i="14"/>
  <c r="EQ13" i="14"/>
  <c r="ER13" i="14"/>
  <c r="ES13" i="14"/>
  <c r="ET13" i="14"/>
  <c r="EU13" i="14"/>
  <c r="EV13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CW14" i="14"/>
  <c r="CX14" i="14"/>
  <c r="CY14" i="14"/>
  <c r="CZ14" i="14"/>
  <c r="DA14" i="14"/>
  <c r="DB14" i="14"/>
  <c r="DC14" i="14"/>
  <c r="DD14" i="14"/>
  <c r="DE14" i="14"/>
  <c r="DF14" i="14"/>
  <c r="DG14" i="14"/>
  <c r="DH14" i="14"/>
  <c r="DI14" i="14"/>
  <c r="DJ14" i="14"/>
  <c r="DK14" i="14"/>
  <c r="DL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EG14" i="14"/>
  <c r="EH14" i="14"/>
  <c r="EI14" i="14"/>
  <c r="EJ14" i="14"/>
  <c r="EK14" i="14"/>
  <c r="EL14" i="14"/>
  <c r="EM14" i="14"/>
  <c r="EN14" i="14"/>
  <c r="EO14" i="14"/>
  <c r="EP14" i="14"/>
  <c r="EQ14" i="14"/>
  <c r="ER14" i="14"/>
  <c r="ES14" i="14"/>
  <c r="ET14" i="14"/>
  <c r="EU14" i="14"/>
  <c r="EV14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CW15" i="14"/>
  <c r="CX15" i="14"/>
  <c r="CY15" i="14"/>
  <c r="CZ15" i="14"/>
  <c r="DA15" i="14"/>
  <c r="DB15" i="14"/>
  <c r="DC15" i="14"/>
  <c r="DD15" i="14"/>
  <c r="DE15" i="14"/>
  <c r="DF15" i="14"/>
  <c r="DG15" i="14"/>
  <c r="DH15" i="14"/>
  <c r="DI15" i="14"/>
  <c r="DJ15" i="14"/>
  <c r="DK15" i="14"/>
  <c r="DL15" i="14"/>
  <c r="DM15" i="14"/>
  <c r="DN15" i="14"/>
  <c r="DO15" i="14"/>
  <c r="DP15" i="14"/>
  <c r="DQ15" i="14"/>
  <c r="DR15" i="14"/>
  <c r="DS15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EF15" i="14"/>
  <c r="EG15" i="14"/>
  <c r="EH15" i="14"/>
  <c r="EI15" i="14"/>
  <c r="EJ15" i="14"/>
  <c r="EK15" i="14"/>
  <c r="EL15" i="14"/>
  <c r="EM15" i="14"/>
  <c r="EN15" i="14"/>
  <c r="EO15" i="14"/>
  <c r="EP15" i="14"/>
  <c r="EQ15" i="14"/>
  <c r="ER15" i="14"/>
  <c r="ES15" i="14"/>
  <c r="ET15" i="14"/>
  <c r="EU15" i="14"/>
  <c r="EV15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DM16" i="14"/>
  <c r="DN16" i="14"/>
  <c r="DO16" i="14"/>
  <c r="DP16" i="14"/>
  <c r="DQ16" i="14"/>
  <c r="DR16" i="14"/>
  <c r="DS16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EF16" i="14"/>
  <c r="EG16" i="14"/>
  <c r="EH16" i="14"/>
  <c r="EI16" i="14"/>
  <c r="EJ16" i="14"/>
  <c r="EK16" i="14"/>
  <c r="EL16" i="14"/>
  <c r="EM16" i="14"/>
  <c r="EN16" i="14"/>
  <c r="EO16" i="14"/>
  <c r="EP16" i="14"/>
  <c r="EQ16" i="14"/>
  <c r="ER16" i="14"/>
  <c r="ES16" i="14"/>
  <c r="ET16" i="14"/>
  <c r="EU16" i="14"/>
  <c r="EV16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CN17" i="14"/>
  <c r="CO17" i="14"/>
  <c r="CP17" i="14"/>
  <c r="CQ17" i="14"/>
  <c r="CR17" i="14"/>
  <c r="CS17" i="14"/>
  <c r="CT17" i="14"/>
  <c r="CU17" i="14"/>
  <c r="CV17" i="14"/>
  <c r="CW17" i="14"/>
  <c r="CX17" i="14"/>
  <c r="CY17" i="14"/>
  <c r="CZ17" i="14"/>
  <c r="DA17" i="14"/>
  <c r="DB17" i="14"/>
  <c r="DC17" i="14"/>
  <c r="DD17" i="14"/>
  <c r="DE17" i="14"/>
  <c r="DF17" i="14"/>
  <c r="DG17" i="14"/>
  <c r="DH17" i="14"/>
  <c r="DI17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EG17" i="14"/>
  <c r="EH17" i="14"/>
  <c r="EI17" i="14"/>
  <c r="EJ17" i="14"/>
  <c r="EK17" i="14"/>
  <c r="EL17" i="14"/>
  <c r="EM17" i="14"/>
  <c r="EN17" i="14"/>
  <c r="EO17" i="14"/>
  <c r="EP17" i="14"/>
  <c r="EQ17" i="14"/>
  <c r="ER17" i="14"/>
  <c r="ES17" i="14"/>
  <c r="ET17" i="14"/>
  <c r="EU17" i="14"/>
  <c r="EV17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BS18" i="14"/>
  <c r="BT18" i="14"/>
  <c r="BU18" i="14"/>
  <c r="BV18" i="14"/>
  <c r="BW18" i="14"/>
  <c r="BX18" i="14"/>
  <c r="BY18" i="14"/>
  <c r="BZ18" i="14"/>
  <c r="CA18" i="14"/>
  <c r="CB18" i="14"/>
  <c r="CC18" i="14"/>
  <c r="CD18" i="14"/>
  <c r="CE18" i="14"/>
  <c r="CF18" i="14"/>
  <c r="CG18" i="14"/>
  <c r="CH18" i="14"/>
  <c r="CI18" i="14"/>
  <c r="CJ18" i="14"/>
  <c r="CK18" i="14"/>
  <c r="CL18" i="14"/>
  <c r="CM18" i="14"/>
  <c r="CN18" i="14"/>
  <c r="CO18" i="14"/>
  <c r="DU18" i="14" s="1"/>
  <c r="CP18" i="14"/>
  <c r="CQ18" i="14"/>
  <c r="CR18" i="14"/>
  <c r="CS18" i="14"/>
  <c r="CT18" i="14"/>
  <c r="CU18" i="14"/>
  <c r="CV18" i="14"/>
  <c r="CW18" i="14"/>
  <c r="EC18" i="14" s="1"/>
  <c r="CX18" i="14"/>
  <c r="CY18" i="14"/>
  <c r="CZ18" i="14"/>
  <c r="DA18" i="14"/>
  <c r="DB18" i="14"/>
  <c r="DC18" i="14"/>
  <c r="DD18" i="14"/>
  <c r="DE18" i="14"/>
  <c r="EK18" i="14" s="1"/>
  <c r="DF18" i="14"/>
  <c r="DG18" i="14"/>
  <c r="DH18" i="14"/>
  <c r="DI18" i="14"/>
  <c r="DJ18" i="14"/>
  <c r="DK18" i="14"/>
  <c r="DL18" i="14"/>
  <c r="DM18" i="14"/>
  <c r="ES18" i="14" s="1"/>
  <c r="DN18" i="14"/>
  <c r="DO18" i="14"/>
  <c r="DP18" i="14"/>
  <c r="DQ18" i="14"/>
  <c r="DR18" i="14"/>
  <c r="DS18" i="14"/>
  <c r="DT18" i="14"/>
  <c r="DX18" i="14"/>
  <c r="DY18" i="14"/>
  <c r="DZ18" i="14"/>
  <c r="EA18" i="14"/>
  <c r="EB18" i="14"/>
  <c r="EG18" i="14"/>
  <c r="EH18" i="14"/>
  <c r="EI18" i="14"/>
  <c r="EJ18" i="14"/>
  <c r="EO18" i="14"/>
  <c r="EP18" i="14"/>
  <c r="EQ18" i="14"/>
  <c r="ER18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BR19" i="14"/>
  <c r="BS19" i="14"/>
  <c r="BT19" i="14"/>
  <c r="BU19" i="14"/>
  <c r="BV19" i="14"/>
  <c r="BW19" i="14"/>
  <c r="BX19" i="14"/>
  <c r="BY19" i="14"/>
  <c r="BZ19" i="14"/>
  <c r="CA19" i="14"/>
  <c r="CB19" i="14"/>
  <c r="CC19" i="14"/>
  <c r="CD19" i="14"/>
  <c r="CE19" i="14"/>
  <c r="CF19" i="14"/>
  <c r="CG19" i="14"/>
  <c r="CH19" i="14"/>
  <c r="CI19" i="14"/>
  <c r="CJ19" i="14"/>
  <c r="CK19" i="14"/>
  <c r="CL19" i="14"/>
  <c r="CM19" i="14"/>
  <c r="CN19" i="14"/>
  <c r="CO19" i="14"/>
  <c r="CP19" i="14"/>
  <c r="CQ19" i="14"/>
  <c r="CR19" i="14"/>
  <c r="CS19" i="14"/>
  <c r="CT19" i="14"/>
  <c r="CU19" i="14"/>
  <c r="CV19" i="14"/>
  <c r="CW19" i="14"/>
  <c r="CX19" i="14"/>
  <c r="CY19" i="14"/>
  <c r="CZ19" i="14"/>
  <c r="DA19" i="14"/>
  <c r="DB19" i="14"/>
  <c r="DC19" i="14"/>
  <c r="DD19" i="14"/>
  <c r="DE19" i="14"/>
  <c r="DF19" i="14"/>
  <c r="DG19" i="14"/>
  <c r="DH19" i="14"/>
  <c r="DI19" i="14"/>
  <c r="DJ19" i="14"/>
  <c r="DK19" i="14"/>
  <c r="DL19" i="14"/>
  <c r="DM19" i="14"/>
  <c r="DN19" i="14"/>
  <c r="DO19" i="14"/>
  <c r="DP19" i="14"/>
  <c r="DQ19" i="14"/>
  <c r="DR19" i="14"/>
  <c r="DS19" i="14"/>
  <c r="DT19" i="14"/>
  <c r="DU19" i="14"/>
  <c r="DV19" i="14"/>
  <c r="DW19" i="14"/>
  <c r="DX19" i="14"/>
  <c r="DY19" i="14"/>
  <c r="DZ19" i="14"/>
  <c r="EA19" i="14"/>
  <c r="EB19" i="14"/>
  <c r="EC19" i="14"/>
  <c r="ED19" i="14"/>
  <c r="EE19" i="14"/>
  <c r="EF19" i="14"/>
  <c r="EG19" i="14"/>
  <c r="EH19" i="14"/>
  <c r="EI19" i="14"/>
  <c r="EJ19" i="14"/>
  <c r="EK19" i="14"/>
  <c r="EL19" i="14"/>
  <c r="EM19" i="14"/>
  <c r="EN19" i="14"/>
  <c r="EO19" i="14"/>
  <c r="EP19" i="14"/>
  <c r="EQ19" i="14"/>
  <c r="ER19" i="14"/>
  <c r="ES19" i="14"/>
  <c r="ET19" i="14"/>
  <c r="EU19" i="14"/>
  <c r="EV19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BR20" i="14"/>
  <c r="BS20" i="14"/>
  <c r="BT20" i="14"/>
  <c r="BU20" i="14"/>
  <c r="BV20" i="14"/>
  <c r="BW20" i="14"/>
  <c r="BX20" i="14"/>
  <c r="BY20" i="14"/>
  <c r="BZ20" i="14"/>
  <c r="CA20" i="14"/>
  <c r="CB20" i="14"/>
  <c r="CC20" i="14"/>
  <c r="CD20" i="14"/>
  <c r="CE20" i="14"/>
  <c r="CF20" i="14"/>
  <c r="CG20" i="14"/>
  <c r="CH20" i="14"/>
  <c r="CI20" i="14"/>
  <c r="CJ20" i="14"/>
  <c r="CK20" i="14"/>
  <c r="CL20" i="14"/>
  <c r="CM20" i="14"/>
  <c r="CN20" i="14"/>
  <c r="CO20" i="14"/>
  <c r="CP20" i="14"/>
  <c r="CQ20" i="14"/>
  <c r="CR20" i="14"/>
  <c r="CS20" i="14"/>
  <c r="CT20" i="14"/>
  <c r="CU20" i="14"/>
  <c r="CV20" i="14"/>
  <c r="CW20" i="14"/>
  <c r="CX20" i="14"/>
  <c r="CY20" i="14"/>
  <c r="CZ20" i="14"/>
  <c r="DA20" i="14"/>
  <c r="DB20" i="14"/>
  <c r="DC20" i="14"/>
  <c r="DD20" i="14"/>
  <c r="DE20" i="14"/>
  <c r="DF20" i="14"/>
  <c r="DG20" i="14"/>
  <c r="DH20" i="14"/>
  <c r="DI20" i="14"/>
  <c r="DJ20" i="14"/>
  <c r="DK20" i="14"/>
  <c r="DL20" i="14"/>
  <c r="DM20" i="14"/>
  <c r="DN20" i="14"/>
  <c r="DO20" i="14"/>
  <c r="DP20" i="14"/>
  <c r="DQ20" i="14"/>
  <c r="DR20" i="14"/>
  <c r="DS20" i="14"/>
  <c r="DT20" i="14"/>
  <c r="DU20" i="14"/>
  <c r="DV20" i="14"/>
  <c r="DW20" i="14"/>
  <c r="DX20" i="14"/>
  <c r="DY20" i="14"/>
  <c r="DZ20" i="14"/>
  <c r="EA20" i="14"/>
  <c r="EB20" i="14"/>
  <c r="EC20" i="14"/>
  <c r="ED20" i="14"/>
  <c r="EE20" i="14"/>
  <c r="EF20" i="14"/>
  <c r="EG20" i="14"/>
  <c r="EH20" i="14"/>
  <c r="EI20" i="14"/>
  <c r="EJ20" i="14"/>
  <c r="EK20" i="14"/>
  <c r="EL20" i="14"/>
  <c r="EM20" i="14"/>
  <c r="EN20" i="14"/>
  <c r="EO20" i="14"/>
  <c r="EP20" i="14"/>
  <c r="EQ20" i="14"/>
  <c r="ER20" i="14"/>
  <c r="ES20" i="14"/>
  <c r="ET20" i="14"/>
  <c r="EU20" i="14"/>
  <c r="EV20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DA21" i="14"/>
  <c r="DB21" i="14"/>
  <c r="DC21" i="14"/>
  <c r="DD21" i="14"/>
  <c r="DE21" i="14"/>
  <c r="DF21" i="14"/>
  <c r="DG21" i="14"/>
  <c r="DH21" i="14"/>
  <c r="DI21" i="14"/>
  <c r="DJ21" i="14"/>
  <c r="DK21" i="14"/>
  <c r="DL21" i="14"/>
  <c r="DM21" i="14"/>
  <c r="DN21" i="14"/>
  <c r="DO21" i="14"/>
  <c r="DP21" i="14"/>
  <c r="DQ21" i="14"/>
  <c r="DR21" i="14"/>
  <c r="DS21" i="14"/>
  <c r="DT21" i="14"/>
  <c r="DU21" i="14"/>
  <c r="DV21" i="14"/>
  <c r="DW21" i="14"/>
  <c r="DX21" i="14"/>
  <c r="DY21" i="14"/>
  <c r="DZ21" i="14"/>
  <c r="EA21" i="14"/>
  <c r="EB21" i="14"/>
  <c r="EC21" i="14"/>
  <c r="ED21" i="14"/>
  <c r="EE21" i="14"/>
  <c r="EF21" i="14"/>
  <c r="EG21" i="14"/>
  <c r="EH21" i="14"/>
  <c r="EI21" i="14"/>
  <c r="EJ21" i="14"/>
  <c r="EK21" i="14"/>
  <c r="EL21" i="14"/>
  <c r="EM21" i="14"/>
  <c r="EN21" i="14"/>
  <c r="EO21" i="14"/>
  <c r="EP21" i="14"/>
  <c r="EQ21" i="14"/>
  <c r="ER21" i="14"/>
  <c r="ES21" i="14"/>
  <c r="ET21" i="14"/>
  <c r="EU21" i="14"/>
  <c r="EV21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CN22" i="14"/>
  <c r="CO22" i="14"/>
  <c r="CP22" i="14"/>
  <c r="CQ22" i="14"/>
  <c r="CR22" i="14"/>
  <c r="CS22" i="14"/>
  <c r="CT22" i="14"/>
  <c r="CU22" i="14"/>
  <c r="CV22" i="14"/>
  <c r="CW22" i="14"/>
  <c r="CX22" i="14"/>
  <c r="CY22" i="14"/>
  <c r="CZ22" i="14"/>
  <c r="DA22" i="14"/>
  <c r="DB22" i="14"/>
  <c r="DC22" i="14"/>
  <c r="DD22" i="14"/>
  <c r="DE22" i="14"/>
  <c r="DF22" i="14"/>
  <c r="DG22" i="14"/>
  <c r="DH22" i="14"/>
  <c r="DI22" i="14"/>
  <c r="DJ22" i="14"/>
  <c r="DK22" i="14"/>
  <c r="DL22" i="14"/>
  <c r="DM22" i="14"/>
  <c r="DN22" i="14"/>
  <c r="DO22" i="14"/>
  <c r="DP22" i="14"/>
  <c r="DQ22" i="14"/>
  <c r="DR22" i="14"/>
  <c r="DS22" i="14"/>
  <c r="DT22" i="14"/>
  <c r="DU22" i="14"/>
  <c r="DV22" i="14"/>
  <c r="DW22" i="14"/>
  <c r="DX22" i="14"/>
  <c r="DY22" i="14"/>
  <c r="DZ22" i="14"/>
  <c r="EA22" i="14"/>
  <c r="EB22" i="14"/>
  <c r="EC22" i="14"/>
  <c r="ED22" i="14"/>
  <c r="EE22" i="14"/>
  <c r="EF22" i="14"/>
  <c r="EG22" i="14"/>
  <c r="EH22" i="14"/>
  <c r="EI22" i="14"/>
  <c r="EJ22" i="14"/>
  <c r="EK22" i="14"/>
  <c r="EL22" i="14"/>
  <c r="EM22" i="14"/>
  <c r="EN22" i="14"/>
  <c r="EO22" i="14"/>
  <c r="EP22" i="14"/>
  <c r="EQ22" i="14"/>
  <c r="ER22" i="14"/>
  <c r="ES22" i="14"/>
  <c r="ET22" i="14"/>
  <c r="EU22" i="14"/>
  <c r="EV22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DM23" i="14"/>
  <c r="DN23" i="14"/>
  <c r="DO23" i="14"/>
  <c r="DP23" i="14"/>
  <c r="DQ23" i="14"/>
  <c r="DR23" i="14"/>
  <c r="DS23" i="14"/>
  <c r="DT23" i="14"/>
  <c r="DU23" i="14"/>
  <c r="DV23" i="14"/>
  <c r="DW23" i="14"/>
  <c r="DX23" i="14"/>
  <c r="DY23" i="14"/>
  <c r="DZ23" i="14"/>
  <c r="EA23" i="14"/>
  <c r="EB23" i="14"/>
  <c r="EC23" i="14"/>
  <c r="ED23" i="14"/>
  <c r="EE23" i="14"/>
  <c r="EF23" i="14"/>
  <c r="EG23" i="14"/>
  <c r="EH23" i="14"/>
  <c r="EI23" i="14"/>
  <c r="EJ23" i="14"/>
  <c r="EK23" i="14"/>
  <c r="EL23" i="14"/>
  <c r="EM23" i="14"/>
  <c r="EN23" i="14"/>
  <c r="EO23" i="14"/>
  <c r="EP23" i="14"/>
  <c r="EQ23" i="14"/>
  <c r="ER23" i="14"/>
  <c r="ES23" i="14"/>
  <c r="ET23" i="14"/>
  <c r="EU23" i="14"/>
  <c r="EV23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EF24" i="14"/>
  <c r="EG24" i="14"/>
  <c r="EH24" i="14"/>
  <c r="EI24" i="14"/>
  <c r="EJ24" i="14"/>
  <c r="EK24" i="14"/>
  <c r="EL24" i="14"/>
  <c r="EM24" i="14"/>
  <c r="EN24" i="14"/>
  <c r="EO24" i="14"/>
  <c r="EP24" i="14"/>
  <c r="EQ24" i="14"/>
  <c r="ER24" i="14"/>
  <c r="ES24" i="14"/>
  <c r="ET24" i="14"/>
  <c r="EU24" i="14"/>
  <c r="EV24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DC12" i="14"/>
  <c r="DD12" i="14"/>
  <c r="DE12" i="14"/>
  <c r="DF12" i="14"/>
  <c r="DG12" i="14"/>
  <c r="DH12" i="14"/>
  <c r="DI12" i="14"/>
  <c r="DJ12" i="14"/>
  <c r="DK12" i="14"/>
  <c r="DL12" i="14"/>
  <c r="DM12" i="14"/>
  <c r="DN12" i="14"/>
  <c r="DO12" i="14"/>
  <c r="DP12" i="14"/>
  <c r="DQ12" i="14"/>
  <c r="DR12" i="14"/>
  <c r="DS12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EF12" i="14"/>
  <c r="EG12" i="14"/>
  <c r="EH12" i="14"/>
  <c r="EI12" i="14"/>
  <c r="EJ12" i="14"/>
  <c r="EK12" i="14"/>
  <c r="EL12" i="14"/>
  <c r="EM12" i="14"/>
  <c r="EN12" i="14"/>
  <c r="EO12" i="14"/>
  <c r="EP12" i="14"/>
  <c r="EQ12" i="14"/>
  <c r="ER12" i="14"/>
  <c r="ES12" i="14"/>
  <c r="ET12" i="14"/>
  <c r="EU12" i="14"/>
  <c r="EV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F31" i="6" l="1"/>
  <c r="F32" i="6"/>
  <c r="F30" i="6"/>
  <c r="EZ29" i="14"/>
  <c r="EU25" i="3" s="1"/>
  <c r="G22" i="6" s="1"/>
  <c r="EZ28" i="14"/>
  <c r="EU24" i="3" s="1"/>
  <c r="G21" i="6" s="1"/>
  <c r="K21" i="6" s="1"/>
  <c r="L21" i="6" s="1"/>
  <c r="ET32" i="3"/>
  <c r="C29" i="6" s="1"/>
  <c r="E29" i="6" s="1"/>
  <c r="ET15" i="3"/>
  <c r="C12" i="6" s="1"/>
  <c r="FA36" i="14"/>
  <c r="EV32" i="3" s="1"/>
  <c r="FA18" i="14"/>
  <c r="EV14" i="3" s="1"/>
  <c r="H11" i="6" s="1"/>
  <c r="FA27" i="14"/>
  <c r="EV23" i="3" s="1"/>
  <c r="H20" i="6" s="1"/>
  <c r="FA19" i="14"/>
  <c r="EV15" i="3" s="1"/>
  <c r="H12" i="6" s="1"/>
  <c r="ET14" i="3"/>
  <c r="C11" i="6" s="1"/>
  <c r="FA26" i="14"/>
  <c r="EV22" i="3" s="1"/>
  <c r="H19" i="6" s="1"/>
  <c r="K19" i="6" s="1"/>
  <c r="L19" i="6" s="1"/>
  <c r="M19" i="6" s="1"/>
  <c r="EZ20" i="14"/>
  <c r="EU16" i="3" s="1"/>
  <c r="G13" i="6" s="1"/>
  <c r="FA33" i="14"/>
  <c r="EV29" i="3" s="1"/>
  <c r="H28" i="6" s="1"/>
  <c r="K28" i="6" s="1"/>
  <c r="L28" i="6" s="1"/>
  <c r="F22" i="6"/>
  <c r="F28" i="6"/>
  <c r="F26" i="6"/>
  <c r="F18" i="6"/>
  <c r="E25" i="6"/>
  <c r="K20" i="6"/>
  <c r="L20" i="6" s="1"/>
  <c r="EZ13" i="14"/>
  <c r="EU9" i="3" s="1"/>
  <c r="G6" i="6" s="1"/>
  <c r="F20" i="6"/>
  <c r="ET19" i="3"/>
  <c r="C16" i="6" s="1"/>
  <c r="EZ23" i="14"/>
  <c r="EU19" i="3" s="1"/>
  <c r="G16" i="6" s="1"/>
  <c r="EZ35" i="14"/>
  <c r="EU31" i="3" s="1"/>
  <c r="G29" i="6" s="1"/>
  <c r="F19" i="6"/>
  <c r="FA29" i="14"/>
  <c r="EV25" i="3" s="1"/>
  <c r="H22" i="6" s="1"/>
  <c r="K22" i="6" s="1"/>
  <c r="L22" i="6" s="1"/>
  <c r="FA34" i="14"/>
  <c r="EV30" i="3" s="1"/>
  <c r="H29" i="6" s="1"/>
  <c r="FA21" i="14"/>
  <c r="EV17" i="3" s="1"/>
  <c r="H14" i="6" s="1"/>
  <c r="ET9" i="3"/>
  <c r="C6" i="6" s="1"/>
  <c r="ET17" i="3"/>
  <c r="C14" i="6" s="1"/>
  <c r="EZ25" i="14"/>
  <c r="EU21" i="3" s="1"/>
  <c r="G18" i="6" s="1"/>
  <c r="FA24" i="14"/>
  <c r="EV20" i="3" s="1"/>
  <c r="H17" i="6" s="1"/>
  <c r="ET20" i="3"/>
  <c r="C17" i="6" s="1"/>
  <c r="FA35" i="14"/>
  <c r="EV31" i="3" s="1"/>
  <c r="F29" i="6"/>
  <c r="FA32" i="14"/>
  <c r="EV28" i="3" s="1"/>
  <c r="H27" i="6" s="1"/>
  <c r="K27" i="6" s="1"/>
  <c r="L27" i="6" s="1"/>
  <c r="M27" i="6" s="1"/>
  <c r="FA22" i="14"/>
  <c r="EV18" i="3" s="1"/>
  <c r="H15" i="6" s="1"/>
  <c r="EZ22" i="14"/>
  <c r="EU18" i="3" s="1"/>
  <c r="G15" i="6" s="1"/>
  <c r="F21" i="6"/>
  <c r="FA28" i="14"/>
  <c r="EV24" i="3" s="1"/>
  <c r="H21" i="6" s="1"/>
  <c r="FA20" i="14"/>
  <c r="EV16" i="3" s="1"/>
  <c r="H13" i="6" s="1"/>
  <c r="FA25" i="14"/>
  <c r="EV21" i="3" s="1"/>
  <c r="H18" i="6" s="1"/>
  <c r="BU48" i="14"/>
  <c r="CQ48" i="14"/>
  <c r="BS48" i="14"/>
  <c r="CP48" i="14"/>
  <c r="BT48" i="14"/>
  <c r="CO48" i="14"/>
  <c r="DV48" i="14" s="1"/>
  <c r="BV48" i="14"/>
  <c r="CM47" i="14"/>
  <c r="CG47" i="14"/>
  <c r="DR47" i="14" s="1"/>
  <c r="CB47" i="14"/>
  <c r="CN47" i="14"/>
  <c r="DA47" i="14"/>
  <c r="CA47" i="14"/>
  <c r="CJ48" i="14"/>
  <c r="CI48" i="14"/>
  <c r="BR48" i="14"/>
  <c r="CG48" i="14"/>
  <c r="DT48" i="14" s="1"/>
  <c r="BQ48" i="14"/>
  <c r="CN48" i="14"/>
  <c r="CR48" i="14"/>
  <c r="CT47" i="14"/>
  <c r="BZ47" i="14"/>
  <c r="CS47" i="14"/>
  <c r="BY47" i="14"/>
  <c r="DI47" i="14" s="1"/>
  <c r="DY47" i="14"/>
  <c r="CJ47" i="14"/>
  <c r="DQ47" i="14"/>
  <c r="CQ47" i="14"/>
  <c r="CI47" i="14"/>
  <c r="BW47" i="14"/>
  <c r="CL47" i="14"/>
  <c r="CK47" i="14"/>
  <c r="CR47" i="14"/>
  <c r="BX47" i="14"/>
  <c r="DB47" i="14"/>
  <c r="BR47" i="14"/>
  <c r="CP46" i="14"/>
  <c r="CV46" i="14"/>
  <c r="CQ46" i="14"/>
  <c r="CS45" i="14"/>
  <c r="CK45" i="14"/>
  <c r="BY45" i="14"/>
  <c r="DG45" i="14" s="1"/>
  <c r="DF43" i="14"/>
  <c r="CG43" i="14"/>
  <c r="CH43" i="14"/>
  <c r="CV43" i="14"/>
  <c r="CF43" i="14"/>
  <c r="DW43" i="14"/>
  <c r="CU43" i="14"/>
  <c r="CE43" i="14"/>
  <c r="DE43" i="14"/>
  <c r="DU43" i="14"/>
  <c r="DS43" i="14"/>
  <c r="DJ43" i="14"/>
  <c r="CT43" i="14"/>
  <c r="CL43" i="14"/>
  <c r="CD43" i="14"/>
  <c r="EA43" i="14"/>
  <c r="DI43" i="14"/>
  <c r="CS43" i="14"/>
  <c r="CK43" i="14"/>
  <c r="CC43" i="14"/>
  <c r="DV43" i="14"/>
  <c r="DK43" i="14"/>
  <c r="DZ43" i="14"/>
  <c r="DH43" i="14"/>
  <c r="CR43" i="14"/>
  <c r="CJ43" i="14"/>
  <c r="CB43" i="14"/>
  <c r="DM43" i="14"/>
  <c r="DY43" i="14"/>
  <c r="DP43" i="14"/>
  <c r="DG43" i="14"/>
  <c r="CR44" i="14"/>
  <c r="CQ44" i="14"/>
  <c r="BT44" i="14"/>
  <c r="AL26" i="3"/>
  <c r="AM26" i="3"/>
  <c r="AN26" i="3"/>
  <c r="AO26" i="3"/>
  <c r="AL27" i="3"/>
  <c r="AM27" i="3"/>
  <c r="AN27" i="3"/>
  <c r="AS27" i="3"/>
  <c r="AF10" i="3"/>
  <c r="AD10" i="3"/>
  <c r="AF28" i="3"/>
  <c r="AG22" i="3"/>
  <c r="AH22" i="3" s="1"/>
  <c r="AE19" i="3"/>
  <c r="AE22" i="3"/>
  <c r="AG32" i="3"/>
  <c r="AK32" i="3" s="1"/>
  <c r="AF18" i="3"/>
  <c r="AF22" i="3"/>
  <c r="AF29" i="3"/>
  <c r="AD18" i="3"/>
  <c r="CQ31" i="14"/>
  <c r="EW31" i="14" s="1"/>
  <c r="DX31" i="14"/>
  <c r="CQ30" i="14"/>
  <c r="EW30" i="14" s="1"/>
  <c r="DX30" i="14"/>
  <c r="AF16" i="3"/>
  <c r="AF25" i="3"/>
  <c r="AD16" i="3"/>
  <c r="AF32" i="3"/>
  <c r="AE15" i="3"/>
  <c r="AF9" i="3"/>
  <c r="AE32" i="3"/>
  <c r="AF24" i="3"/>
  <c r="AG17" i="3"/>
  <c r="AI17" i="3" s="1"/>
  <c r="AD15" i="3"/>
  <c r="AE9" i="3"/>
  <c r="AE24" i="3"/>
  <c r="AF17" i="3"/>
  <c r="AF14" i="3"/>
  <c r="AD9" i="3"/>
  <c r="AE29" i="3"/>
  <c r="AG23" i="3"/>
  <c r="AK23" i="3" s="1"/>
  <c r="AD19" i="3"/>
  <c r="AD17" i="3"/>
  <c r="AG28" i="3"/>
  <c r="AH28" i="3" s="1"/>
  <c r="AE23" i="3"/>
  <c r="AJ16" i="3"/>
  <c r="AG12" i="3"/>
  <c r="AJ12" i="3" s="1"/>
  <c r="AD21" i="3"/>
  <c r="AF21" i="3"/>
  <c r="AF12" i="3"/>
  <c r="AF11" i="3"/>
  <c r="AG11" i="3"/>
  <c r="AH11" i="3" s="1"/>
  <c r="AI31" i="3"/>
  <c r="AF30" i="3"/>
  <c r="AG20" i="3"/>
  <c r="AE12" i="3"/>
  <c r="AI18" i="3"/>
  <c r="AH18" i="3"/>
  <c r="AK18" i="3"/>
  <c r="AO18" i="3" s="1"/>
  <c r="AJ10" i="3"/>
  <c r="AH10" i="3"/>
  <c r="AK10" i="3"/>
  <c r="AO10" i="3" s="1"/>
  <c r="AF31" i="3"/>
  <c r="AE30" i="3"/>
  <c r="AD24" i="3"/>
  <c r="AF20" i="3"/>
  <c r="AE18" i="3"/>
  <c r="AF13" i="3"/>
  <c r="AE10" i="3"/>
  <c r="AH13" i="3"/>
  <c r="AJ13" i="3"/>
  <c r="AG30" i="3"/>
  <c r="AE31" i="3"/>
  <c r="AE13" i="3"/>
  <c r="AF8" i="3"/>
  <c r="AE8" i="3"/>
  <c r="AK24" i="3"/>
  <c r="AH24" i="3"/>
  <c r="AJ24" i="3"/>
  <c r="AD8" i="3"/>
  <c r="AD31" i="3"/>
  <c r="AG19" i="3"/>
  <c r="AK19" i="3" s="1"/>
  <c r="AD13" i="3"/>
  <c r="AE11" i="3"/>
  <c r="AK13" i="3"/>
  <c r="AL13" i="3" s="1"/>
  <c r="AD20" i="3"/>
  <c r="AH9" i="3"/>
  <c r="AJ9" i="3"/>
  <c r="AG29" i="3"/>
  <c r="AG21" i="3"/>
  <c r="AH21" i="3" s="1"/>
  <c r="AI16" i="3"/>
  <c r="AK16" i="3"/>
  <c r="AL16" i="3" s="1"/>
  <c r="AD11" i="3"/>
  <c r="AI9" i="3"/>
  <c r="AG25" i="3"/>
  <c r="AF23" i="3"/>
  <c r="AG14" i="3"/>
  <c r="AJ14" i="3" s="1"/>
  <c r="AE25" i="3"/>
  <c r="AG15" i="3"/>
  <c r="AH15" i="3" s="1"/>
  <c r="AE14" i="3"/>
  <c r="BQ49" i="14"/>
  <c r="BX49" i="14"/>
  <c r="BW49" i="14"/>
  <c r="BV49" i="14"/>
  <c r="DE49" i="14"/>
  <c r="BU49" i="14"/>
  <c r="DT49" i="14"/>
  <c r="BT49" i="14"/>
  <c r="EB49" i="14"/>
  <c r="DR49" i="14"/>
  <c r="DE48" i="14"/>
  <c r="ER48" i="14" s="1"/>
  <c r="DL48" i="14"/>
  <c r="CA48" i="14"/>
  <c r="BZ48" i="14"/>
  <c r="BX48" i="14"/>
  <c r="DG47" i="14"/>
  <c r="DF47" i="14"/>
  <c r="DE47" i="14"/>
  <c r="CW47" i="14"/>
  <c r="BU47" i="14"/>
  <c r="DD47" i="14"/>
  <c r="BT47" i="14"/>
  <c r="CZ47" i="14"/>
  <c r="CY47" i="14"/>
  <c r="CX47" i="14"/>
  <c r="BV47" i="14"/>
  <c r="BT46" i="14"/>
  <c r="BS46" i="14"/>
  <c r="BR46" i="14"/>
  <c r="BQ46" i="14"/>
  <c r="DA46" i="14" s="1"/>
  <c r="BX46" i="14"/>
  <c r="BW46" i="14"/>
  <c r="BV46" i="14"/>
  <c r="BQ45" i="14"/>
  <c r="CZ45" i="14"/>
  <c r="CR45" i="14"/>
  <c r="CJ45" i="14"/>
  <c r="BX45" i="14"/>
  <c r="CY45" i="14"/>
  <c r="CQ45" i="14"/>
  <c r="CI45" i="14"/>
  <c r="BW45" i="14"/>
  <c r="DF45" i="14"/>
  <c r="CX45" i="14"/>
  <c r="CP45" i="14"/>
  <c r="CH45" i="14"/>
  <c r="BV45" i="14"/>
  <c r="DE45" i="14"/>
  <c r="EN45" i="14" s="1"/>
  <c r="CW45" i="14"/>
  <c r="CO45" i="14"/>
  <c r="CG45" i="14"/>
  <c r="BU45" i="14"/>
  <c r="DD45" i="14"/>
  <c r="CV45" i="14"/>
  <c r="CN45" i="14"/>
  <c r="CF45" i="14"/>
  <c r="BT45" i="14"/>
  <c r="DC45" i="14"/>
  <c r="CU45" i="14"/>
  <c r="CM45" i="14"/>
  <c r="CE45" i="14"/>
  <c r="BS45" i="14"/>
  <c r="BZ45" i="14"/>
  <c r="DU44" i="14"/>
  <c r="DV44" i="14"/>
  <c r="DW44" i="14"/>
  <c r="DX44" i="14"/>
  <c r="DE44" i="14"/>
  <c r="EM44" i="14" s="1"/>
  <c r="DF44" i="14"/>
  <c r="DG44" i="14"/>
  <c r="DH44" i="14"/>
  <c r="BZ44" i="14"/>
  <c r="BR44" i="14"/>
  <c r="BQ44" i="14"/>
  <c r="CX44" i="14" s="1"/>
  <c r="BX44" i="14"/>
  <c r="BW44" i="14"/>
  <c r="CP44" i="14"/>
  <c r="BV44" i="14"/>
  <c r="BV43" i="14"/>
  <c r="BU43" i="14"/>
  <c r="BT43" i="14"/>
  <c r="BS43" i="14"/>
  <c r="BR43" i="14"/>
  <c r="BQ43" i="14"/>
  <c r="BN15" i="4"/>
  <c r="BO15" i="4"/>
  <c r="BM15" i="4"/>
  <c r="BD15" i="4"/>
  <c r="BE15" i="4"/>
  <c r="BF15" i="4"/>
  <c r="BG15" i="4"/>
  <c r="CW15" i="4"/>
  <c r="CY15" i="4"/>
  <c r="DH15" i="4"/>
  <c r="DI15" i="4"/>
  <c r="DJ15" i="4"/>
  <c r="DK15" i="4"/>
  <c r="BL15" i="4"/>
  <c r="BV15" i="4"/>
  <c r="CO14" i="4"/>
  <c r="CN14" i="4"/>
  <c r="CP14" i="4"/>
  <c r="CB14" i="4"/>
  <c r="CC14" i="4"/>
  <c r="CD14" i="4"/>
  <c r="BU15" i="4"/>
  <c r="BT15" i="4"/>
  <c r="CQ14" i="4"/>
  <c r="DS15" i="4"/>
  <c r="CM14" i="4"/>
  <c r="DR15" i="4"/>
  <c r="CL14" i="4"/>
  <c r="CF14" i="4"/>
  <c r="CG14" i="4"/>
  <c r="BT14" i="4"/>
  <c r="BW14" i="4"/>
  <c r="BL14" i="4"/>
  <c r="BN14" i="4"/>
  <c r="BO14" i="4"/>
  <c r="BD14" i="4"/>
  <c r="BE14" i="4"/>
  <c r="BF14" i="4"/>
  <c r="CK14" i="4"/>
  <c r="AL9" i="3"/>
  <c r="AM9" i="3"/>
  <c r="AN9" i="3"/>
  <c r="AO9" i="3"/>
  <c r="AJ15" i="3"/>
  <c r="AK15" i="3"/>
  <c r="AN16" i="3"/>
  <c r="AM16" i="3"/>
  <c r="AO16" i="3"/>
  <c r="AM13" i="3"/>
  <c r="AI20" i="3"/>
  <c r="AJ20" i="3"/>
  <c r="AK31" i="3"/>
  <c r="AJ31" i="3"/>
  <c r="AK22" i="3"/>
  <c r="AI22" i="3"/>
  <c r="AJ22" i="3"/>
  <c r="S14" i="3"/>
  <c r="R14" i="3"/>
  <c r="AC23" i="3"/>
  <c r="AA23" i="3"/>
  <c r="AB23" i="3"/>
  <c r="N21" i="3"/>
  <c r="O21" i="3"/>
  <c r="P21" i="3"/>
  <c r="Q21" i="3"/>
  <c r="S18" i="3"/>
  <c r="T18" i="3"/>
  <c r="U18" i="3"/>
  <c r="V13" i="3"/>
  <c r="W13" i="3"/>
  <c r="X13" i="3"/>
  <c r="Y13" i="3"/>
  <c r="V11" i="3"/>
  <c r="W11" i="3"/>
  <c r="Y11" i="3"/>
  <c r="V9" i="3"/>
  <c r="W9" i="3"/>
  <c r="N31" i="3"/>
  <c r="P31" i="3"/>
  <c r="Q31" i="3"/>
  <c r="S25" i="3"/>
  <c r="T25" i="3"/>
  <c r="N20" i="3"/>
  <c r="O20" i="3"/>
  <c r="P20" i="3"/>
  <c r="N15" i="3"/>
  <c r="O15" i="3"/>
  <c r="V23" i="3"/>
  <c r="W23" i="3"/>
  <c r="S13" i="3"/>
  <c r="T13" i="3"/>
  <c r="S11" i="3"/>
  <c r="T11" i="3"/>
  <c r="S9" i="3"/>
  <c r="T9" i="3"/>
  <c r="N19" i="3"/>
  <c r="O19" i="3"/>
  <c r="Q19" i="3"/>
  <c r="T16" i="3"/>
  <c r="U16" i="3"/>
  <c r="S23" i="3"/>
  <c r="T23" i="3"/>
  <c r="S17" i="3"/>
  <c r="T17" i="3"/>
  <c r="R17" i="3"/>
  <c r="U17" i="3"/>
  <c r="N13" i="3"/>
  <c r="O13" i="3"/>
  <c r="Q20" i="3"/>
  <c r="N30" i="3"/>
  <c r="P30" i="3"/>
  <c r="Q30" i="3"/>
  <c r="N29" i="3"/>
  <c r="P29" i="3"/>
  <c r="Q29" i="3"/>
  <c r="N17" i="3"/>
  <c r="O17" i="3"/>
  <c r="V14" i="3"/>
  <c r="W14" i="3"/>
  <c r="Y14" i="3"/>
  <c r="X14" i="3"/>
  <c r="Y9" i="3"/>
  <c r="U25" i="3"/>
  <c r="Z23" i="3"/>
  <c r="N22" i="3"/>
  <c r="O22" i="3"/>
  <c r="P22" i="3"/>
  <c r="Q22" i="3"/>
  <c r="R18" i="3"/>
  <c r="Q15" i="3"/>
  <c r="X11" i="3"/>
  <c r="X9" i="3"/>
  <c r="N18" i="3"/>
  <c r="O18" i="3"/>
  <c r="P18" i="3"/>
  <c r="N11" i="3"/>
  <c r="O11" i="3"/>
  <c r="N25" i="3"/>
  <c r="O25" i="3"/>
  <c r="N16" i="3"/>
  <c r="O16" i="3"/>
  <c r="P16" i="3"/>
  <c r="N9" i="3"/>
  <c r="O9" i="3"/>
  <c r="N23" i="3"/>
  <c r="O23" i="3"/>
  <c r="N14" i="3"/>
  <c r="O14" i="3"/>
  <c r="P14" i="3"/>
  <c r="ER73" i="14"/>
  <c r="EL73" i="14"/>
  <c r="EM73" i="14"/>
  <c r="EN73" i="14"/>
  <c r="EK73" i="14"/>
  <c r="DH73" i="14"/>
  <c r="DE71" i="14"/>
  <c r="ER66" i="14"/>
  <c r="EB66" i="14"/>
  <c r="DT66" i="14"/>
  <c r="DL66" i="14"/>
  <c r="DL63" i="14"/>
  <c r="DG73" i="14"/>
  <c r="ER68" i="14"/>
  <c r="EB68" i="14"/>
  <c r="DT68" i="14"/>
  <c r="DL68" i="14"/>
  <c r="EQ66" i="14"/>
  <c r="EA66" i="14"/>
  <c r="DS66" i="14"/>
  <c r="DK66" i="14"/>
  <c r="DG63" i="14"/>
  <c r="DF73" i="14"/>
  <c r="EQ68" i="14"/>
  <c r="EA68" i="14"/>
  <c r="DS68" i="14"/>
  <c r="DK68" i="14"/>
  <c r="EP66" i="14"/>
  <c r="DZ66" i="14"/>
  <c r="DR66" i="14"/>
  <c r="DJ66" i="14"/>
  <c r="DF63" i="14"/>
  <c r="ER62" i="14"/>
  <c r="EB62" i="14"/>
  <c r="DT62" i="14"/>
  <c r="DL62" i="14"/>
  <c r="EB61" i="14"/>
  <c r="EP68" i="14"/>
  <c r="DZ68" i="14"/>
  <c r="DR68" i="14"/>
  <c r="DJ68" i="14"/>
  <c r="DL67" i="14"/>
  <c r="EO66" i="14"/>
  <c r="DY66" i="14"/>
  <c r="DQ66" i="14"/>
  <c r="DI66" i="14"/>
  <c r="EQ62" i="14"/>
  <c r="EA62" i="14"/>
  <c r="DS62" i="14"/>
  <c r="DK62" i="14"/>
  <c r="DL61" i="14"/>
  <c r="DE67" i="14"/>
  <c r="ER67" i="14" s="1"/>
  <c r="DY71" i="14"/>
  <c r="DZ71" i="14"/>
  <c r="DU71" i="14"/>
  <c r="DX71" i="14"/>
  <c r="EB71" i="14"/>
  <c r="DV71" i="14"/>
  <c r="DW71" i="14"/>
  <c r="EA71" i="14"/>
  <c r="DQ73" i="14"/>
  <c r="DR73" i="14"/>
  <c r="DM73" i="14"/>
  <c r="DP73" i="14"/>
  <c r="DT73" i="14"/>
  <c r="DN73" i="14"/>
  <c r="DO73" i="14"/>
  <c r="DS73" i="14"/>
  <c r="DQ65" i="14"/>
  <c r="DS65" i="14"/>
  <c r="DR65" i="14"/>
  <c r="DN65" i="14"/>
  <c r="DP65" i="14"/>
  <c r="DT65" i="14"/>
  <c r="DM65" i="14"/>
  <c r="DO65" i="14"/>
  <c r="EG69" i="14"/>
  <c r="EI69" i="14"/>
  <c r="EH69" i="14"/>
  <c r="EO67" i="14"/>
  <c r="EG73" i="14"/>
  <c r="EH73" i="14"/>
  <c r="DA71" i="14"/>
  <c r="DB71" i="14"/>
  <c r="CK71" i="14"/>
  <c r="CL71" i="14"/>
  <c r="EF69" i="14"/>
  <c r="DI65" i="14"/>
  <c r="DJ65" i="14"/>
  <c r="DK65" i="14"/>
  <c r="CS65" i="14"/>
  <c r="CT65" i="14"/>
  <c r="CU65" i="14"/>
  <c r="CC65" i="14"/>
  <c r="CD65" i="14"/>
  <c r="CE65" i="14"/>
  <c r="CR71" i="14"/>
  <c r="EE69" i="14"/>
  <c r="DQ69" i="14"/>
  <c r="DS69" i="14"/>
  <c r="DR69" i="14"/>
  <c r="DY67" i="14"/>
  <c r="EA67" i="14"/>
  <c r="DZ67" i="14"/>
  <c r="DH65" i="14"/>
  <c r="CI65" i="14"/>
  <c r="EO63" i="14"/>
  <c r="EP63" i="14"/>
  <c r="EQ63" i="14"/>
  <c r="DX61" i="14"/>
  <c r="DI73" i="14"/>
  <c r="DJ73" i="14"/>
  <c r="CS73" i="14"/>
  <c r="CT73" i="14"/>
  <c r="CC73" i="14"/>
  <c r="CD73" i="14"/>
  <c r="DC71" i="14"/>
  <c r="CG71" i="14"/>
  <c r="ED69" i="14"/>
  <c r="DP69" i="14"/>
  <c r="DX67" i="14"/>
  <c r="DG65" i="14"/>
  <c r="CH65" i="14"/>
  <c r="DW61" i="14"/>
  <c r="DA61" i="14"/>
  <c r="DB61" i="14"/>
  <c r="DC61" i="14"/>
  <c r="CK61" i="14"/>
  <c r="CL61" i="14"/>
  <c r="CM61" i="14"/>
  <c r="EJ73" i="14"/>
  <c r="CR73" i="14"/>
  <c r="CZ71" i="14"/>
  <c r="CF71" i="14"/>
  <c r="EN69" i="14"/>
  <c r="DO69" i="14"/>
  <c r="EK67" i="14"/>
  <c r="DA67" i="14"/>
  <c r="DB67" i="14"/>
  <c r="DC67" i="14"/>
  <c r="CK67" i="14"/>
  <c r="CL67" i="14"/>
  <c r="CM67" i="14"/>
  <c r="DF65" i="14"/>
  <c r="DV61" i="14"/>
  <c r="CI61" i="14"/>
  <c r="DC73" i="14"/>
  <c r="DK71" i="14"/>
  <c r="DV67" i="14"/>
  <c r="CW67" i="14"/>
  <c r="DE65" i="14"/>
  <c r="CF65" i="14"/>
  <c r="DX63" i="14"/>
  <c r="CH61" i="14"/>
  <c r="EF73" i="14"/>
  <c r="DL73" i="14"/>
  <c r="CP73" i="14"/>
  <c r="CF73" i="14"/>
  <c r="CX71" i="14"/>
  <c r="CN71" i="14"/>
  <c r="DM69" i="14"/>
  <c r="DU67" i="14"/>
  <c r="CH67" i="14"/>
  <c r="CP65" i="14"/>
  <c r="CB65" i="14"/>
  <c r="EK63" i="14"/>
  <c r="DI63" i="14"/>
  <c r="DJ63" i="14"/>
  <c r="DK63" i="14"/>
  <c r="DA63" i="14"/>
  <c r="DC63" i="14"/>
  <c r="DB63" i="14"/>
  <c r="CS63" i="14"/>
  <c r="CT63" i="14"/>
  <c r="CU63" i="14"/>
  <c r="CK63" i="14"/>
  <c r="CM63" i="14"/>
  <c r="CL63" i="14"/>
  <c r="CC63" i="14"/>
  <c r="CD63" i="14"/>
  <c r="CE63" i="14"/>
  <c r="CG61" i="14"/>
  <c r="DI71" i="14"/>
  <c r="DJ71" i="14"/>
  <c r="CS71" i="14"/>
  <c r="CT71" i="14"/>
  <c r="CC71" i="14"/>
  <c r="CD71" i="14"/>
  <c r="EN67" i="14"/>
  <c r="DA65" i="14"/>
  <c r="DC65" i="14"/>
  <c r="DB65" i="14"/>
  <c r="CK65" i="14"/>
  <c r="CM65" i="14"/>
  <c r="CL65" i="14"/>
  <c r="DQ63" i="14"/>
  <c r="DS63" i="14"/>
  <c r="DR63" i="14"/>
  <c r="DY61" i="14"/>
  <c r="EA61" i="14"/>
  <c r="DZ61" i="14"/>
  <c r="DD71" i="14"/>
  <c r="CH71" i="14"/>
  <c r="CW65" i="14"/>
  <c r="DP63" i="14"/>
  <c r="EO73" i="14"/>
  <c r="EP73" i="14"/>
  <c r="DA73" i="14"/>
  <c r="DB73" i="14"/>
  <c r="CK73" i="14"/>
  <c r="CL73" i="14"/>
  <c r="CQ71" i="14"/>
  <c r="EO69" i="14"/>
  <c r="EP69" i="14"/>
  <c r="EL67" i="14"/>
  <c r="CV65" i="14"/>
  <c r="EN63" i="14"/>
  <c r="DO63" i="14"/>
  <c r="DI61" i="14"/>
  <c r="DK61" i="14"/>
  <c r="DJ61" i="14"/>
  <c r="CS61" i="14"/>
  <c r="CU61" i="14"/>
  <c r="CT61" i="14"/>
  <c r="CC61" i="14"/>
  <c r="CE61" i="14"/>
  <c r="CD61" i="14"/>
  <c r="DD73" i="14"/>
  <c r="CH73" i="14"/>
  <c r="DL71" i="14"/>
  <c r="CP71" i="14"/>
  <c r="EC69" i="14"/>
  <c r="DW67" i="14"/>
  <c r="DI67" i="14"/>
  <c r="DK67" i="14"/>
  <c r="DJ67" i="14"/>
  <c r="CS67" i="14"/>
  <c r="CU67" i="14"/>
  <c r="CT67" i="14"/>
  <c r="CC67" i="14"/>
  <c r="CE67" i="14"/>
  <c r="CD67" i="14"/>
  <c r="CR65" i="14"/>
  <c r="EM63" i="14"/>
  <c r="DN63" i="14"/>
  <c r="DY63" i="14"/>
  <c r="DZ63" i="14"/>
  <c r="EA63" i="14"/>
  <c r="DH61" i="14"/>
  <c r="CW61" i="14"/>
  <c r="EI73" i="14"/>
  <c r="CQ73" i="14"/>
  <c r="CY71" i="14"/>
  <c r="CE71" i="14"/>
  <c r="EM69" i="14"/>
  <c r="DN69" i="14"/>
  <c r="DY69" i="14"/>
  <c r="DZ69" i="14"/>
  <c r="EA69" i="14"/>
  <c r="DH67" i="14"/>
  <c r="CI67" i="14"/>
  <c r="CQ65" i="14"/>
  <c r="EL63" i="14"/>
  <c r="DM63" i="14"/>
  <c r="DG61" i="14"/>
  <c r="CV61" i="14"/>
  <c r="EQ73" i="14"/>
  <c r="EE73" i="14"/>
  <c r="DK73" i="14"/>
  <c r="CY73" i="14"/>
  <c r="CO73" i="14"/>
  <c r="CE73" i="14"/>
  <c r="DG71" i="14"/>
  <c r="CW71" i="14"/>
  <c r="CM71" i="14"/>
  <c r="CA71" i="14"/>
  <c r="EK69" i="14"/>
  <c r="DW69" i="14"/>
  <c r="DI69" i="14"/>
  <c r="DJ69" i="14"/>
  <c r="DK69" i="14"/>
  <c r="DA69" i="14"/>
  <c r="DC69" i="14"/>
  <c r="DB69" i="14"/>
  <c r="CS69" i="14"/>
  <c r="CT69" i="14"/>
  <c r="CU69" i="14"/>
  <c r="CK69" i="14"/>
  <c r="CM69" i="14"/>
  <c r="CL69" i="14"/>
  <c r="CC69" i="14"/>
  <c r="CD69" i="14"/>
  <c r="CE69" i="14"/>
  <c r="DF67" i="14"/>
  <c r="CR67" i="14"/>
  <c r="CG67" i="14"/>
  <c r="CZ65" i="14"/>
  <c r="CO65" i="14"/>
  <c r="CA65" i="14"/>
  <c r="DV63" i="14"/>
  <c r="DH63" i="14"/>
  <c r="CW63" i="14"/>
  <c r="CI63" i="14"/>
  <c r="DE61" i="14"/>
  <c r="CQ61" i="14"/>
  <c r="CF61" i="14"/>
  <c r="DY57" i="14"/>
  <c r="DZ57" i="14"/>
  <c r="EA57" i="14"/>
  <c r="EB57" i="14"/>
  <c r="DQ57" i="14"/>
  <c r="DR57" i="14"/>
  <c r="DS57" i="14"/>
  <c r="DT57" i="14"/>
  <c r="DI57" i="14"/>
  <c r="DJ57" i="14"/>
  <c r="DK57" i="14"/>
  <c r="DL57" i="14"/>
  <c r="DA57" i="14"/>
  <c r="DB57" i="14"/>
  <c r="DC57" i="14"/>
  <c r="DD57" i="14"/>
  <c r="DU56" i="14"/>
  <c r="DV56" i="14"/>
  <c r="DW56" i="14"/>
  <c r="DX56" i="14"/>
  <c r="DM56" i="14"/>
  <c r="DN56" i="14"/>
  <c r="DO56" i="14"/>
  <c r="DP56" i="14"/>
  <c r="DE56" i="14"/>
  <c r="DF56" i="14"/>
  <c r="DG56" i="14"/>
  <c r="DH56" i="14"/>
  <c r="CV57" i="14"/>
  <c r="CN57" i="14"/>
  <c r="CF57" i="14"/>
  <c r="BX57" i="14"/>
  <c r="CR56" i="14"/>
  <c r="CJ56" i="14"/>
  <c r="CB56" i="14"/>
  <c r="CU57" i="14"/>
  <c r="CM57" i="14"/>
  <c r="CE57" i="14"/>
  <c r="BW57" i="14"/>
  <c r="CQ56" i="14"/>
  <c r="CI56" i="14"/>
  <c r="CA56" i="14"/>
  <c r="CT57" i="14"/>
  <c r="CL57" i="14"/>
  <c r="CD57" i="14"/>
  <c r="BV57" i="14"/>
  <c r="CP56" i="14"/>
  <c r="CH56" i="14"/>
  <c r="BZ56" i="14"/>
  <c r="DP47" i="14"/>
  <c r="DW47" i="14"/>
  <c r="DV47" i="14"/>
  <c r="DN47" i="14"/>
  <c r="EB48" i="14"/>
  <c r="DM47" i="14"/>
  <c r="DT47" i="14"/>
  <c r="EA47" i="14"/>
  <c r="DS47" i="14"/>
  <c r="DQ45" i="14"/>
  <c r="DX47" i="14"/>
  <c r="DO47" i="14"/>
  <c r="DU47" i="14"/>
  <c r="EB47" i="14"/>
  <c r="EB46" i="14"/>
  <c r="DR45" i="14"/>
  <c r="ER49" i="14"/>
  <c r="DL49" i="14"/>
  <c r="EQ49" i="14"/>
  <c r="DK49" i="14"/>
  <c r="DL46" i="14"/>
  <c r="DL45" i="14"/>
  <c r="DJ49" i="14"/>
  <c r="DE46" i="14"/>
  <c r="ER46" i="14" s="1"/>
  <c r="DK45" i="14"/>
  <c r="EO49" i="14"/>
  <c r="DI49" i="14"/>
  <c r="CC49" i="14"/>
  <c r="DH48" i="14"/>
  <c r="ER47" i="14"/>
  <c r="DL47" i="14"/>
  <c r="CF47" i="14"/>
  <c r="DJ45" i="14"/>
  <c r="CD45" i="14"/>
  <c r="EN49" i="14"/>
  <c r="DH49" i="14"/>
  <c r="CB49" i="14"/>
  <c r="DG48" i="14"/>
  <c r="EQ47" i="14"/>
  <c r="CE47" i="14"/>
  <c r="DI45" i="14"/>
  <c r="CC45" i="14"/>
  <c r="DG49" i="14"/>
  <c r="CA49" i="14"/>
  <c r="DF48" i="14"/>
  <c r="EP47" i="14"/>
  <c r="CD47" i="14"/>
  <c r="DH45" i="14"/>
  <c r="CB45" i="14"/>
  <c r="EO46" i="14"/>
  <c r="EP46" i="14"/>
  <c r="DQ48" i="14"/>
  <c r="DR48" i="14"/>
  <c r="DS48" i="14"/>
  <c r="DY44" i="14"/>
  <c r="DZ44" i="14"/>
  <c r="EA44" i="14"/>
  <c r="DI44" i="14"/>
  <c r="DJ44" i="14"/>
  <c r="DK44" i="14"/>
  <c r="DL44" i="14"/>
  <c r="CS44" i="14"/>
  <c r="CT44" i="14"/>
  <c r="CU44" i="14"/>
  <c r="CV44" i="14"/>
  <c r="CC44" i="14"/>
  <c r="CD44" i="14"/>
  <c r="CE44" i="14"/>
  <c r="CF44" i="14"/>
  <c r="DO48" i="14"/>
  <c r="DC46" i="14"/>
  <c r="CK46" i="14"/>
  <c r="CL46" i="14"/>
  <c r="CM46" i="14"/>
  <c r="CJ44" i="14"/>
  <c r="DN48" i="14"/>
  <c r="DV46" i="14"/>
  <c r="CW46" i="14"/>
  <c r="CI44" i="14"/>
  <c r="DX48" i="14"/>
  <c r="DM48" i="14"/>
  <c r="CH46" i="14"/>
  <c r="DY46" i="14"/>
  <c r="DZ46" i="14"/>
  <c r="EA46" i="14"/>
  <c r="DP48" i="14"/>
  <c r="DX46" i="14"/>
  <c r="EO44" i="14"/>
  <c r="EP44" i="14"/>
  <c r="EQ44" i="14"/>
  <c r="DC44" i="14"/>
  <c r="DD44" i="14"/>
  <c r="CK44" i="14"/>
  <c r="CL44" i="14"/>
  <c r="CM44" i="14"/>
  <c r="CN44" i="14"/>
  <c r="DW46" i="14"/>
  <c r="DI46" i="14"/>
  <c r="DJ46" i="14"/>
  <c r="DK46" i="14"/>
  <c r="CS46" i="14"/>
  <c r="CT46" i="14"/>
  <c r="CU46" i="14"/>
  <c r="CC46" i="14"/>
  <c r="CD46" i="14"/>
  <c r="CE46" i="14"/>
  <c r="CZ44" i="14"/>
  <c r="DH46" i="14"/>
  <c r="CI46" i="14"/>
  <c r="CY44" i="14"/>
  <c r="EK48" i="14"/>
  <c r="DW48" i="14"/>
  <c r="DI48" i="14"/>
  <c r="DJ48" i="14"/>
  <c r="DK48" i="14"/>
  <c r="DC48" i="14"/>
  <c r="CS48" i="14"/>
  <c r="CT48" i="14"/>
  <c r="CU48" i="14"/>
  <c r="CK48" i="14"/>
  <c r="CL48" i="14"/>
  <c r="CM48" i="14"/>
  <c r="CC48" i="14"/>
  <c r="CD48" i="14"/>
  <c r="CE48" i="14"/>
  <c r="DF46" i="14"/>
  <c r="CR46" i="14"/>
  <c r="CG46" i="14"/>
  <c r="EB44" i="14"/>
  <c r="CW44" i="14"/>
  <c r="CG44" i="14"/>
  <c r="DA26" i="14"/>
  <c r="DB26" i="14"/>
  <c r="DC26" i="14"/>
  <c r="DD26" i="14"/>
  <c r="BX26" i="14"/>
  <c r="BW26" i="14"/>
  <c r="BV26" i="14"/>
  <c r="EN18" i="14"/>
  <c r="EV18" i="14"/>
  <c r="EF18" i="14"/>
  <c r="EU18" i="14"/>
  <c r="EM18" i="14"/>
  <c r="EE18" i="14"/>
  <c r="DW18" i="14"/>
  <c r="ET18" i="14"/>
  <c r="EL18" i="14"/>
  <c r="ED18" i="14"/>
  <c r="DV18" i="14"/>
  <c r="M22" i="6" l="1"/>
  <c r="M21" i="6"/>
  <c r="K29" i="6"/>
  <c r="L29" i="6" s="1"/>
  <c r="M29" i="6" s="1"/>
  <c r="M28" i="6"/>
  <c r="M20" i="6"/>
  <c r="K18" i="6"/>
  <c r="L18" i="6" s="1"/>
  <c r="M18" i="6" s="1"/>
  <c r="FA30" i="14"/>
  <c r="EV26" i="3" s="1"/>
  <c r="EZ30" i="14"/>
  <c r="EU26" i="3" s="1"/>
  <c r="ET26" i="3"/>
  <c r="C23" i="6" s="1"/>
  <c r="E23" i="6" s="1"/>
  <c r="F25" i="6"/>
  <c r="EZ31" i="14"/>
  <c r="EU27" i="3" s="1"/>
  <c r="G24" i="6" s="1"/>
  <c r="FA31" i="14"/>
  <c r="EV27" i="3" s="1"/>
  <c r="ET27" i="3"/>
  <c r="C24" i="6" s="1"/>
  <c r="E24" i="6" s="1"/>
  <c r="EA48" i="14"/>
  <c r="DU48" i="14"/>
  <c r="DZ48" i="14"/>
  <c r="DY48" i="14"/>
  <c r="CW48" i="14"/>
  <c r="CX48" i="14"/>
  <c r="CY48" i="14"/>
  <c r="CZ48" i="14"/>
  <c r="DD48" i="14"/>
  <c r="DB48" i="14"/>
  <c r="EN48" i="14"/>
  <c r="EQ48" i="14"/>
  <c r="EL48" i="14"/>
  <c r="DA48" i="14"/>
  <c r="EM48" i="14"/>
  <c r="EP48" i="14"/>
  <c r="EO48" i="14"/>
  <c r="DH47" i="14"/>
  <c r="DJ47" i="14"/>
  <c r="DK47" i="14"/>
  <c r="DT43" i="14"/>
  <c r="DO43" i="14"/>
  <c r="DN43" i="14"/>
  <c r="DQ43" i="14"/>
  <c r="DR43" i="14"/>
  <c r="ES43" i="14"/>
  <c r="EV43" i="14"/>
  <c r="ET43" i="14"/>
  <c r="EU43" i="14"/>
  <c r="ER43" i="14"/>
  <c r="EP43" i="14"/>
  <c r="EO43" i="14"/>
  <c r="EQ43" i="14"/>
  <c r="EL43" i="14"/>
  <c r="EN43" i="14"/>
  <c r="EK43" i="14"/>
  <c r="EM43" i="14"/>
  <c r="AT27" i="3"/>
  <c r="AU27" i="3"/>
  <c r="AV27" i="3"/>
  <c r="AW27" i="3"/>
  <c r="AP26" i="3"/>
  <c r="AQ26" i="3"/>
  <c r="AR26" i="3"/>
  <c r="AS26" i="3"/>
  <c r="AJ23" i="3"/>
  <c r="AH32" i="3"/>
  <c r="AK17" i="3"/>
  <c r="AI23" i="3"/>
  <c r="AJ32" i="3"/>
  <c r="AH23" i="3"/>
  <c r="AI32" i="3"/>
  <c r="AI21" i="3"/>
  <c r="AL10" i="3"/>
  <c r="AJ28" i="3"/>
  <c r="AK28" i="3"/>
  <c r="AO28" i="3" s="1"/>
  <c r="AK14" i="3"/>
  <c r="AL14" i="3" s="1"/>
  <c r="AK12" i="3"/>
  <c r="AN12" i="3" s="1"/>
  <c r="AI12" i="3"/>
  <c r="AI15" i="3"/>
  <c r="AI28" i="3"/>
  <c r="AH12" i="3"/>
  <c r="AH17" i="3"/>
  <c r="AJ17" i="3"/>
  <c r="AK25" i="3"/>
  <c r="AJ25" i="3"/>
  <c r="AI25" i="3"/>
  <c r="AH25" i="3"/>
  <c r="AK11" i="3"/>
  <c r="AL11" i="3" s="1"/>
  <c r="AN18" i="3"/>
  <c r="AN13" i="3"/>
  <c r="AO13" i="3"/>
  <c r="AH20" i="3"/>
  <c r="AK20" i="3"/>
  <c r="AJ11" i="3"/>
  <c r="AI11" i="3"/>
  <c r="AM18" i="3"/>
  <c r="AJ21" i="3"/>
  <c r="AK21" i="3"/>
  <c r="AM17" i="3"/>
  <c r="AL17" i="3"/>
  <c r="AO17" i="3"/>
  <c r="AN17" i="3"/>
  <c r="AM10" i="3"/>
  <c r="AN10" i="3"/>
  <c r="AH19" i="3"/>
  <c r="AJ19" i="3"/>
  <c r="AK30" i="3"/>
  <c r="AI30" i="3"/>
  <c r="AJ30" i="3"/>
  <c r="AH30" i="3"/>
  <c r="AI19" i="3"/>
  <c r="AL18" i="3"/>
  <c r="AH14" i="3"/>
  <c r="AI14" i="3"/>
  <c r="AK29" i="3"/>
  <c r="AI29" i="3"/>
  <c r="AJ29" i="3"/>
  <c r="AH29" i="3"/>
  <c r="AM24" i="3"/>
  <c r="AN24" i="3"/>
  <c r="AO24" i="3"/>
  <c r="AL24" i="3"/>
  <c r="AN28" i="3"/>
  <c r="AL28" i="3"/>
  <c r="AM28" i="3"/>
  <c r="EL49" i="14"/>
  <c r="EK49" i="14"/>
  <c r="EP49" i="14"/>
  <c r="EM49" i="14"/>
  <c r="DC49" i="14"/>
  <c r="DD49" i="14"/>
  <c r="CW49" i="14"/>
  <c r="CX49" i="14"/>
  <c r="CY49" i="14"/>
  <c r="CZ49" i="14"/>
  <c r="DA49" i="14"/>
  <c r="DB49" i="14"/>
  <c r="EC47" i="14"/>
  <c r="EF47" i="14"/>
  <c r="EG47" i="14"/>
  <c r="EH47" i="14"/>
  <c r="ED47" i="14"/>
  <c r="EE47" i="14"/>
  <c r="EI47" i="14"/>
  <c r="EJ47" i="14"/>
  <c r="EO47" i="14"/>
  <c r="EK47" i="14"/>
  <c r="EL47" i="14"/>
  <c r="EM47" i="14"/>
  <c r="EN47" i="14"/>
  <c r="DB46" i="14"/>
  <c r="CZ46" i="14"/>
  <c r="DD46" i="14"/>
  <c r="CX46" i="14"/>
  <c r="CY46" i="14"/>
  <c r="EK46" i="14"/>
  <c r="DB45" i="14"/>
  <c r="DA45" i="14"/>
  <c r="DX45" i="14"/>
  <c r="DU45" i="14"/>
  <c r="DV45" i="14"/>
  <c r="DW45" i="14"/>
  <c r="EA45" i="14"/>
  <c r="EB45" i="14"/>
  <c r="DY45" i="14"/>
  <c r="EM45" i="14"/>
  <c r="EL45" i="14"/>
  <c r="EK45" i="14"/>
  <c r="EO45" i="14"/>
  <c r="EP45" i="14"/>
  <c r="EQ45" i="14"/>
  <c r="DZ45" i="14"/>
  <c r="ED45" i="14"/>
  <c r="EE45" i="14"/>
  <c r="EF45" i="14"/>
  <c r="EG45" i="14"/>
  <c r="EH45" i="14"/>
  <c r="EI45" i="14"/>
  <c r="EJ45" i="14"/>
  <c r="EC45" i="14"/>
  <c r="ER45" i="14"/>
  <c r="DP45" i="14"/>
  <c r="DS45" i="14"/>
  <c r="DT45" i="14"/>
  <c r="DM45" i="14"/>
  <c r="DN45" i="14"/>
  <c r="DO45" i="14"/>
  <c r="DB44" i="14"/>
  <c r="EN44" i="14"/>
  <c r="EK44" i="14"/>
  <c r="EL44" i="14"/>
  <c r="DA44" i="14"/>
  <c r="ER44" i="14"/>
  <c r="DD43" i="14"/>
  <c r="CW43" i="14"/>
  <c r="CX43" i="14"/>
  <c r="CY43" i="14"/>
  <c r="CZ43" i="14"/>
  <c r="DA43" i="14"/>
  <c r="DB43" i="14"/>
  <c r="DC43" i="14"/>
  <c r="BX14" i="4"/>
  <c r="BY14" i="4"/>
  <c r="BZ14" i="4"/>
  <c r="CA14" i="4"/>
  <c r="BY15" i="4"/>
  <c r="BX15" i="4"/>
  <c r="BZ15" i="4"/>
  <c r="CA15" i="4"/>
  <c r="DP14" i="4"/>
  <c r="DQ14" i="4"/>
  <c r="DR14" i="4"/>
  <c r="DS14" i="4"/>
  <c r="CO15" i="4"/>
  <c r="CP15" i="4"/>
  <c r="CQ15" i="4"/>
  <c r="CN15" i="4"/>
  <c r="DH14" i="4"/>
  <c r="CX14" i="4"/>
  <c r="CV14" i="4"/>
  <c r="CW14" i="4"/>
  <c r="DI14" i="4"/>
  <c r="CY14" i="4"/>
  <c r="DJ14" i="4"/>
  <c r="DK14" i="4"/>
  <c r="EC15" i="4"/>
  <c r="EB15" i="4"/>
  <c r="ED15" i="4"/>
  <c r="EE15" i="4"/>
  <c r="DT14" i="4"/>
  <c r="DU14" i="4"/>
  <c r="DV14" i="4"/>
  <c r="DW14" i="4"/>
  <c r="CG15" i="4"/>
  <c r="CF15" i="4"/>
  <c r="CH15" i="4"/>
  <c r="CI15" i="4"/>
  <c r="EN15" i="4"/>
  <c r="EO15" i="4"/>
  <c r="EP15" i="4"/>
  <c r="EQ15" i="4"/>
  <c r="DO14" i="4"/>
  <c r="DN14" i="4"/>
  <c r="DL14" i="4"/>
  <c r="DM14" i="4"/>
  <c r="AS10" i="3"/>
  <c r="AQ10" i="3"/>
  <c r="AR10" i="3"/>
  <c r="AP10" i="3"/>
  <c r="AQ16" i="3"/>
  <c r="AP16" i="3"/>
  <c r="AS16" i="3"/>
  <c r="AR16" i="3"/>
  <c r="AL23" i="3"/>
  <c r="AM23" i="3"/>
  <c r="AN23" i="3"/>
  <c r="AO23" i="3"/>
  <c r="AS28" i="3"/>
  <c r="AP28" i="3"/>
  <c r="AQ28" i="3"/>
  <c r="AR28" i="3"/>
  <c r="AQ18" i="3"/>
  <c r="AR18" i="3"/>
  <c r="AS18" i="3"/>
  <c r="AP18" i="3"/>
  <c r="AL19" i="3"/>
  <c r="AM19" i="3"/>
  <c r="AN19" i="3"/>
  <c r="AO19" i="3"/>
  <c r="AL31" i="3"/>
  <c r="AM31" i="3"/>
  <c r="AN31" i="3"/>
  <c r="AO31" i="3"/>
  <c r="AL32" i="3"/>
  <c r="AM32" i="3"/>
  <c r="AN32" i="3"/>
  <c r="AO32" i="3"/>
  <c r="AP9" i="3"/>
  <c r="AQ9" i="3"/>
  <c r="AR9" i="3"/>
  <c r="AS9" i="3"/>
  <c r="AL15" i="3"/>
  <c r="AO15" i="3"/>
  <c r="AM15" i="3"/>
  <c r="AN15" i="3"/>
  <c r="AL22" i="3"/>
  <c r="AM22" i="3"/>
  <c r="AN22" i="3"/>
  <c r="AO22" i="3"/>
  <c r="S19" i="3"/>
  <c r="T19" i="3"/>
  <c r="R19" i="3"/>
  <c r="U19" i="3"/>
  <c r="S15" i="3"/>
  <c r="T15" i="3"/>
  <c r="U15" i="3"/>
  <c r="R15" i="3"/>
  <c r="V25" i="3"/>
  <c r="W25" i="3"/>
  <c r="X25" i="3"/>
  <c r="Y25" i="3"/>
  <c r="N12" i="3"/>
  <c r="O12" i="3"/>
  <c r="P12" i="3"/>
  <c r="Q12" i="3"/>
  <c r="V18" i="3"/>
  <c r="W18" i="3"/>
  <c r="Y18" i="3"/>
  <c r="X18" i="3"/>
  <c r="N32" i="3"/>
  <c r="O32" i="3"/>
  <c r="P32" i="3"/>
  <c r="Q32" i="3"/>
  <c r="AC11" i="3"/>
  <c r="Z11" i="3"/>
  <c r="AA11" i="3"/>
  <c r="AB11" i="3"/>
  <c r="AC9" i="3"/>
  <c r="Z9" i="3"/>
  <c r="AA9" i="3"/>
  <c r="AB9" i="3"/>
  <c r="T29" i="3"/>
  <c r="U29" i="3"/>
  <c r="R29" i="3"/>
  <c r="S29" i="3"/>
  <c r="R20" i="3"/>
  <c r="S20" i="3"/>
  <c r="T20" i="3"/>
  <c r="U20" i="3"/>
  <c r="N10" i="3"/>
  <c r="O10" i="3"/>
  <c r="P10" i="3"/>
  <c r="Q10" i="3"/>
  <c r="R22" i="3"/>
  <c r="S22" i="3"/>
  <c r="T22" i="3"/>
  <c r="U22" i="3"/>
  <c r="N24" i="3"/>
  <c r="O24" i="3"/>
  <c r="P24" i="3"/>
  <c r="Q24" i="3"/>
  <c r="S21" i="3"/>
  <c r="T21" i="3"/>
  <c r="R21" i="3"/>
  <c r="U21" i="3"/>
  <c r="Z14" i="3"/>
  <c r="AA14" i="3"/>
  <c r="AB14" i="3"/>
  <c r="AC14" i="3"/>
  <c r="N8" i="3"/>
  <c r="O8" i="3"/>
  <c r="P8" i="3"/>
  <c r="Q8" i="3"/>
  <c r="T31" i="3"/>
  <c r="U31" i="3"/>
  <c r="R31" i="3"/>
  <c r="S31" i="3"/>
  <c r="AC13" i="3"/>
  <c r="Z13" i="3"/>
  <c r="AA13" i="3"/>
  <c r="AB13" i="3"/>
  <c r="N28" i="3"/>
  <c r="O28" i="3"/>
  <c r="P28" i="3"/>
  <c r="Q28" i="3"/>
  <c r="R30" i="3"/>
  <c r="S30" i="3"/>
  <c r="T30" i="3"/>
  <c r="U30" i="3"/>
  <c r="V17" i="3"/>
  <c r="W17" i="3"/>
  <c r="X17" i="3"/>
  <c r="Y17" i="3"/>
  <c r="V16" i="3"/>
  <c r="W16" i="3"/>
  <c r="Y16" i="3"/>
  <c r="X16" i="3"/>
  <c r="EL71" i="14"/>
  <c r="EK71" i="14"/>
  <c r="ER71" i="14"/>
  <c r="EM67" i="14"/>
  <c r="EP67" i="14"/>
  <c r="EP71" i="14"/>
  <c r="EN71" i="14"/>
  <c r="EO71" i="14"/>
  <c r="EQ71" i="14"/>
  <c r="EM71" i="14"/>
  <c r="EQ67" i="14"/>
  <c r="EG71" i="14"/>
  <c r="EH71" i="14"/>
  <c r="EC71" i="14"/>
  <c r="EF71" i="14"/>
  <c r="EI71" i="14"/>
  <c r="ED71" i="14"/>
  <c r="EE71" i="14"/>
  <c r="EJ71" i="14"/>
  <c r="DQ71" i="14"/>
  <c r="DR71" i="14"/>
  <c r="DS71" i="14"/>
  <c r="DM71" i="14"/>
  <c r="DO71" i="14"/>
  <c r="DT71" i="14"/>
  <c r="DN71" i="14"/>
  <c r="DP71" i="14"/>
  <c r="ES65" i="14"/>
  <c r="ET65" i="14"/>
  <c r="EU65" i="14"/>
  <c r="EV65" i="14"/>
  <c r="EO61" i="14"/>
  <c r="EQ61" i="14"/>
  <c r="EP61" i="14"/>
  <c r="ER61" i="14"/>
  <c r="EK61" i="14"/>
  <c r="EL61" i="14"/>
  <c r="EM61" i="14"/>
  <c r="EN61" i="14"/>
  <c r="EU63" i="14"/>
  <c r="EV63" i="14"/>
  <c r="ES63" i="14"/>
  <c r="ET63" i="14"/>
  <c r="ET73" i="14"/>
  <c r="ES73" i="14"/>
  <c r="EU73" i="14"/>
  <c r="EV73" i="14"/>
  <c r="EG67" i="14"/>
  <c r="EH67" i="14"/>
  <c r="EI67" i="14"/>
  <c r="EE67" i="14"/>
  <c r="EJ67" i="14"/>
  <c r="ED67" i="14"/>
  <c r="EF67" i="14"/>
  <c r="EC67" i="14"/>
  <c r="DY65" i="14"/>
  <c r="DZ65" i="14"/>
  <c r="EA65" i="14"/>
  <c r="EB65" i="14"/>
  <c r="DU65" i="14"/>
  <c r="DV65" i="14"/>
  <c r="DW65" i="14"/>
  <c r="DX65" i="14"/>
  <c r="EG65" i="14"/>
  <c r="EI65" i="14"/>
  <c r="EH65" i="14"/>
  <c r="EC65" i="14"/>
  <c r="ED65" i="14"/>
  <c r="EE65" i="14"/>
  <c r="EF65" i="14"/>
  <c r="EJ65" i="14"/>
  <c r="DQ67" i="14"/>
  <c r="DR67" i="14"/>
  <c r="DS67" i="14"/>
  <c r="DT67" i="14"/>
  <c r="DM67" i="14"/>
  <c r="DO67" i="14"/>
  <c r="DP67" i="14"/>
  <c r="DN67" i="14"/>
  <c r="EG61" i="14"/>
  <c r="EH61" i="14"/>
  <c r="EI61" i="14"/>
  <c r="ED61" i="14"/>
  <c r="EF61" i="14"/>
  <c r="EJ61" i="14"/>
  <c r="EE61" i="14"/>
  <c r="EC61" i="14"/>
  <c r="EU69" i="14"/>
  <c r="ES69" i="14"/>
  <c r="EV69" i="14"/>
  <c r="ET69" i="14"/>
  <c r="EG63" i="14"/>
  <c r="EI63" i="14"/>
  <c r="EH63" i="14"/>
  <c r="EJ63" i="14"/>
  <c r="EE63" i="14"/>
  <c r="EF63" i="14"/>
  <c r="EC63" i="14"/>
  <c r="ED63" i="14"/>
  <c r="DY73" i="14"/>
  <c r="DZ73" i="14"/>
  <c r="DU73" i="14"/>
  <c r="DX73" i="14"/>
  <c r="DV73" i="14"/>
  <c r="DW73" i="14"/>
  <c r="EA73" i="14"/>
  <c r="EB73" i="14"/>
  <c r="DQ61" i="14"/>
  <c r="DR61" i="14"/>
  <c r="DS61" i="14"/>
  <c r="DP61" i="14"/>
  <c r="DM61" i="14"/>
  <c r="DN61" i="14"/>
  <c r="DO61" i="14"/>
  <c r="DT61" i="14"/>
  <c r="EO65" i="14"/>
  <c r="EP65" i="14"/>
  <c r="EQ65" i="14"/>
  <c r="EM65" i="14"/>
  <c r="ER65" i="14"/>
  <c r="EK65" i="14"/>
  <c r="EL65" i="14"/>
  <c r="EN65" i="14"/>
  <c r="ES56" i="14"/>
  <c r="ET56" i="14"/>
  <c r="EU56" i="14"/>
  <c r="EV56" i="14"/>
  <c r="EG57" i="14"/>
  <c r="EH57" i="14"/>
  <c r="EI57" i="14"/>
  <c r="EJ57" i="14"/>
  <c r="EK56" i="14"/>
  <c r="EL56" i="14"/>
  <c r="EM56" i="14"/>
  <c r="EN56" i="14"/>
  <c r="EO57" i="14"/>
  <c r="EP57" i="14"/>
  <c r="EQ57" i="14"/>
  <c r="ER57" i="14"/>
  <c r="ET47" i="14"/>
  <c r="EU47" i="14"/>
  <c r="EV47" i="14"/>
  <c r="ES47" i="14"/>
  <c r="EM46" i="14"/>
  <c r="EL46" i="14"/>
  <c r="EN46" i="14"/>
  <c r="EQ46" i="14"/>
  <c r="DQ44" i="14"/>
  <c r="DR44" i="14"/>
  <c r="DS44" i="14"/>
  <c r="DT44" i="14"/>
  <c r="DM44" i="14"/>
  <c r="DP44" i="14"/>
  <c r="DN44" i="14"/>
  <c r="DO44" i="14"/>
  <c r="EG46" i="14"/>
  <c r="EH46" i="14"/>
  <c r="EI46" i="14"/>
  <c r="EE46" i="14"/>
  <c r="EJ46" i="14"/>
  <c r="EC46" i="14"/>
  <c r="ED46" i="14"/>
  <c r="EF46" i="14"/>
  <c r="EG44" i="14"/>
  <c r="EH44" i="14"/>
  <c r="EI44" i="14"/>
  <c r="ED44" i="14"/>
  <c r="EF44" i="14"/>
  <c r="EJ44" i="14"/>
  <c r="EC44" i="14"/>
  <c r="EE44" i="14"/>
  <c r="EV48" i="14"/>
  <c r="ES48" i="14"/>
  <c r="ET48" i="14"/>
  <c r="EU48" i="14"/>
  <c r="DQ46" i="14"/>
  <c r="DR46" i="14"/>
  <c r="DS46" i="14"/>
  <c r="DT46" i="14"/>
  <c r="DM46" i="14"/>
  <c r="DN46" i="14"/>
  <c r="DP46" i="14"/>
  <c r="DO46" i="14"/>
  <c r="EG26" i="14"/>
  <c r="EH26" i="14"/>
  <c r="EI26" i="14"/>
  <c r="EJ26" i="14"/>
  <c r="G25" i="6" l="1"/>
  <c r="G23" i="6"/>
  <c r="H23" i="6"/>
  <c r="H25" i="6"/>
  <c r="F24" i="6"/>
  <c r="H24" i="6"/>
  <c r="K24" i="6" s="1"/>
  <c r="L24" i="6" s="1"/>
  <c r="M24" i="6" s="1"/>
  <c r="H26" i="6"/>
  <c r="K26" i="6" s="1"/>
  <c r="L26" i="6" s="1"/>
  <c r="M26" i="6" s="1"/>
  <c r="F23" i="6"/>
  <c r="EJ48" i="14"/>
  <c r="EG48" i="14"/>
  <c r="EH48" i="14"/>
  <c r="ED48" i="14"/>
  <c r="EF48" i="14"/>
  <c r="EI48" i="14"/>
  <c r="EE48" i="14"/>
  <c r="EC48" i="14"/>
  <c r="AT26" i="3"/>
  <c r="AU26" i="3"/>
  <c r="AV26" i="3"/>
  <c r="AW26" i="3"/>
  <c r="AX27" i="3"/>
  <c r="AY27" i="3"/>
  <c r="AZ27" i="3"/>
  <c r="BA27" i="3"/>
  <c r="AO11" i="3"/>
  <c r="AO12" i="3"/>
  <c r="AP12" i="3" s="1"/>
  <c r="AM11" i="3"/>
  <c r="AN11" i="3"/>
  <c r="AO14" i="3"/>
  <c r="AS14" i="3" s="1"/>
  <c r="AR12" i="3"/>
  <c r="AN14" i="3"/>
  <c r="AQ12" i="3"/>
  <c r="AM14" i="3"/>
  <c r="AS12" i="3"/>
  <c r="AU12" i="3" s="1"/>
  <c r="AM12" i="3"/>
  <c r="AL12" i="3"/>
  <c r="AP13" i="3"/>
  <c r="AQ13" i="3"/>
  <c r="AR13" i="3"/>
  <c r="AS13" i="3"/>
  <c r="AR24" i="3"/>
  <c r="AS24" i="3"/>
  <c r="AQ24" i="3"/>
  <c r="AP24" i="3"/>
  <c r="AM21" i="3"/>
  <c r="AN21" i="3"/>
  <c r="AL21" i="3"/>
  <c r="AO21" i="3"/>
  <c r="AP17" i="3"/>
  <c r="AS17" i="3"/>
  <c r="AQ17" i="3"/>
  <c r="AR17" i="3"/>
  <c r="AL20" i="3"/>
  <c r="AM20" i="3"/>
  <c r="AN20" i="3"/>
  <c r="AO20" i="3"/>
  <c r="AO30" i="3"/>
  <c r="AN30" i="3"/>
  <c r="AL30" i="3"/>
  <c r="AM30" i="3"/>
  <c r="AL29" i="3"/>
  <c r="AM29" i="3"/>
  <c r="AO29" i="3"/>
  <c r="AN29" i="3"/>
  <c r="AO25" i="3"/>
  <c r="AM25" i="3"/>
  <c r="AN25" i="3"/>
  <c r="AL25" i="3"/>
  <c r="EJ49" i="14"/>
  <c r="EC49" i="14"/>
  <c r="ED49" i="14"/>
  <c r="EE49" i="14"/>
  <c r="EF49" i="14"/>
  <c r="EG49" i="14"/>
  <c r="EH49" i="14"/>
  <c r="EI49" i="14"/>
  <c r="EW49" i="14"/>
  <c r="ET45" i="14"/>
  <c r="ES45" i="14"/>
  <c r="EU45" i="14"/>
  <c r="EV45" i="14"/>
  <c r="EJ43" i="14"/>
  <c r="EC43" i="14"/>
  <c r="ED43" i="14"/>
  <c r="EE43" i="14"/>
  <c r="EF43" i="14"/>
  <c r="EG43" i="14"/>
  <c r="EH43" i="14"/>
  <c r="EI43" i="14"/>
  <c r="EW43" i="14"/>
  <c r="EN14" i="4"/>
  <c r="EO14" i="4"/>
  <c r="EP14" i="4"/>
  <c r="EQ14" i="4"/>
  <c r="DE15" i="4"/>
  <c r="CZ15" i="4"/>
  <c r="CR15" i="4"/>
  <c r="DA15" i="4"/>
  <c r="CS15" i="4"/>
  <c r="DB15" i="4"/>
  <c r="CT15" i="4"/>
  <c r="DC15" i="4"/>
  <c r="DD15" i="4"/>
  <c r="DF15" i="4"/>
  <c r="DG15" i="4"/>
  <c r="CU15" i="4"/>
  <c r="ER14" i="4"/>
  <c r="EU14" i="4"/>
  <c r="ES14" i="4"/>
  <c r="ET14" i="4"/>
  <c r="CR14" i="4"/>
  <c r="CZ14" i="4"/>
  <c r="DG14" i="4"/>
  <c r="CU14" i="4"/>
  <c r="DE14" i="4"/>
  <c r="DF14" i="4"/>
  <c r="DA14" i="4"/>
  <c r="CS14" i="4"/>
  <c r="CT14" i="4"/>
  <c r="DB14" i="4"/>
  <c r="DC14" i="4"/>
  <c r="DD14" i="4"/>
  <c r="EB14" i="4"/>
  <c r="EC14" i="4"/>
  <c r="ED14" i="4"/>
  <c r="EE14" i="4"/>
  <c r="DU15" i="4"/>
  <c r="DT15" i="4"/>
  <c r="DV15" i="4"/>
  <c r="DW15" i="4"/>
  <c r="DM15" i="4"/>
  <c r="DL15" i="4"/>
  <c r="DN15" i="4"/>
  <c r="DO15" i="4"/>
  <c r="AT9" i="3"/>
  <c r="AV9" i="3"/>
  <c r="AU9" i="3"/>
  <c r="AW9" i="3"/>
  <c r="AP14" i="3"/>
  <c r="AU18" i="3"/>
  <c r="AW18" i="3"/>
  <c r="AT18" i="3"/>
  <c r="AV18" i="3"/>
  <c r="AW16" i="3"/>
  <c r="AT16" i="3"/>
  <c r="AU16" i="3"/>
  <c r="AV16" i="3"/>
  <c r="AT10" i="3"/>
  <c r="AU10" i="3"/>
  <c r="AV10" i="3"/>
  <c r="AW10" i="3"/>
  <c r="AS22" i="3"/>
  <c r="AR22" i="3"/>
  <c r="AP22" i="3"/>
  <c r="AQ22" i="3"/>
  <c r="AS31" i="3"/>
  <c r="AR31" i="3"/>
  <c r="AP31" i="3"/>
  <c r="AQ31" i="3"/>
  <c r="AS23" i="3"/>
  <c r="AQ23" i="3"/>
  <c r="AR23" i="3"/>
  <c r="AP23" i="3"/>
  <c r="AW12" i="3"/>
  <c r="AS32" i="3"/>
  <c r="AR32" i="3"/>
  <c r="AP32" i="3"/>
  <c r="AQ32" i="3"/>
  <c r="AQ19" i="3"/>
  <c r="AR19" i="3"/>
  <c r="AS19" i="3"/>
  <c r="AP19" i="3"/>
  <c r="AQ15" i="3"/>
  <c r="AP15" i="3"/>
  <c r="AR15" i="3"/>
  <c r="AS15" i="3"/>
  <c r="AQ11" i="3"/>
  <c r="AS11" i="3"/>
  <c r="AP11" i="3"/>
  <c r="AR11" i="3"/>
  <c r="AW28" i="3"/>
  <c r="AV28" i="3"/>
  <c r="AU28" i="3"/>
  <c r="AT28" i="3"/>
  <c r="S10" i="3"/>
  <c r="T10" i="3"/>
  <c r="U10" i="3"/>
  <c r="R10" i="3"/>
  <c r="V15" i="3"/>
  <c r="W15" i="3"/>
  <c r="X15" i="3"/>
  <c r="Y15" i="3"/>
  <c r="V31" i="3"/>
  <c r="W31" i="3"/>
  <c r="X31" i="3"/>
  <c r="Y31" i="3"/>
  <c r="V29" i="3"/>
  <c r="Y29" i="3"/>
  <c r="W29" i="3"/>
  <c r="X29" i="3"/>
  <c r="V30" i="3"/>
  <c r="W30" i="3"/>
  <c r="X30" i="3"/>
  <c r="Y30" i="3"/>
  <c r="R8" i="3"/>
  <c r="T8" i="3"/>
  <c r="U8" i="3"/>
  <c r="S8" i="3"/>
  <c r="V21" i="3"/>
  <c r="W21" i="3"/>
  <c r="X21" i="3"/>
  <c r="Y21" i="3"/>
  <c r="V22" i="3"/>
  <c r="W22" i="3"/>
  <c r="Y22" i="3"/>
  <c r="X22" i="3"/>
  <c r="AC25" i="3"/>
  <c r="Z25" i="3"/>
  <c r="AA25" i="3"/>
  <c r="AB25" i="3"/>
  <c r="V19" i="3"/>
  <c r="W19" i="3"/>
  <c r="X19" i="3"/>
  <c r="Y19" i="3"/>
  <c r="Z16" i="3"/>
  <c r="AB16" i="3"/>
  <c r="AC16" i="3"/>
  <c r="AA16" i="3"/>
  <c r="V20" i="3"/>
  <c r="W20" i="3"/>
  <c r="Y20" i="3"/>
  <c r="X20" i="3"/>
  <c r="Z18" i="3"/>
  <c r="AA18" i="3"/>
  <c r="AB18" i="3"/>
  <c r="AC18" i="3"/>
  <c r="AC17" i="3"/>
  <c r="Z17" i="3"/>
  <c r="AA17" i="3"/>
  <c r="AB17" i="3"/>
  <c r="R28" i="3"/>
  <c r="S28" i="3"/>
  <c r="T28" i="3"/>
  <c r="U28" i="3"/>
  <c r="S24" i="3"/>
  <c r="T24" i="3"/>
  <c r="U24" i="3"/>
  <c r="R24" i="3"/>
  <c r="T32" i="3"/>
  <c r="U32" i="3"/>
  <c r="R32" i="3"/>
  <c r="S32" i="3"/>
  <c r="S12" i="3"/>
  <c r="T12" i="3"/>
  <c r="U12" i="3"/>
  <c r="R12" i="3"/>
  <c r="ES61" i="14"/>
  <c r="ET61" i="14"/>
  <c r="EU61" i="14"/>
  <c r="EV61" i="14"/>
  <c r="ET71" i="14"/>
  <c r="EV71" i="14"/>
  <c r="ES71" i="14"/>
  <c r="EU71" i="14"/>
  <c r="ES67" i="14"/>
  <c r="EV67" i="14"/>
  <c r="ET67" i="14"/>
  <c r="EU67" i="14"/>
  <c r="ES44" i="14"/>
  <c r="ET44" i="14"/>
  <c r="EU44" i="14"/>
  <c r="EV44" i="14"/>
  <c r="ES46" i="14"/>
  <c r="EV46" i="14"/>
  <c r="ET46" i="14"/>
  <c r="EU46" i="14"/>
  <c r="F17" i="10"/>
  <c r="E30" i="7"/>
  <c r="E33" i="7"/>
  <c r="G33" i="7" s="1"/>
  <c r="E31" i="4"/>
  <c r="C31" i="4"/>
  <c r="D31" i="4"/>
  <c r="K23" i="6" l="1"/>
  <c r="L23" i="6" s="1"/>
  <c r="M23" i="6" s="1"/>
  <c r="K25" i="6"/>
  <c r="L25" i="6" s="1"/>
  <c r="M25" i="6" s="1"/>
  <c r="BB27" i="3"/>
  <c r="BC27" i="3"/>
  <c r="BD27" i="3"/>
  <c r="BE27" i="3"/>
  <c r="BA26" i="3"/>
  <c r="AX26" i="3"/>
  <c r="AY26" i="3"/>
  <c r="AZ26" i="3"/>
  <c r="AQ14" i="3"/>
  <c r="AR14" i="3"/>
  <c r="AV12" i="3"/>
  <c r="AT12" i="3"/>
  <c r="AV24" i="3"/>
  <c r="AW24" i="3"/>
  <c r="AT24" i="3"/>
  <c r="AU24" i="3"/>
  <c r="AR25" i="3"/>
  <c r="AP25" i="3"/>
  <c r="AQ25" i="3"/>
  <c r="AS25" i="3"/>
  <c r="AP30" i="3"/>
  <c r="AS30" i="3"/>
  <c r="AR30" i="3"/>
  <c r="AQ30" i="3"/>
  <c r="AQ20" i="3"/>
  <c r="AS20" i="3"/>
  <c r="AR20" i="3"/>
  <c r="AP20" i="3"/>
  <c r="AP21" i="3"/>
  <c r="AR21" i="3"/>
  <c r="AS21" i="3"/>
  <c r="AQ21" i="3"/>
  <c r="AU13" i="3"/>
  <c r="AV13" i="3"/>
  <c r="AT13" i="3"/>
  <c r="AW13" i="3"/>
  <c r="AP29" i="3"/>
  <c r="AS29" i="3"/>
  <c r="AQ29" i="3"/>
  <c r="AR29" i="3"/>
  <c r="AV17" i="3"/>
  <c r="AT17" i="3"/>
  <c r="AW17" i="3"/>
  <c r="AU17" i="3"/>
  <c r="BO31" i="4"/>
  <c r="BN31" i="4"/>
  <c r="BR31" i="4"/>
  <c r="AT31" i="4"/>
  <c r="AP31" i="4"/>
  <c r="AU31" i="4"/>
  <c r="AM31" i="4"/>
  <c r="AJ31" i="4"/>
  <c r="AH31" i="4"/>
  <c r="AF31" i="4"/>
  <c r="BM31" i="4"/>
  <c r="BL31" i="4"/>
  <c r="AW31" i="4"/>
  <c r="AL31" i="4"/>
  <c r="AG31" i="4"/>
  <c r="BS31" i="4"/>
  <c r="AR31" i="4"/>
  <c r="AK31" i="4"/>
  <c r="AS31" i="4"/>
  <c r="AX31" i="4"/>
  <c r="AV31" i="4"/>
  <c r="AQ31" i="4"/>
  <c r="BQ31" i="4"/>
  <c r="AO31" i="4"/>
  <c r="BP31" i="4"/>
  <c r="AY31" i="4"/>
  <c r="AN31" i="4"/>
  <c r="AI31" i="4"/>
  <c r="EI15" i="4"/>
  <c r="EF15" i="4"/>
  <c r="EG15" i="4"/>
  <c r="EH15" i="4"/>
  <c r="ES15" i="4"/>
  <c r="ER15" i="4"/>
  <c r="ET15" i="4"/>
  <c r="EU15" i="4"/>
  <c r="EF14" i="4"/>
  <c r="EI14" i="4"/>
  <c r="EG14" i="4"/>
  <c r="EH14" i="4"/>
  <c r="DX14" i="4"/>
  <c r="DZ14" i="4"/>
  <c r="EA14" i="4"/>
  <c r="DY14" i="4"/>
  <c r="EK15" i="4"/>
  <c r="EJ15" i="4"/>
  <c r="EL15" i="4"/>
  <c r="EM15" i="4"/>
  <c r="EK14" i="4"/>
  <c r="EL14" i="4"/>
  <c r="EM14" i="4"/>
  <c r="EJ14" i="4"/>
  <c r="DZ15" i="4"/>
  <c r="EA15" i="4"/>
  <c r="DY15" i="4"/>
  <c r="DX15" i="4"/>
  <c r="AY18" i="3"/>
  <c r="AX18" i="3"/>
  <c r="AZ18" i="3"/>
  <c r="BA18" i="3"/>
  <c r="BA28" i="3"/>
  <c r="AX28" i="3"/>
  <c r="AY28" i="3"/>
  <c r="AZ28" i="3"/>
  <c r="AT23" i="3"/>
  <c r="AU23" i="3"/>
  <c r="AV23" i="3"/>
  <c r="AW23" i="3"/>
  <c r="AT31" i="3"/>
  <c r="AU31" i="3"/>
  <c r="AV31" i="3"/>
  <c r="AW31" i="3"/>
  <c r="AT15" i="3"/>
  <c r="AU15" i="3"/>
  <c r="AV15" i="3"/>
  <c r="AW15" i="3"/>
  <c r="AX12" i="3"/>
  <c r="AY12" i="3"/>
  <c r="AZ12" i="3"/>
  <c r="BA12" i="3"/>
  <c r="AX9" i="3"/>
  <c r="AY9" i="3"/>
  <c r="AZ9" i="3"/>
  <c r="BA9" i="3"/>
  <c r="BA10" i="3"/>
  <c r="AX10" i="3"/>
  <c r="AY10" i="3"/>
  <c r="AZ10" i="3"/>
  <c r="AT11" i="3"/>
  <c r="AV11" i="3"/>
  <c r="AW11" i="3"/>
  <c r="AU11" i="3"/>
  <c r="AT32" i="3"/>
  <c r="AV32" i="3"/>
  <c r="AW32" i="3"/>
  <c r="AU32" i="3"/>
  <c r="AT14" i="3"/>
  <c r="AV14" i="3"/>
  <c r="AU14" i="3"/>
  <c r="AW14" i="3"/>
  <c r="AT19" i="3"/>
  <c r="AU19" i="3"/>
  <c r="AV19" i="3"/>
  <c r="AW19" i="3"/>
  <c r="AT22" i="3"/>
  <c r="AU22" i="3"/>
  <c r="AW22" i="3"/>
  <c r="AV22" i="3"/>
  <c r="AY16" i="3"/>
  <c r="AX16" i="3"/>
  <c r="AZ16" i="3"/>
  <c r="BA16" i="3"/>
  <c r="V24" i="3"/>
  <c r="W24" i="3"/>
  <c r="Y24" i="3"/>
  <c r="X24" i="3"/>
  <c r="V32" i="3"/>
  <c r="W32" i="3"/>
  <c r="X32" i="3"/>
  <c r="Y32" i="3"/>
  <c r="V28" i="3"/>
  <c r="W28" i="3"/>
  <c r="X28" i="3"/>
  <c r="Y28" i="3"/>
  <c r="AC19" i="3"/>
  <c r="Z19" i="3"/>
  <c r="AA19" i="3"/>
  <c r="AB19" i="3"/>
  <c r="AC31" i="3"/>
  <c r="AA31" i="3"/>
  <c r="AB31" i="3"/>
  <c r="Z31" i="3"/>
  <c r="V12" i="3"/>
  <c r="W12" i="3"/>
  <c r="Y12" i="3"/>
  <c r="X12" i="3"/>
  <c r="Z20" i="3"/>
  <c r="AA20" i="3"/>
  <c r="AB20" i="3"/>
  <c r="AC20" i="3"/>
  <c r="Z22" i="3"/>
  <c r="AC22" i="3"/>
  <c r="AA22" i="3"/>
  <c r="AB22" i="3"/>
  <c r="V8" i="3"/>
  <c r="W8" i="3"/>
  <c r="Y8" i="3"/>
  <c r="X8" i="3"/>
  <c r="V10" i="3"/>
  <c r="W10" i="3"/>
  <c r="Y10" i="3"/>
  <c r="X10" i="3"/>
  <c r="Z29" i="3"/>
  <c r="AB29" i="3"/>
  <c r="AC29" i="3"/>
  <c r="AA29" i="3"/>
  <c r="AC21" i="3"/>
  <c r="AB21" i="3"/>
  <c r="Z21" i="3"/>
  <c r="AA21" i="3"/>
  <c r="AA30" i="3"/>
  <c r="AB30" i="3"/>
  <c r="AC30" i="3"/>
  <c r="Z30" i="3"/>
  <c r="AC15" i="3"/>
  <c r="Z15" i="3"/>
  <c r="AA15" i="3"/>
  <c r="AB15" i="3"/>
  <c r="B1" i="8"/>
  <c r="B1" i="9"/>
  <c r="A1" i="12"/>
  <c r="BB26" i="3" l="1"/>
  <c r="BC26" i="3"/>
  <c r="BD26" i="3"/>
  <c r="BE26" i="3"/>
  <c r="BF27" i="3"/>
  <c r="BG27" i="3"/>
  <c r="BH27" i="3"/>
  <c r="BI27" i="3"/>
  <c r="BJ31" i="4"/>
  <c r="BK31" i="4"/>
  <c r="BH31" i="4"/>
  <c r="BI31" i="4"/>
  <c r="AU25" i="3"/>
  <c r="AW25" i="3"/>
  <c r="AT25" i="3"/>
  <c r="AV25" i="3"/>
  <c r="BB31" i="4"/>
  <c r="AZ31" i="4"/>
  <c r="BA31" i="4"/>
  <c r="BC31" i="4"/>
  <c r="AZ17" i="3"/>
  <c r="BA17" i="3"/>
  <c r="AY17" i="3"/>
  <c r="AX17" i="3"/>
  <c r="AW20" i="3"/>
  <c r="AV20" i="3"/>
  <c r="AU20" i="3"/>
  <c r="AT20" i="3"/>
  <c r="AY13" i="3"/>
  <c r="AX13" i="3"/>
  <c r="AZ13" i="3"/>
  <c r="BA13" i="3"/>
  <c r="CJ31" i="4"/>
  <c r="CK31" i="4"/>
  <c r="CL31" i="4"/>
  <c r="CM31" i="4"/>
  <c r="CG31" i="4"/>
  <c r="CH31" i="4"/>
  <c r="CI31" i="4"/>
  <c r="CF31" i="4"/>
  <c r="AT21" i="3"/>
  <c r="AU21" i="3"/>
  <c r="AW21" i="3"/>
  <c r="AV21" i="3"/>
  <c r="BD31" i="4"/>
  <c r="BG31" i="4"/>
  <c r="BF31" i="4"/>
  <c r="BE31" i="4"/>
  <c r="AT29" i="3"/>
  <c r="AV29" i="3"/>
  <c r="AU29" i="3"/>
  <c r="AW29" i="3"/>
  <c r="AU30" i="3"/>
  <c r="AV30" i="3"/>
  <c r="AT30" i="3"/>
  <c r="AW30" i="3"/>
  <c r="BA24" i="3"/>
  <c r="AZ24" i="3"/>
  <c r="AX24" i="3"/>
  <c r="AY24" i="3"/>
  <c r="BB16" i="3"/>
  <c r="BC16" i="3"/>
  <c r="BD16" i="3"/>
  <c r="BE16" i="3"/>
  <c r="AY19" i="3"/>
  <c r="AX19" i="3"/>
  <c r="AZ19" i="3"/>
  <c r="BA19" i="3"/>
  <c r="BA31" i="3"/>
  <c r="AX31" i="3"/>
  <c r="AY31" i="3"/>
  <c r="AZ31" i="3"/>
  <c r="BB10" i="3"/>
  <c r="BC10" i="3"/>
  <c r="BD10" i="3"/>
  <c r="BE10" i="3"/>
  <c r="BB28" i="3"/>
  <c r="BC28" i="3"/>
  <c r="BD28" i="3"/>
  <c r="BE28" i="3"/>
  <c r="BB9" i="3"/>
  <c r="BE9" i="3"/>
  <c r="BC9" i="3"/>
  <c r="BD9" i="3"/>
  <c r="BA23" i="3"/>
  <c r="AZ23" i="3"/>
  <c r="AX23" i="3"/>
  <c r="AY23" i="3"/>
  <c r="BD18" i="3"/>
  <c r="BB18" i="3"/>
  <c r="BC18" i="3"/>
  <c r="BE18" i="3"/>
  <c r="BA32" i="3"/>
  <c r="AX32" i="3"/>
  <c r="AY32" i="3"/>
  <c r="AZ32" i="3"/>
  <c r="AX14" i="3"/>
  <c r="AY14" i="3"/>
  <c r="AZ14" i="3"/>
  <c r="BA14" i="3"/>
  <c r="BB12" i="3"/>
  <c r="BC12" i="3"/>
  <c r="BD12" i="3"/>
  <c r="BE12" i="3"/>
  <c r="AY15" i="3"/>
  <c r="AX15" i="3"/>
  <c r="AZ15" i="3"/>
  <c r="BA15" i="3"/>
  <c r="BA22" i="3"/>
  <c r="AX22" i="3"/>
  <c r="AY22" i="3"/>
  <c r="AZ22" i="3"/>
  <c r="AZ11" i="3"/>
  <c r="AX11" i="3"/>
  <c r="AY11" i="3"/>
  <c r="BA11" i="3"/>
  <c r="Z8" i="3"/>
  <c r="AB8" i="3"/>
  <c r="AC8" i="3"/>
  <c r="AA8" i="3"/>
  <c r="Z12" i="3"/>
  <c r="AA12" i="3"/>
  <c r="AB12" i="3"/>
  <c r="AC12" i="3"/>
  <c r="Z28" i="3"/>
  <c r="AB28" i="3"/>
  <c r="AC28" i="3"/>
  <c r="AA28" i="3"/>
  <c r="Z32" i="3"/>
  <c r="AA32" i="3"/>
  <c r="AB32" i="3"/>
  <c r="AC32" i="3"/>
  <c r="Z10" i="3"/>
  <c r="AA10" i="3"/>
  <c r="AB10" i="3"/>
  <c r="AC10" i="3"/>
  <c r="Z24" i="3"/>
  <c r="AB24" i="3"/>
  <c r="AC24" i="3"/>
  <c r="AA24" i="3"/>
  <c r="A1" i="7"/>
  <c r="A1" i="10"/>
  <c r="D7" i="10"/>
  <c r="E32" i="7"/>
  <c r="E31" i="7"/>
  <c r="E22" i="7"/>
  <c r="E23" i="7"/>
  <c r="E24" i="7"/>
  <c r="E25" i="7"/>
  <c r="E26" i="7"/>
  <c r="E27" i="7"/>
  <c r="E28" i="7"/>
  <c r="E21" i="7"/>
  <c r="E20" i="7"/>
  <c r="E8" i="7"/>
  <c r="E9" i="7"/>
  <c r="E10" i="7"/>
  <c r="E7" i="7"/>
  <c r="E6" i="7"/>
  <c r="BJ27" i="3" l="1"/>
  <c r="BK27" i="3"/>
  <c r="BL27" i="3"/>
  <c r="BM27" i="3"/>
  <c r="BF26" i="3"/>
  <c r="BG26" i="3"/>
  <c r="BH26" i="3"/>
  <c r="BI26" i="3"/>
  <c r="AY25" i="3"/>
  <c r="AZ25" i="3"/>
  <c r="BA25" i="3"/>
  <c r="AX25" i="3"/>
  <c r="AZ29" i="3"/>
  <c r="BA29" i="3"/>
  <c r="AX29" i="3"/>
  <c r="AY29" i="3"/>
  <c r="AX21" i="3"/>
  <c r="BA21" i="3"/>
  <c r="AZ21" i="3"/>
  <c r="AY21" i="3"/>
  <c r="CC31" i="4"/>
  <c r="CB31" i="4"/>
  <c r="CE31" i="4"/>
  <c r="CD31" i="4"/>
  <c r="BE17" i="3"/>
  <c r="BB17" i="3"/>
  <c r="BC17" i="3"/>
  <c r="BD17" i="3"/>
  <c r="BU31" i="4"/>
  <c r="BT31" i="4"/>
  <c r="BW31" i="4"/>
  <c r="BV31" i="4"/>
  <c r="BB13" i="3"/>
  <c r="BE13" i="3"/>
  <c r="BC13" i="3"/>
  <c r="BD13" i="3"/>
  <c r="BB24" i="3"/>
  <c r="BC24" i="3"/>
  <c r="BD24" i="3"/>
  <c r="BE24" i="3"/>
  <c r="BA30" i="3"/>
  <c r="AX30" i="3"/>
  <c r="AY30" i="3"/>
  <c r="AZ30" i="3"/>
  <c r="BY31" i="4"/>
  <c r="BX31" i="4"/>
  <c r="CA31" i="4"/>
  <c r="BZ31" i="4"/>
  <c r="AY20" i="3"/>
  <c r="AX20" i="3"/>
  <c r="AZ20" i="3"/>
  <c r="BA20" i="3"/>
  <c r="BG18" i="3"/>
  <c r="BH18" i="3"/>
  <c r="BI18" i="3"/>
  <c r="BF18" i="3"/>
  <c r="BF10" i="3"/>
  <c r="BG10" i="3"/>
  <c r="BH10" i="3"/>
  <c r="BI10" i="3"/>
  <c r="BC19" i="3"/>
  <c r="BB19" i="3"/>
  <c r="BD19" i="3"/>
  <c r="BE19" i="3"/>
  <c r="BB22" i="3"/>
  <c r="BC22" i="3"/>
  <c r="BD22" i="3"/>
  <c r="BE22" i="3"/>
  <c r="BC31" i="3"/>
  <c r="BD31" i="3"/>
  <c r="BE31" i="3"/>
  <c r="BB31" i="3"/>
  <c r="BB11" i="3"/>
  <c r="BC11" i="3"/>
  <c r="BD11" i="3"/>
  <c r="BE11" i="3"/>
  <c r="BG16" i="3"/>
  <c r="BF16" i="3"/>
  <c r="BI16" i="3"/>
  <c r="BH16" i="3"/>
  <c r="BD15" i="3"/>
  <c r="BE15" i="3"/>
  <c r="BB15" i="3"/>
  <c r="BC15" i="3"/>
  <c r="BB14" i="3"/>
  <c r="BC14" i="3"/>
  <c r="BD14" i="3"/>
  <c r="BE14" i="3"/>
  <c r="BH9" i="3"/>
  <c r="BI9" i="3"/>
  <c r="BF9" i="3"/>
  <c r="BG9" i="3"/>
  <c r="BG12" i="3"/>
  <c r="BI12" i="3"/>
  <c r="BF12" i="3"/>
  <c r="BH12" i="3"/>
  <c r="BI28" i="3"/>
  <c r="BF28" i="3"/>
  <c r="BG28" i="3"/>
  <c r="BH28" i="3"/>
  <c r="BB32" i="3"/>
  <c r="BC32" i="3"/>
  <c r="BD32" i="3"/>
  <c r="BE32" i="3"/>
  <c r="BB23" i="3"/>
  <c r="BC23" i="3"/>
  <c r="BD23" i="3"/>
  <c r="BE23" i="3"/>
  <c r="B1" i="6"/>
  <c r="B1" i="5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D30" i="4"/>
  <c r="C30" i="4"/>
  <c r="E13" i="4"/>
  <c r="E12" i="4"/>
  <c r="E11" i="4"/>
  <c r="E10" i="4"/>
  <c r="E9" i="4"/>
  <c r="E8" i="4"/>
  <c r="E7" i="4"/>
  <c r="C13" i="4"/>
  <c r="C7" i="4"/>
  <c r="D3" i="4"/>
  <c r="E43" i="3"/>
  <c r="E42" i="3"/>
  <c r="E41" i="3"/>
  <c r="C43" i="3"/>
  <c r="B32" i="6" s="1"/>
  <c r="C42" i="3"/>
  <c r="B31" i="6" s="1"/>
  <c r="C41" i="3"/>
  <c r="B30" i="6" s="1"/>
  <c r="D3" i="3"/>
  <c r="D2" i="3"/>
  <c r="EY17" i="14"/>
  <c r="Z39" i="14"/>
  <c r="AA39" i="14" s="1"/>
  <c r="AB39" i="14" s="1"/>
  <c r="AC39" i="14" s="1"/>
  <c r="AD39" i="14" s="1"/>
  <c r="AE39" i="14" s="1"/>
  <c r="AF39" i="14" s="1"/>
  <c r="BJ26" i="3" l="1"/>
  <c r="BK26" i="3"/>
  <c r="BL26" i="3"/>
  <c r="BM26" i="3"/>
  <c r="BQ27" i="3"/>
  <c r="BN27" i="3"/>
  <c r="BO27" i="3"/>
  <c r="BP27" i="3"/>
  <c r="AL42" i="3"/>
  <c r="AW42" i="3"/>
  <c r="AP42" i="3"/>
  <c r="AR42" i="3"/>
  <c r="AV42" i="3"/>
  <c r="AQ42" i="3"/>
  <c r="AU42" i="3"/>
  <c r="AT42" i="3"/>
  <c r="AS42" i="3"/>
  <c r="AK24" i="4"/>
  <c r="BG24" i="4" s="1"/>
  <c r="AT24" i="4"/>
  <c r="AU24" i="4"/>
  <c r="AW24" i="4"/>
  <c r="AX24" i="4"/>
  <c r="AY24" i="4"/>
  <c r="AR24" i="4"/>
  <c r="AS24" i="4"/>
  <c r="AV24" i="4"/>
  <c r="DE31" i="4"/>
  <c r="DM31" i="4"/>
  <c r="EM31" i="4"/>
  <c r="DG31" i="4"/>
  <c r="DO31" i="4"/>
  <c r="EG31" i="4"/>
  <c r="CZ31" i="4"/>
  <c r="DJ31" i="4"/>
  <c r="EH31" i="4"/>
  <c r="DA31" i="4"/>
  <c r="DK31" i="4"/>
  <c r="EI31" i="4"/>
  <c r="DC31" i="4"/>
  <c r="DN31" i="4"/>
  <c r="EK31" i="4"/>
  <c r="DF31" i="4"/>
  <c r="DH31" i="4"/>
  <c r="DL31" i="4"/>
  <c r="DS31" i="4"/>
  <c r="DB31" i="4"/>
  <c r="EF31" i="4"/>
  <c r="DQ31" i="4"/>
  <c r="DR31" i="4"/>
  <c r="DD31" i="4"/>
  <c r="EJ31" i="4"/>
  <c r="DI31" i="4"/>
  <c r="EL31" i="4"/>
  <c r="DP31" i="4"/>
  <c r="CS31" i="4"/>
  <c r="CT31" i="4"/>
  <c r="CU31" i="4"/>
  <c r="CR31" i="4"/>
  <c r="AT25" i="4"/>
  <c r="AU25" i="4"/>
  <c r="AW25" i="4"/>
  <c r="BS25" i="4" s="1"/>
  <c r="AS25" i="4"/>
  <c r="AY25" i="4"/>
  <c r="AX25" i="4"/>
  <c r="AR25" i="4"/>
  <c r="AV25" i="4"/>
  <c r="BB29" i="3"/>
  <c r="BD29" i="3"/>
  <c r="BE29" i="3"/>
  <c r="BC29" i="3"/>
  <c r="BF13" i="3"/>
  <c r="BG13" i="3"/>
  <c r="BH13" i="3"/>
  <c r="BI13" i="3"/>
  <c r="AY20" i="4"/>
  <c r="AS20" i="4"/>
  <c r="AV20" i="4"/>
  <c r="AW20" i="4"/>
  <c r="AX20" i="4"/>
  <c r="AT20" i="4"/>
  <c r="AU20" i="4"/>
  <c r="AR20" i="4"/>
  <c r="BS28" i="4"/>
  <c r="BN28" i="4"/>
  <c r="BI28" i="4"/>
  <c r="BH28" i="4"/>
  <c r="BQ28" i="4"/>
  <c r="BJ28" i="4"/>
  <c r="AT28" i="4"/>
  <c r="BP28" i="4"/>
  <c r="AU28" i="4"/>
  <c r="AI28" i="4"/>
  <c r="BM28" i="4"/>
  <c r="AW28" i="4"/>
  <c r="AQ28" i="4"/>
  <c r="AM28" i="4"/>
  <c r="AG28" i="4"/>
  <c r="AH28" i="4"/>
  <c r="BO28" i="4"/>
  <c r="AR28" i="4"/>
  <c r="AF28" i="4"/>
  <c r="AV28" i="4"/>
  <c r="AP28" i="4"/>
  <c r="AY28" i="4"/>
  <c r="AL28" i="4"/>
  <c r="BL28" i="4"/>
  <c r="AK28" i="4"/>
  <c r="BK28" i="4"/>
  <c r="AX28" i="4"/>
  <c r="AJ28" i="4"/>
  <c r="AO28" i="4"/>
  <c r="BR28" i="4"/>
  <c r="AS28" i="4"/>
  <c r="AN28" i="4"/>
  <c r="BD30" i="3"/>
  <c r="BE30" i="3"/>
  <c r="BC30" i="3"/>
  <c r="BB30" i="3"/>
  <c r="BE20" i="3"/>
  <c r="BC20" i="3"/>
  <c r="BD20" i="3"/>
  <c r="BB20" i="3"/>
  <c r="AM18" i="4"/>
  <c r="AW18" i="4"/>
  <c r="AV18" i="4"/>
  <c r="AT18" i="4"/>
  <c r="AS18" i="4"/>
  <c r="AR18" i="4"/>
  <c r="AY18" i="4"/>
  <c r="AX18" i="4"/>
  <c r="AU18" i="4"/>
  <c r="AY21" i="4"/>
  <c r="AS21" i="4"/>
  <c r="AX21" i="4"/>
  <c r="AR21" i="4"/>
  <c r="AT21" i="4"/>
  <c r="AV21" i="4"/>
  <c r="AU21" i="4"/>
  <c r="AW21" i="4"/>
  <c r="AT29" i="4"/>
  <c r="AU29" i="4"/>
  <c r="AW29" i="4"/>
  <c r="AV29" i="4"/>
  <c r="AX29" i="4"/>
  <c r="AR29" i="4"/>
  <c r="AS29" i="4"/>
  <c r="AY29" i="4"/>
  <c r="BG24" i="3"/>
  <c r="BI24" i="3"/>
  <c r="BH24" i="3"/>
  <c r="BF24" i="3"/>
  <c r="BC25" i="3"/>
  <c r="BD25" i="3"/>
  <c r="BE25" i="3"/>
  <c r="BB25" i="3"/>
  <c r="CP31" i="4"/>
  <c r="CO31" i="4"/>
  <c r="CQ31" i="4"/>
  <c r="CN31" i="4"/>
  <c r="AY19" i="4"/>
  <c r="AS19" i="4"/>
  <c r="AT19" i="4"/>
  <c r="AU19" i="4"/>
  <c r="AW19" i="4"/>
  <c r="AV19" i="4"/>
  <c r="AR19" i="4"/>
  <c r="AX19" i="4"/>
  <c r="CY31" i="4"/>
  <c r="CV31" i="4"/>
  <c r="CW31" i="4"/>
  <c r="CX31" i="4"/>
  <c r="AY22" i="4"/>
  <c r="AS22" i="4"/>
  <c r="AR22" i="4"/>
  <c r="AU22" i="4"/>
  <c r="AX22" i="4"/>
  <c r="AV22" i="4"/>
  <c r="AT22" i="4"/>
  <c r="AW22" i="4"/>
  <c r="AH30" i="4"/>
  <c r="AT30" i="4"/>
  <c r="AU30" i="4"/>
  <c r="AW30" i="4"/>
  <c r="AR30" i="4"/>
  <c r="AX30" i="4"/>
  <c r="AS30" i="4"/>
  <c r="AV30" i="4"/>
  <c r="AY30" i="4"/>
  <c r="BG17" i="3"/>
  <c r="BF17" i="3"/>
  <c r="BH17" i="3"/>
  <c r="BI17" i="3"/>
  <c r="BC21" i="3"/>
  <c r="BD21" i="3"/>
  <c r="BE21" i="3"/>
  <c r="BB21" i="3"/>
  <c r="AS43" i="3"/>
  <c r="AT43" i="3"/>
  <c r="AV43" i="3"/>
  <c r="AP43" i="3"/>
  <c r="AU43" i="3"/>
  <c r="AQ43" i="3"/>
  <c r="AW43" i="3"/>
  <c r="AR43" i="3"/>
  <c r="AM26" i="4"/>
  <c r="AT26" i="4"/>
  <c r="AU26" i="4"/>
  <c r="AW26" i="4"/>
  <c r="AS26" i="4"/>
  <c r="AV26" i="4"/>
  <c r="AY26" i="4"/>
  <c r="AR26" i="4"/>
  <c r="AX26" i="4"/>
  <c r="AT27" i="4"/>
  <c r="AU27" i="4"/>
  <c r="AW27" i="4"/>
  <c r="AY27" i="4"/>
  <c r="AR27" i="4"/>
  <c r="AX27" i="4"/>
  <c r="AS27" i="4"/>
  <c r="AV27" i="4"/>
  <c r="AE41" i="3"/>
  <c r="AU41" i="3"/>
  <c r="AS41" i="3"/>
  <c r="AQ41" i="3"/>
  <c r="AT41" i="3"/>
  <c r="AR41" i="3"/>
  <c r="AV41" i="3"/>
  <c r="AP41" i="3"/>
  <c r="AW41" i="3"/>
  <c r="AY23" i="4"/>
  <c r="AS23" i="4"/>
  <c r="AT23" i="4"/>
  <c r="AV23" i="4"/>
  <c r="AR23" i="4"/>
  <c r="AW23" i="4"/>
  <c r="AX23" i="4"/>
  <c r="AU23" i="4"/>
  <c r="AI13" i="4"/>
  <c r="AQ13" i="4"/>
  <c r="AY13" i="4"/>
  <c r="AJ13" i="4"/>
  <c r="AR13" i="4"/>
  <c r="AK13" i="4"/>
  <c r="AS13" i="4"/>
  <c r="AL13" i="4"/>
  <c r="AT13" i="4"/>
  <c r="AM13" i="4"/>
  <c r="AU13" i="4"/>
  <c r="AF13" i="4"/>
  <c r="AN13" i="4"/>
  <c r="AV13" i="4"/>
  <c r="AG13" i="4"/>
  <c r="AO13" i="4"/>
  <c r="AW13" i="4"/>
  <c r="AH13" i="4"/>
  <c r="AP13" i="4"/>
  <c r="AX13" i="4"/>
  <c r="AI12" i="4"/>
  <c r="AQ12" i="4"/>
  <c r="AY12" i="4"/>
  <c r="AJ12" i="4"/>
  <c r="AR12" i="4"/>
  <c r="AK12" i="4"/>
  <c r="AS12" i="4"/>
  <c r="AL12" i="4"/>
  <c r="AT12" i="4"/>
  <c r="AM12" i="4"/>
  <c r="AU12" i="4"/>
  <c r="AF12" i="4"/>
  <c r="AN12" i="4"/>
  <c r="AV12" i="4"/>
  <c r="AG12" i="4"/>
  <c r="AO12" i="4"/>
  <c r="AW12" i="4"/>
  <c r="AH12" i="4"/>
  <c r="AP12" i="4"/>
  <c r="AX12" i="4"/>
  <c r="AJ11" i="4"/>
  <c r="AR11" i="4"/>
  <c r="AM11" i="4"/>
  <c r="AN11" i="4"/>
  <c r="AO11" i="4"/>
  <c r="AH11" i="4"/>
  <c r="AI11" i="4"/>
  <c r="AQ11" i="4"/>
  <c r="AY11" i="4"/>
  <c r="AK11" i="4"/>
  <c r="AS11" i="4"/>
  <c r="AF11" i="4"/>
  <c r="AW11" i="4"/>
  <c r="AL11" i="4"/>
  <c r="AT11" i="4"/>
  <c r="AU11" i="4"/>
  <c r="AV11" i="4"/>
  <c r="AG11" i="4"/>
  <c r="AP11" i="4"/>
  <c r="AX11" i="4"/>
  <c r="AJ10" i="4"/>
  <c r="AR10" i="4"/>
  <c r="AK10" i="4"/>
  <c r="AS10" i="4"/>
  <c r="AL10" i="4"/>
  <c r="AT10" i="4"/>
  <c r="AM10" i="4"/>
  <c r="AU10" i="4"/>
  <c r="AF10" i="4"/>
  <c r="AN10" i="4"/>
  <c r="AV10" i="4"/>
  <c r="AG10" i="4"/>
  <c r="AO10" i="4"/>
  <c r="AW10" i="4"/>
  <c r="AH10" i="4"/>
  <c r="AP10" i="4"/>
  <c r="AX10" i="4"/>
  <c r="AI10" i="4"/>
  <c r="AQ10" i="4"/>
  <c r="AY10" i="4"/>
  <c r="AJ9" i="4"/>
  <c r="AR9" i="4"/>
  <c r="AK9" i="4"/>
  <c r="AS9" i="4"/>
  <c r="AL9" i="4"/>
  <c r="AT9" i="4"/>
  <c r="AM9" i="4"/>
  <c r="AU9" i="4"/>
  <c r="AF9" i="4"/>
  <c r="AN9" i="4"/>
  <c r="AV9" i="4"/>
  <c r="AG9" i="4"/>
  <c r="AO9" i="4"/>
  <c r="AW9" i="4"/>
  <c r="AH9" i="4"/>
  <c r="AP9" i="4"/>
  <c r="AX9" i="4"/>
  <c r="AI9" i="4"/>
  <c r="AQ9" i="4"/>
  <c r="AY9" i="4"/>
  <c r="AJ8" i="4"/>
  <c r="AR8" i="4"/>
  <c r="AK8" i="4"/>
  <c r="AS8" i="4"/>
  <c r="AL8" i="4"/>
  <c r="AT8" i="4"/>
  <c r="AM8" i="4"/>
  <c r="AU8" i="4"/>
  <c r="AF8" i="4"/>
  <c r="AN8" i="4"/>
  <c r="AV8" i="4"/>
  <c r="AG8" i="4"/>
  <c r="AO8" i="4"/>
  <c r="AW8" i="4"/>
  <c r="AH8" i="4"/>
  <c r="AP8" i="4"/>
  <c r="AX8" i="4"/>
  <c r="AI8" i="4"/>
  <c r="AQ8" i="4"/>
  <c r="AY8" i="4"/>
  <c r="AN7" i="4"/>
  <c r="AY7" i="4"/>
  <c r="AX7" i="4"/>
  <c r="AW7" i="4"/>
  <c r="AV7" i="4"/>
  <c r="AU7" i="4"/>
  <c r="AT7" i="4"/>
  <c r="AS7" i="4"/>
  <c r="AR7" i="4"/>
  <c r="BI32" i="3"/>
  <c r="BG32" i="3"/>
  <c r="BH32" i="3"/>
  <c r="BF32" i="3"/>
  <c r="BF14" i="3"/>
  <c r="BI14" i="3"/>
  <c r="BG14" i="3"/>
  <c r="BH14" i="3"/>
  <c r="BI11" i="3"/>
  <c r="BF11" i="3"/>
  <c r="BG11" i="3"/>
  <c r="BH11" i="3"/>
  <c r="BJ10" i="3"/>
  <c r="BL10" i="3"/>
  <c r="BM10" i="3"/>
  <c r="BK10" i="3"/>
  <c r="BG19" i="3"/>
  <c r="BF19" i="3"/>
  <c r="BH19" i="3"/>
  <c r="BI19" i="3"/>
  <c r="BJ16" i="3"/>
  <c r="BK16" i="3"/>
  <c r="BL16" i="3"/>
  <c r="BM16" i="3"/>
  <c r="BM18" i="3"/>
  <c r="BJ18" i="3"/>
  <c r="BK18" i="3"/>
  <c r="BL18" i="3"/>
  <c r="BJ9" i="3"/>
  <c r="BM9" i="3"/>
  <c r="BK9" i="3"/>
  <c r="BL9" i="3"/>
  <c r="BG15" i="3"/>
  <c r="BH15" i="3"/>
  <c r="BF15" i="3"/>
  <c r="BI15" i="3"/>
  <c r="BI22" i="3"/>
  <c r="BF22" i="3"/>
  <c r="BG22" i="3"/>
  <c r="BH22" i="3"/>
  <c r="BJ12" i="3"/>
  <c r="BK12" i="3"/>
  <c r="BL12" i="3"/>
  <c r="BM12" i="3"/>
  <c r="BI23" i="3"/>
  <c r="BG23" i="3"/>
  <c r="BH23" i="3"/>
  <c r="BF23" i="3"/>
  <c r="BI31" i="3"/>
  <c r="BF31" i="3"/>
  <c r="BG31" i="3"/>
  <c r="BH31" i="3"/>
  <c r="BL28" i="3"/>
  <c r="BM28" i="3"/>
  <c r="BK28" i="3"/>
  <c r="BJ28" i="3"/>
  <c r="AH8" i="3"/>
  <c r="AJ8" i="3"/>
  <c r="AI8" i="3"/>
  <c r="AK8" i="3"/>
  <c r="EW46" i="14"/>
  <c r="EW45" i="14"/>
  <c r="EW48" i="14"/>
  <c r="EW44" i="14"/>
  <c r="EW47" i="14"/>
  <c r="AL29" i="4"/>
  <c r="AJ7" i="4"/>
  <c r="AK7" i="4"/>
  <c r="BE7" i="4" s="1"/>
  <c r="BX7" i="4" s="1"/>
  <c r="BP18" i="4"/>
  <c r="AG7" i="4"/>
  <c r="AZ7" i="4" s="1"/>
  <c r="AN41" i="3"/>
  <c r="AQ22" i="4"/>
  <c r="AJ24" i="4"/>
  <c r="AH24" i="4"/>
  <c r="AO29" i="4"/>
  <c r="AL7" i="4"/>
  <c r="AO7" i="4"/>
  <c r="BH7" i="4" s="1"/>
  <c r="AP7" i="4"/>
  <c r="AQ7" i="4"/>
  <c r="AK25" i="4"/>
  <c r="BD25" i="4" s="1"/>
  <c r="AH25" i="4"/>
  <c r="AN26" i="4"/>
  <c r="BQ26" i="4"/>
  <c r="AP22" i="4"/>
  <c r="AQ25" i="4"/>
  <c r="AP25" i="4"/>
  <c r="AI24" i="4"/>
  <c r="AQ30" i="4"/>
  <c r="AP30" i="4"/>
  <c r="AK43" i="3"/>
  <c r="BE43" i="3" s="1"/>
  <c r="AN42" i="3"/>
  <c r="AH19" i="4"/>
  <c r="AM19" i="4"/>
  <c r="AN19" i="4"/>
  <c r="AO19" i="4"/>
  <c r="BK19" i="4" s="1"/>
  <c r="AO27" i="4"/>
  <c r="BK27" i="4" s="1"/>
  <c r="AK20" i="4"/>
  <c r="BD20" i="4" s="1"/>
  <c r="AN20" i="4"/>
  <c r="AO20" i="4"/>
  <c r="AN27" i="4"/>
  <c r="AH21" i="4"/>
  <c r="AI21" i="4"/>
  <c r="AL21" i="4"/>
  <c r="AQ21" i="4"/>
  <c r="AJ29" i="4"/>
  <c r="AK29" i="4"/>
  <c r="BG29" i="4" s="1"/>
  <c r="AM27" i="4"/>
  <c r="AJ20" i="4"/>
  <c r="AJ22" i="4"/>
  <c r="AF22" i="4"/>
  <c r="AK22" i="4"/>
  <c r="BG22" i="4" s="1"/>
  <c r="AN22" i="4"/>
  <c r="AO22" i="4"/>
  <c r="BH22" i="4" s="1"/>
  <c r="AF30" i="4"/>
  <c r="AG30" i="4"/>
  <c r="BC30" i="4" s="1"/>
  <c r="AM30" i="4"/>
  <c r="AJ27" i="4"/>
  <c r="AQ24" i="4"/>
  <c r="AH7" i="4"/>
  <c r="AJ25" i="4"/>
  <c r="AP24" i="4"/>
  <c r="AI7" i="4"/>
  <c r="AQ18" i="4"/>
  <c r="AI25" i="4"/>
  <c r="AM23" i="4"/>
  <c r="AI26" i="4"/>
  <c r="AQ26" i="4"/>
  <c r="AJ26" i="4"/>
  <c r="AO26" i="4"/>
  <c r="BK26" i="4" s="1"/>
  <c r="AF26" i="4"/>
  <c r="AP26" i="4"/>
  <c r="AH18" i="4"/>
  <c r="AK27" i="4"/>
  <c r="BG27" i="4" s="1"/>
  <c r="AL27" i="4"/>
  <c r="AG27" i="4"/>
  <c r="AQ27" i="4"/>
  <c r="AH27" i="4"/>
  <c r="AI27" i="4"/>
  <c r="AK26" i="4"/>
  <c r="AH20" i="4"/>
  <c r="AP20" i="4"/>
  <c r="AI20" i="4"/>
  <c r="AQ20" i="4"/>
  <c r="AL20" i="4"/>
  <c r="AM20" i="4"/>
  <c r="AL18" i="4"/>
  <c r="AF27" i="4"/>
  <c r="AH26" i="4"/>
  <c r="BD24" i="4"/>
  <c r="BE24" i="4"/>
  <c r="BF24" i="4"/>
  <c r="AG20" i="4"/>
  <c r="AF19" i="4"/>
  <c r="AM42" i="3"/>
  <c r="AF21" i="4"/>
  <c r="AN21" i="4"/>
  <c r="AG21" i="4"/>
  <c r="AO21" i="4"/>
  <c r="AJ21" i="4"/>
  <c r="AK21" i="4"/>
  <c r="BD21" i="4" s="1"/>
  <c r="AH29" i="4"/>
  <c r="AP29" i="4"/>
  <c r="AI29" i="4"/>
  <c r="AQ29" i="4"/>
  <c r="AF29" i="4"/>
  <c r="AG29" i="4"/>
  <c r="AO30" i="4"/>
  <c r="BI30" i="4" s="1"/>
  <c r="AN29" i="4"/>
  <c r="AG26" i="4"/>
  <c r="BC26" i="4" s="1"/>
  <c r="AP21" i="4"/>
  <c r="AF20" i="4"/>
  <c r="AI23" i="4"/>
  <c r="AQ23" i="4"/>
  <c r="AJ23" i="4"/>
  <c r="AO23" i="4"/>
  <c r="BK23" i="4" s="1"/>
  <c r="AF23" i="4"/>
  <c r="AP23" i="4"/>
  <c r="AL23" i="4"/>
  <c r="AK23" i="4"/>
  <c r="AO18" i="4"/>
  <c r="AG18" i="4"/>
  <c r="AN18" i="4"/>
  <c r="AF18" i="4"/>
  <c r="AK18" i="4"/>
  <c r="AJ18" i="4"/>
  <c r="AL26" i="4"/>
  <c r="AH23" i="4"/>
  <c r="AI19" i="4"/>
  <c r="AQ19" i="4"/>
  <c r="AJ19" i="4"/>
  <c r="AK19" i="4"/>
  <c r="BF19" i="4" s="1"/>
  <c r="AL19" i="4"/>
  <c r="AI18" i="4"/>
  <c r="AG23" i="4"/>
  <c r="AG19" i="4"/>
  <c r="AL22" i="4"/>
  <c r="AM22" i="4"/>
  <c r="AH22" i="4"/>
  <c r="AI22" i="4"/>
  <c r="AK30" i="4"/>
  <c r="BG30" i="4" s="1"/>
  <c r="AL30" i="4"/>
  <c r="AI30" i="4"/>
  <c r="AJ30" i="4"/>
  <c r="AP18" i="4"/>
  <c r="AN30" i="4"/>
  <c r="AM29" i="4"/>
  <c r="AP27" i="4"/>
  <c r="AN23" i="4"/>
  <c r="AG22" i="4"/>
  <c r="AM21" i="4"/>
  <c r="AP19" i="4"/>
  <c r="AF24" i="4"/>
  <c r="AN24" i="4"/>
  <c r="AG24" i="4"/>
  <c r="BA24" i="4" s="1"/>
  <c r="AO24" i="4"/>
  <c r="BK24" i="4" s="1"/>
  <c r="AM7" i="4"/>
  <c r="AM25" i="4"/>
  <c r="AM24" i="4"/>
  <c r="AF25" i="4"/>
  <c r="AN25" i="4"/>
  <c r="AG25" i="4"/>
  <c r="AZ25" i="4" s="1"/>
  <c r="AO25" i="4"/>
  <c r="BH25" i="4" s="1"/>
  <c r="AF7" i="4"/>
  <c r="AL25" i="4"/>
  <c r="AL24" i="4"/>
  <c r="AG43" i="3"/>
  <c r="AZ43" i="3" s="1"/>
  <c r="AG41" i="3"/>
  <c r="AX41" i="3" s="1"/>
  <c r="AH41" i="3"/>
  <c r="AE43" i="3"/>
  <c r="AL41" i="3"/>
  <c r="AD43" i="3"/>
  <c r="AF43" i="3"/>
  <c r="AM41" i="3"/>
  <c r="AO42" i="3"/>
  <c r="BF42" i="3" s="1"/>
  <c r="AH42" i="3"/>
  <c r="AI42" i="3"/>
  <c r="AJ42" i="3"/>
  <c r="AE42" i="3"/>
  <c r="AF42" i="3"/>
  <c r="AG42" i="3"/>
  <c r="AK42" i="3"/>
  <c r="BE42" i="3" s="1"/>
  <c r="AH43" i="3"/>
  <c r="AI43" i="3"/>
  <c r="AJ43" i="3"/>
  <c r="AL43" i="3"/>
  <c r="AM43" i="3"/>
  <c r="AN43" i="3"/>
  <c r="AO43" i="3"/>
  <c r="AD42" i="3"/>
  <c r="AD41" i="3"/>
  <c r="AO41" i="3"/>
  <c r="BF41" i="3" s="1"/>
  <c r="AK41" i="3"/>
  <c r="AJ41" i="3"/>
  <c r="AI41" i="3"/>
  <c r="AF41" i="3"/>
  <c r="H10" i="8"/>
  <c r="H11" i="8" s="1"/>
  <c r="K9" i="8"/>
  <c r="K8" i="8"/>
  <c r="E29" i="7"/>
  <c r="E12" i="7"/>
  <c r="P8" i="6"/>
  <c r="P9" i="6" s="1"/>
  <c r="EY16" i="14"/>
  <c r="G16" i="14"/>
  <c r="BO26" i="3" l="1"/>
  <c r="BP26" i="3"/>
  <c r="BQ26" i="3"/>
  <c r="BN26" i="3"/>
  <c r="BR27" i="3"/>
  <c r="BS27" i="3"/>
  <c r="BT27" i="3"/>
  <c r="BU27" i="3"/>
  <c r="AP34" i="4"/>
  <c r="BM24" i="3"/>
  <c r="BK24" i="3"/>
  <c r="BL24" i="3"/>
  <c r="BJ24" i="3"/>
  <c r="AH34" i="4"/>
  <c r="AJ34" i="4"/>
  <c r="AQ34" i="4"/>
  <c r="CF28" i="4"/>
  <c r="CG28" i="4"/>
  <c r="CI28" i="4"/>
  <c r="CH28" i="4"/>
  <c r="CB28" i="4"/>
  <c r="CC28" i="4"/>
  <c r="CD28" i="4"/>
  <c r="CE28" i="4"/>
  <c r="BF29" i="3"/>
  <c r="BI29" i="3"/>
  <c r="BG29" i="3"/>
  <c r="BH29" i="3"/>
  <c r="AK34" i="4"/>
  <c r="AL34" i="4"/>
  <c r="BF25" i="3"/>
  <c r="BI25" i="3"/>
  <c r="BG25" i="3"/>
  <c r="BH25" i="3"/>
  <c r="AM34" i="4"/>
  <c r="BI30" i="3"/>
  <c r="BF30" i="3"/>
  <c r="BH30" i="3"/>
  <c r="BG30" i="3"/>
  <c r="EE31" i="4"/>
  <c r="EB31" i="4"/>
  <c r="ED31" i="4"/>
  <c r="EC31" i="4"/>
  <c r="DU31" i="4"/>
  <c r="DW31" i="4"/>
  <c r="DT31" i="4"/>
  <c r="DV31" i="4"/>
  <c r="BI20" i="3"/>
  <c r="BG20" i="3"/>
  <c r="BH20" i="3"/>
  <c r="BF20" i="3"/>
  <c r="CJ28" i="4"/>
  <c r="CM28" i="4"/>
  <c r="CL28" i="4"/>
  <c r="CK28" i="4"/>
  <c r="AI34" i="4"/>
  <c r="BL17" i="3"/>
  <c r="BM17" i="3"/>
  <c r="BJ17" i="3"/>
  <c r="BK17" i="3"/>
  <c r="BD28" i="4"/>
  <c r="BE28" i="4"/>
  <c r="BF28" i="4"/>
  <c r="BG28" i="4"/>
  <c r="EA31" i="4"/>
  <c r="DZ31" i="4"/>
  <c r="DX31" i="4"/>
  <c r="DY31" i="4"/>
  <c r="BH18" i="4"/>
  <c r="AO34" i="4"/>
  <c r="AF34" i="4"/>
  <c r="AN34" i="4"/>
  <c r="BL13" i="3"/>
  <c r="BM13" i="3"/>
  <c r="BK13" i="3"/>
  <c r="BJ13" i="3"/>
  <c r="BI21" i="3"/>
  <c r="BF21" i="3"/>
  <c r="BG21" i="3"/>
  <c r="BH21" i="3"/>
  <c r="AZ18" i="4"/>
  <c r="AG34" i="4"/>
  <c r="BC28" i="4"/>
  <c r="AZ28" i="4"/>
  <c r="BA28" i="4"/>
  <c r="BB28" i="4"/>
  <c r="BL13" i="4"/>
  <c r="BM13" i="4"/>
  <c r="BN13" i="4"/>
  <c r="BO13" i="4"/>
  <c r="BD13" i="4"/>
  <c r="BE13" i="4"/>
  <c r="BF13" i="4"/>
  <c r="BG13" i="4"/>
  <c r="BH13" i="4"/>
  <c r="BJ13" i="4"/>
  <c r="BI13" i="4"/>
  <c r="BK13" i="4"/>
  <c r="BA13" i="4"/>
  <c r="BC13" i="4"/>
  <c r="BB13" i="4"/>
  <c r="AZ13" i="4"/>
  <c r="BQ13" i="4"/>
  <c r="BR13" i="4"/>
  <c r="BS13" i="4"/>
  <c r="BP13" i="4"/>
  <c r="BK12" i="4"/>
  <c r="BH12" i="4"/>
  <c r="BI12" i="4"/>
  <c r="BJ12" i="4"/>
  <c r="BN12" i="4"/>
  <c r="BM12" i="4"/>
  <c r="BL12" i="4"/>
  <c r="BO12" i="4"/>
  <c r="BF12" i="4"/>
  <c r="BD12" i="4"/>
  <c r="BE12" i="4"/>
  <c r="BG12" i="4"/>
  <c r="AZ12" i="4"/>
  <c r="BA12" i="4"/>
  <c r="BB12" i="4"/>
  <c r="BC12" i="4"/>
  <c r="BP12" i="4"/>
  <c r="BQ12" i="4"/>
  <c r="BR12" i="4"/>
  <c r="BS12" i="4"/>
  <c r="BK11" i="4"/>
  <c r="BH11" i="4"/>
  <c r="BI11" i="4"/>
  <c r="BJ11" i="4"/>
  <c r="BL11" i="4"/>
  <c r="BN11" i="4"/>
  <c r="BO11" i="4"/>
  <c r="BM11" i="4"/>
  <c r="BR11" i="4"/>
  <c r="BS11" i="4"/>
  <c r="BP11" i="4"/>
  <c r="BQ11" i="4"/>
  <c r="BB11" i="4"/>
  <c r="BC11" i="4"/>
  <c r="BA11" i="4"/>
  <c r="AZ11" i="4"/>
  <c r="BD11" i="4"/>
  <c r="BF11" i="4"/>
  <c r="BE11" i="4"/>
  <c r="BG11" i="4"/>
  <c r="BP10" i="4"/>
  <c r="BQ10" i="4"/>
  <c r="BR10" i="4"/>
  <c r="BS10" i="4"/>
  <c r="BK10" i="4"/>
  <c r="BH10" i="4"/>
  <c r="BI10" i="4"/>
  <c r="BJ10" i="4"/>
  <c r="AZ10" i="4"/>
  <c r="BA10" i="4"/>
  <c r="BB10" i="4"/>
  <c r="BC10" i="4"/>
  <c r="BG10" i="4"/>
  <c r="BD10" i="4"/>
  <c r="BE10" i="4"/>
  <c r="BF10" i="4"/>
  <c r="BM10" i="4"/>
  <c r="BO10" i="4"/>
  <c r="BL10" i="4"/>
  <c r="BN10" i="4"/>
  <c r="BI9" i="4"/>
  <c r="BJ9" i="4"/>
  <c r="BH9" i="4"/>
  <c r="BK9" i="4"/>
  <c r="BA9" i="4"/>
  <c r="BC9" i="4"/>
  <c r="AZ9" i="4"/>
  <c r="BB9" i="4"/>
  <c r="BD9" i="4"/>
  <c r="BE9" i="4"/>
  <c r="BF9" i="4"/>
  <c r="BG9" i="4"/>
  <c r="BQ9" i="4"/>
  <c r="BR9" i="4"/>
  <c r="BS9" i="4"/>
  <c r="BP9" i="4"/>
  <c r="BL9" i="4"/>
  <c r="BM9" i="4"/>
  <c r="BN9" i="4"/>
  <c r="BO9" i="4"/>
  <c r="BP8" i="4"/>
  <c r="BQ8" i="4"/>
  <c r="BR8" i="4"/>
  <c r="BS8" i="4"/>
  <c r="BM8" i="4"/>
  <c r="BN8" i="4"/>
  <c r="BL8" i="4"/>
  <c r="BO8" i="4"/>
  <c r="BG8" i="4"/>
  <c r="BE8" i="4"/>
  <c r="BF8" i="4"/>
  <c r="BD8" i="4"/>
  <c r="BH8" i="4"/>
  <c r="BI8" i="4"/>
  <c r="BJ8" i="4"/>
  <c r="BK8" i="4"/>
  <c r="AZ8" i="4"/>
  <c r="BA8" i="4"/>
  <c r="BB8" i="4"/>
  <c r="BC8" i="4"/>
  <c r="BL19" i="3"/>
  <c r="BM19" i="3"/>
  <c r="BJ19" i="3"/>
  <c r="BK19" i="3"/>
  <c r="BJ23" i="3"/>
  <c r="BK23" i="3"/>
  <c r="BL23" i="3"/>
  <c r="BM23" i="3"/>
  <c r="BJ15" i="3"/>
  <c r="BK15" i="3"/>
  <c r="BL15" i="3"/>
  <c r="BM15" i="3"/>
  <c r="BQ28" i="3"/>
  <c r="BO28" i="3"/>
  <c r="BP28" i="3"/>
  <c r="BN28" i="3"/>
  <c r="BO16" i="3"/>
  <c r="BP16" i="3"/>
  <c r="BN16" i="3"/>
  <c r="BQ16" i="3"/>
  <c r="BN10" i="3"/>
  <c r="BQ10" i="3"/>
  <c r="BO10" i="3"/>
  <c r="BP10" i="3"/>
  <c r="BN9" i="3"/>
  <c r="BP9" i="3"/>
  <c r="BQ9" i="3"/>
  <c r="BO9" i="3"/>
  <c r="BJ14" i="3"/>
  <c r="BL14" i="3"/>
  <c r="BK14" i="3"/>
  <c r="BM14" i="3"/>
  <c r="BP12" i="3"/>
  <c r="BQ12" i="3"/>
  <c r="BN12" i="3"/>
  <c r="BO12" i="3"/>
  <c r="BL31" i="3"/>
  <c r="BM31" i="3"/>
  <c r="BJ31" i="3"/>
  <c r="BK31" i="3"/>
  <c r="BK22" i="3"/>
  <c r="BL22" i="3"/>
  <c r="BM22" i="3"/>
  <c r="BJ22" i="3"/>
  <c r="BO18" i="3"/>
  <c r="BN18" i="3"/>
  <c r="BP18" i="3"/>
  <c r="BQ18" i="3"/>
  <c r="BJ11" i="3"/>
  <c r="BK11" i="3"/>
  <c r="BL11" i="3"/>
  <c r="BM11" i="3"/>
  <c r="BK32" i="3"/>
  <c r="BL32" i="3"/>
  <c r="BJ32" i="3"/>
  <c r="BM32" i="3"/>
  <c r="AL8" i="3"/>
  <c r="AM8" i="3"/>
  <c r="AN8" i="3"/>
  <c r="AO8" i="3"/>
  <c r="BG25" i="4"/>
  <c r="BG7" i="4"/>
  <c r="BD7" i="4"/>
  <c r="BE21" i="4"/>
  <c r="CA21" i="4" s="1"/>
  <c r="BQ22" i="4"/>
  <c r="CJ22" i="4" s="1"/>
  <c r="BR22" i="4"/>
  <c r="BQ18" i="4"/>
  <c r="BI24" i="4"/>
  <c r="CB24" i="4" s="1"/>
  <c r="BR18" i="4"/>
  <c r="BS18" i="4"/>
  <c r="BJ24" i="4"/>
  <c r="BF7" i="4"/>
  <c r="BK22" i="4"/>
  <c r="BE25" i="4"/>
  <c r="CA25" i="4" s="1"/>
  <c r="BR25" i="4"/>
  <c r="BG21" i="4"/>
  <c r="BJ22" i="4"/>
  <c r="BA7" i="4"/>
  <c r="BV7" i="4" s="1"/>
  <c r="BL23" i="4"/>
  <c r="BF21" i="4"/>
  <c r="BI22" i="4"/>
  <c r="CD22" i="4" s="1"/>
  <c r="BK7" i="4"/>
  <c r="BM26" i="4"/>
  <c r="BQ19" i="4"/>
  <c r="BG20" i="4"/>
  <c r="BE20" i="4"/>
  <c r="BZ20" i="4" s="1"/>
  <c r="BF20" i="4"/>
  <c r="BI7" i="4"/>
  <c r="CC7" i="4" s="1"/>
  <c r="BJ7" i="4"/>
  <c r="BH24" i="4"/>
  <c r="BH29" i="4"/>
  <c r="BK29" i="4"/>
  <c r="BF29" i="4"/>
  <c r="BE29" i="4"/>
  <c r="BY29" i="4" s="1"/>
  <c r="BD29" i="4"/>
  <c r="BP25" i="4"/>
  <c r="BB7" i="4"/>
  <c r="BJ25" i="4"/>
  <c r="BF30" i="4"/>
  <c r="BI25" i="4"/>
  <c r="CD25" i="4" s="1"/>
  <c r="BJ19" i="4"/>
  <c r="BZ7" i="4"/>
  <c r="BE22" i="4"/>
  <c r="BY22" i="4" s="1"/>
  <c r="BQ25" i="4"/>
  <c r="CK25" i="4" s="1"/>
  <c r="BD27" i="4"/>
  <c r="BJ27" i="4"/>
  <c r="BI29" i="4"/>
  <c r="CE29" i="4" s="1"/>
  <c r="BJ29" i="4"/>
  <c r="BC7" i="4"/>
  <c r="BD22" i="4"/>
  <c r="BH27" i="4"/>
  <c r="BM20" i="4"/>
  <c r="CF20" i="4" s="1"/>
  <c r="BL20" i="4"/>
  <c r="BO20" i="4"/>
  <c r="BN20" i="4"/>
  <c r="BP26" i="4"/>
  <c r="BF22" i="4"/>
  <c r="BH23" i="4"/>
  <c r="BF25" i="4"/>
  <c r="BR26" i="4"/>
  <c r="BN24" i="4"/>
  <c r="BK25" i="4"/>
  <c r="BS26" i="4"/>
  <c r="BM27" i="4"/>
  <c r="CH27" i="4" s="1"/>
  <c r="BI19" i="4"/>
  <c r="CB19" i="4" s="1"/>
  <c r="BH19" i="4"/>
  <c r="BJ30" i="4"/>
  <c r="BD43" i="3"/>
  <c r="BC43" i="3"/>
  <c r="BB43" i="3"/>
  <c r="BI42" i="3"/>
  <c r="CA42" i="3" s="1"/>
  <c r="BH42" i="3"/>
  <c r="BD42" i="3"/>
  <c r="BC42" i="3"/>
  <c r="BI41" i="3"/>
  <c r="CA41" i="3" s="1"/>
  <c r="BB42" i="3"/>
  <c r="BB30" i="4"/>
  <c r="BA30" i="4"/>
  <c r="BT30" i="4" s="1"/>
  <c r="BB24" i="4"/>
  <c r="AZ30" i="4"/>
  <c r="BH20" i="4"/>
  <c r="BK20" i="4"/>
  <c r="BG42" i="3"/>
  <c r="BI23" i="4"/>
  <c r="CB23" i="4" s="1"/>
  <c r="BB18" i="4"/>
  <c r="BL30" i="4"/>
  <c r="BJ18" i="4"/>
  <c r="BA25" i="4"/>
  <c r="BU25" i="4" s="1"/>
  <c r="BJ20" i="4"/>
  <c r="BQ27" i="4"/>
  <c r="BI20" i="4"/>
  <c r="BI27" i="4"/>
  <c r="CB27" i="4" s="1"/>
  <c r="BD26" i="4"/>
  <c r="BF26" i="4"/>
  <c r="BG26" i="4"/>
  <c r="BE26" i="4"/>
  <c r="BE30" i="4"/>
  <c r="BX30" i="4" s="1"/>
  <c r="BI26" i="4"/>
  <c r="BI21" i="4"/>
  <c r="BJ21" i="4"/>
  <c r="BK21" i="4"/>
  <c r="BH21" i="4"/>
  <c r="AX43" i="3"/>
  <c r="BY7" i="4"/>
  <c r="BA18" i="4"/>
  <c r="BD30" i="4"/>
  <c r="BH26" i="4"/>
  <c r="AZ21" i="4"/>
  <c r="BA21" i="4"/>
  <c r="BB21" i="4"/>
  <c r="BC21" i="4"/>
  <c r="BZ24" i="4"/>
  <c r="CA24" i="4"/>
  <c r="BX24" i="4"/>
  <c r="BY24" i="4"/>
  <c r="AZ23" i="4"/>
  <c r="BA23" i="4"/>
  <c r="CA7" i="4"/>
  <c r="BC18" i="4"/>
  <c r="BL29" i="4"/>
  <c r="BJ23" i="4"/>
  <c r="BC23" i="4"/>
  <c r="BD19" i="4"/>
  <c r="BB25" i="4"/>
  <c r="BC25" i="4"/>
  <c r="BC24" i="4"/>
  <c r="AZ24" i="4"/>
  <c r="BH30" i="4"/>
  <c r="BK30" i="4"/>
  <c r="BF27" i="4"/>
  <c r="BE27" i="4"/>
  <c r="BP23" i="4"/>
  <c r="BR23" i="4"/>
  <c r="BQ23" i="4"/>
  <c r="BS23" i="4"/>
  <c r="AZ26" i="4"/>
  <c r="BA26" i="4"/>
  <c r="BB26" i="4"/>
  <c r="AY43" i="3"/>
  <c r="BC22" i="4"/>
  <c r="AZ22" i="4"/>
  <c r="BA22" i="4"/>
  <c r="BB22" i="4"/>
  <c r="BA27" i="4"/>
  <c r="BB27" i="4"/>
  <c r="BC27" i="4"/>
  <c r="AZ27" i="4"/>
  <c r="BC19" i="4"/>
  <c r="AZ19" i="4"/>
  <c r="BA19" i="4"/>
  <c r="BB19" i="4"/>
  <c r="BD18" i="4"/>
  <c r="BE18" i="4"/>
  <c r="BF18" i="4"/>
  <c r="BG18" i="4"/>
  <c r="BI18" i="4"/>
  <c r="BG19" i="4"/>
  <c r="BK18" i="4"/>
  <c r="BB23" i="4"/>
  <c r="BE19" i="4"/>
  <c r="BJ26" i="4"/>
  <c r="BD23" i="4"/>
  <c r="BE23" i="4"/>
  <c r="BF23" i="4"/>
  <c r="BG23" i="4"/>
  <c r="BC29" i="4"/>
  <c r="AZ29" i="4"/>
  <c r="BB29" i="4"/>
  <c r="BA29" i="4"/>
  <c r="BB20" i="4"/>
  <c r="BC20" i="4"/>
  <c r="AZ20" i="4"/>
  <c r="BA20" i="4"/>
  <c r="BP20" i="4"/>
  <c r="BQ20" i="4"/>
  <c r="BR20" i="4"/>
  <c r="BS20" i="4"/>
  <c r="BR29" i="4"/>
  <c r="BS29" i="4"/>
  <c r="BP29" i="4"/>
  <c r="BQ29" i="4"/>
  <c r="BP21" i="4"/>
  <c r="BQ21" i="4"/>
  <c r="BR21" i="4"/>
  <c r="BS21" i="4"/>
  <c r="BT24" i="4"/>
  <c r="BU24" i="4"/>
  <c r="BV24" i="4"/>
  <c r="BW24" i="4"/>
  <c r="CB30" i="4"/>
  <c r="CE30" i="4"/>
  <c r="CC30" i="4"/>
  <c r="CD30" i="4"/>
  <c r="CJ26" i="4"/>
  <c r="CK26" i="4"/>
  <c r="CL26" i="4"/>
  <c r="CM26" i="4"/>
  <c r="AY41" i="3"/>
  <c r="E13" i="6"/>
  <c r="K14" i="6"/>
  <c r="L14" i="6" s="1"/>
  <c r="AZ41" i="3"/>
  <c r="BN42" i="3"/>
  <c r="BA43" i="3"/>
  <c r="BU43" i="3" s="1"/>
  <c r="CO43" i="3" s="1"/>
  <c r="BA41" i="3"/>
  <c r="BU41" i="3" s="1"/>
  <c r="E11" i="6"/>
  <c r="BF43" i="3"/>
  <c r="BG43" i="3"/>
  <c r="BH43" i="3"/>
  <c r="BI43" i="3"/>
  <c r="BD41" i="3"/>
  <c r="BE41" i="3"/>
  <c r="BC41" i="3"/>
  <c r="BB41" i="3"/>
  <c r="E14" i="6"/>
  <c r="E12" i="6"/>
  <c r="BH41" i="3"/>
  <c r="BG41" i="3"/>
  <c r="AX42" i="3"/>
  <c r="AY42" i="3"/>
  <c r="BA42" i="3"/>
  <c r="AZ42" i="3"/>
  <c r="BV42" i="3"/>
  <c r="BW42" i="3"/>
  <c r="BX42" i="3"/>
  <c r="BY42" i="3"/>
  <c r="BV43" i="3"/>
  <c r="BW43" i="3"/>
  <c r="BX43" i="3"/>
  <c r="BY43" i="3"/>
  <c r="BV27" i="3" l="1"/>
  <c r="BW27" i="3"/>
  <c r="BX27" i="3"/>
  <c r="BY27" i="3"/>
  <c r="BR26" i="3"/>
  <c r="BS26" i="3"/>
  <c r="BT26" i="3"/>
  <c r="BU26" i="3"/>
  <c r="BF34" i="4"/>
  <c r="BE34" i="4"/>
  <c r="BD34" i="4"/>
  <c r="EQ31" i="4"/>
  <c r="EP31" i="4"/>
  <c r="EN31" i="4"/>
  <c r="EO31" i="4"/>
  <c r="BC34" i="4"/>
  <c r="CJ18" i="4"/>
  <c r="BK34" i="4"/>
  <c r="DA29" i="4"/>
  <c r="DI29" i="4"/>
  <c r="DQ29" i="4"/>
  <c r="DC29" i="4"/>
  <c r="DK29" i="4"/>
  <c r="DS29" i="4"/>
  <c r="DD29" i="4"/>
  <c r="DN29" i="4"/>
  <c r="DE29" i="4"/>
  <c r="DO29" i="4"/>
  <c r="DG29" i="4"/>
  <c r="DR29" i="4"/>
  <c r="DF29" i="4"/>
  <c r="DH29" i="4"/>
  <c r="DL29" i="4"/>
  <c r="DJ29" i="4"/>
  <c r="DM29" i="4"/>
  <c r="DP29" i="4"/>
  <c r="CZ29" i="4"/>
  <c r="DB29" i="4"/>
  <c r="BV18" i="4"/>
  <c r="BA34" i="4"/>
  <c r="BM21" i="3"/>
  <c r="BJ21" i="3"/>
  <c r="BL21" i="3"/>
  <c r="BK21" i="3"/>
  <c r="BJ30" i="3"/>
  <c r="BM30" i="3"/>
  <c r="BK30" i="3"/>
  <c r="BL30" i="3"/>
  <c r="BJ34" i="4"/>
  <c r="AZ34" i="4"/>
  <c r="BX28" i="4"/>
  <c r="BY28" i="4"/>
  <c r="BZ28" i="4"/>
  <c r="CA28" i="4"/>
  <c r="BL29" i="3"/>
  <c r="BJ29" i="3"/>
  <c r="BM29" i="3"/>
  <c r="BK29" i="3"/>
  <c r="CV28" i="4"/>
  <c r="CX28" i="4"/>
  <c r="CW28" i="4"/>
  <c r="CY28" i="4"/>
  <c r="BP17" i="3"/>
  <c r="BN17" i="3"/>
  <c r="BQ17" i="3"/>
  <c r="BO17" i="3"/>
  <c r="BB34" i="4"/>
  <c r="BI34" i="4"/>
  <c r="BN13" i="3"/>
  <c r="BQ13" i="3"/>
  <c r="BO13" i="3"/>
  <c r="BP13" i="3"/>
  <c r="BH34" i="4"/>
  <c r="BL20" i="3"/>
  <c r="BM20" i="3"/>
  <c r="BK20" i="3"/>
  <c r="BJ20" i="3"/>
  <c r="BM25" i="3"/>
  <c r="BL25" i="3"/>
  <c r="BJ25" i="3"/>
  <c r="BK25" i="3"/>
  <c r="BQ24" i="3"/>
  <c r="BP24" i="3"/>
  <c r="BN24" i="3"/>
  <c r="BO24" i="3"/>
  <c r="BV28" i="4"/>
  <c r="BW28" i="4"/>
  <c r="BT28" i="4"/>
  <c r="BU28" i="4"/>
  <c r="BG34" i="4"/>
  <c r="DG24" i="4"/>
  <c r="DO24" i="4"/>
  <c r="DA24" i="4"/>
  <c r="DI24" i="4"/>
  <c r="DQ24" i="4"/>
  <c r="DD24" i="4"/>
  <c r="DN24" i="4"/>
  <c r="DE24" i="4"/>
  <c r="DP24" i="4"/>
  <c r="DH24" i="4"/>
  <c r="DS24" i="4"/>
  <c r="CZ24" i="4"/>
  <c r="DR24" i="4"/>
  <c r="DB24" i="4"/>
  <c r="DF24" i="4"/>
  <c r="DC24" i="4"/>
  <c r="DJ24" i="4"/>
  <c r="DK24" i="4"/>
  <c r="DL24" i="4"/>
  <c r="DM24" i="4"/>
  <c r="DC22" i="4"/>
  <c r="DK22" i="4"/>
  <c r="DS22" i="4"/>
  <c r="DE22" i="4"/>
  <c r="DM22" i="4"/>
  <c r="DH22" i="4"/>
  <c r="DR22" i="4"/>
  <c r="DI22" i="4"/>
  <c r="DA22" i="4"/>
  <c r="DL22" i="4"/>
  <c r="CZ22" i="4"/>
  <c r="DP22" i="4"/>
  <c r="DB22" i="4"/>
  <c r="DQ22" i="4"/>
  <c r="DF22" i="4"/>
  <c r="DN22" i="4"/>
  <c r="DO22" i="4"/>
  <c r="DD22" i="4"/>
  <c r="DG22" i="4"/>
  <c r="DJ22" i="4"/>
  <c r="ER31" i="4"/>
  <c r="EU31" i="4"/>
  <c r="ES31" i="4"/>
  <c r="ET31" i="4"/>
  <c r="BT13" i="4"/>
  <c r="BV13" i="4"/>
  <c r="BW13" i="4"/>
  <c r="BU13" i="4"/>
  <c r="CH13" i="4"/>
  <c r="CF13" i="4"/>
  <c r="CG13" i="4"/>
  <c r="CI13" i="4"/>
  <c r="CA13" i="4"/>
  <c r="BZ13" i="4"/>
  <c r="BX13" i="4"/>
  <c r="BY13" i="4"/>
  <c r="CB13" i="4"/>
  <c r="CD13" i="4"/>
  <c r="CE13" i="4"/>
  <c r="CC13" i="4"/>
  <c r="CJ13" i="4"/>
  <c r="CK13" i="4"/>
  <c r="CL13" i="4"/>
  <c r="CM13" i="4"/>
  <c r="BT12" i="4"/>
  <c r="BU12" i="4"/>
  <c r="BW12" i="4"/>
  <c r="BV12" i="4"/>
  <c r="CB12" i="4"/>
  <c r="CC12" i="4"/>
  <c r="CE12" i="4"/>
  <c r="CD12" i="4"/>
  <c r="CM12" i="4"/>
  <c r="CL12" i="4"/>
  <c r="CJ12" i="4"/>
  <c r="CK12" i="4"/>
  <c r="CG12" i="4"/>
  <c r="CH12" i="4"/>
  <c r="CI12" i="4"/>
  <c r="CF12" i="4"/>
  <c r="BX12" i="4"/>
  <c r="CA12" i="4"/>
  <c r="BY12" i="4"/>
  <c r="BZ12" i="4"/>
  <c r="CJ11" i="4"/>
  <c r="CK11" i="4"/>
  <c r="CL11" i="4"/>
  <c r="CM11" i="4"/>
  <c r="CA11" i="4"/>
  <c r="BZ11" i="4"/>
  <c r="BX11" i="4"/>
  <c r="BY11" i="4"/>
  <c r="CB11" i="4"/>
  <c r="CC11" i="4"/>
  <c r="CD11" i="4"/>
  <c r="CE11" i="4"/>
  <c r="CG11" i="4"/>
  <c r="CF11" i="4"/>
  <c r="CH11" i="4"/>
  <c r="CI11" i="4"/>
  <c r="BU11" i="4"/>
  <c r="BV11" i="4"/>
  <c r="BW11" i="4"/>
  <c r="BT11" i="4"/>
  <c r="BZ10" i="4"/>
  <c r="CA10" i="4"/>
  <c r="BX10" i="4"/>
  <c r="BY10" i="4"/>
  <c r="BU10" i="4"/>
  <c r="BV10" i="4"/>
  <c r="BW10" i="4"/>
  <c r="BT10" i="4"/>
  <c r="CJ10" i="4"/>
  <c r="CK10" i="4"/>
  <c r="CL10" i="4"/>
  <c r="CM10" i="4"/>
  <c r="CE10" i="4"/>
  <c r="CC10" i="4"/>
  <c r="CB10" i="4"/>
  <c r="CD10" i="4"/>
  <c r="CH10" i="4"/>
  <c r="CI10" i="4"/>
  <c r="CF10" i="4"/>
  <c r="CG10" i="4"/>
  <c r="CL9" i="4"/>
  <c r="CJ9" i="4"/>
  <c r="CM9" i="4"/>
  <c r="CK9" i="4"/>
  <c r="CH9" i="4"/>
  <c r="CG9" i="4"/>
  <c r="CI9" i="4"/>
  <c r="CF9" i="4"/>
  <c r="CA9" i="4"/>
  <c r="BY9" i="4"/>
  <c r="BZ9" i="4"/>
  <c r="BX9" i="4"/>
  <c r="BU9" i="4"/>
  <c r="BT9" i="4"/>
  <c r="BW9" i="4"/>
  <c r="BV9" i="4"/>
  <c r="CE9" i="4"/>
  <c r="CB9" i="4"/>
  <c r="CC9" i="4"/>
  <c r="CD9" i="4"/>
  <c r="CB8" i="4"/>
  <c r="CC8" i="4"/>
  <c r="CE8" i="4"/>
  <c r="CD8" i="4"/>
  <c r="CI8" i="4"/>
  <c r="CH8" i="4"/>
  <c r="CF8" i="4"/>
  <c r="CG8" i="4"/>
  <c r="BT8" i="4"/>
  <c r="BU8" i="4"/>
  <c r="BW8" i="4"/>
  <c r="BV8" i="4"/>
  <c r="BX8" i="4"/>
  <c r="BZ8" i="4"/>
  <c r="CA8" i="4"/>
  <c r="BY8" i="4"/>
  <c r="CM8" i="4"/>
  <c r="CK8" i="4"/>
  <c r="CL8" i="4"/>
  <c r="CJ8" i="4"/>
  <c r="DI7" i="4"/>
  <c r="DJ7" i="4"/>
  <c r="DK7" i="4"/>
  <c r="DH7" i="4"/>
  <c r="CC22" i="4"/>
  <c r="CW22" i="4" s="1"/>
  <c r="CK18" i="4"/>
  <c r="CB22" i="4"/>
  <c r="BZ25" i="4"/>
  <c r="BS22" i="4"/>
  <c r="BP22" i="4"/>
  <c r="CR7" i="4"/>
  <c r="CZ7" i="4"/>
  <c r="DA7" i="4"/>
  <c r="DB7" i="4"/>
  <c r="DC7" i="4"/>
  <c r="DD7" i="4"/>
  <c r="DE7" i="4"/>
  <c r="DF7" i="4"/>
  <c r="DG7" i="4"/>
  <c r="BR28" i="3"/>
  <c r="BS28" i="3"/>
  <c r="BT28" i="3"/>
  <c r="BU28" i="3"/>
  <c r="BO15" i="3"/>
  <c r="BQ15" i="3"/>
  <c r="BN15" i="3"/>
  <c r="BP15" i="3"/>
  <c r="BR12" i="3"/>
  <c r="BT12" i="3"/>
  <c r="BU12" i="3"/>
  <c r="BS12" i="3"/>
  <c r="BO19" i="3"/>
  <c r="BN19" i="3"/>
  <c r="BP19" i="3"/>
  <c r="BQ19" i="3"/>
  <c r="BQ32" i="3"/>
  <c r="BN32" i="3"/>
  <c r="BO32" i="3"/>
  <c r="BP32" i="3"/>
  <c r="BR18" i="3"/>
  <c r="BS18" i="3"/>
  <c r="BT18" i="3"/>
  <c r="BU18" i="3"/>
  <c r="BP14" i="3"/>
  <c r="BN14" i="3"/>
  <c r="BO14" i="3"/>
  <c r="BQ14" i="3"/>
  <c r="BS16" i="3"/>
  <c r="BT16" i="3"/>
  <c r="BU16" i="3"/>
  <c r="BR16" i="3"/>
  <c r="BQ31" i="3"/>
  <c r="BN31" i="3"/>
  <c r="BO31" i="3"/>
  <c r="BP31" i="3"/>
  <c r="BR10" i="3"/>
  <c r="BU10" i="3"/>
  <c r="BS10" i="3"/>
  <c r="BT10" i="3"/>
  <c r="BP11" i="3"/>
  <c r="BQ11" i="3"/>
  <c r="BN11" i="3"/>
  <c r="BO11" i="3"/>
  <c r="BQ23" i="3"/>
  <c r="BN23" i="3"/>
  <c r="BO23" i="3"/>
  <c r="BP23" i="3"/>
  <c r="BQ22" i="3"/>
  <c r="BN22" i="3"/>
  <c r="BO22" i="3"/>
  <c r="BP22" i="3"/>
  <c r="BR9" i="3"/>
  <c r="BS9" i="3"/>
  <c r="BT9" i="3"/>
  <c r="BU9" i="3"/>
  <c r="AR8" i="3"/>
  <c r="AP8" i="3"/>
  <c r="AS8" i="3"/>
  <c r="AQ8" i="3"/>
  <c r="CE24" i="4"/>
  <c r="CD24" i="4"/>
  <c r="CM18" i="4"/>
  <c r="CC24" i="4"/>
  <c r="CV24" i="4" s="1"/>
  <c r="BZ21" i="4"/>
  <c r="BY21" i="4"/>
  <c r="BX21" i="4"/>
  <c r="CM22" i="4"/>
  <c r="CK22" i="4"/>
  <c r="CL22" i="4"/>
  <c r="CL18" i="4"/>
  <c r="BY25" i="4"/>
  <c r="CE22" i="4"/>
  <c r="BT7" i="4"/>
  <c r="BY20" i="4"/>
  <c r="BX20" i="4"/>
  <c r="BX25" i="4"/>
  <c r="BO24" i="4"/>
  <c r="CJ25" i="4"/>
  <c r="BU7" i="4"/>
  <c r="CO7" i="4" s="1"/>
  <c r="CC25" i="4"/>
  <c r="CV25" i="4" s="1"/>
  <c r="CD29" i="4"/>
  <c r="BO26" i="4"/>
  <c r="BO23" i="4"/>
  <c r="BX22" i="4"/>
  <c r="CB29" i="4"/>
  <c r="BL26" i="4"/>
  <c r="BN23" i="4"/>
  <c r="CA22" i="4"/>
  <c r="CV22" i="4"/>
  <c r="CB7" i="4"/>
  <c r="BW25" i="4"/>
  <c r="BM23" i="4"/>
  <c r="CG23" i="4" s="1"/>
  <c r="BP19" i="4"/>
  <c r="BW7" i="4"/>
  <c r="BT25" i="4"/>
  <c r="CA20" i="4"/>
  <c r="BL27" i="4"/>
  <c r="BZ22" i="4"/>
  <c r="BW30" i="4"/>
  <c r="BZ41" i="3"/>
  <c r="CA29" i="4"/>
  <c r="CE23" i="4"/>
  <c r="BV30" i="4"/>
  <c r="CC23" i="4"/>
  <c r="CX23" i="4" s="1"/>
  <c r="CE7" i="4"/>
  <c r="BS19" i="4"/>
  <c r="CM25" i="4"/>
  <c r="CD23" i="4"/>
  <c r="CB25" i="4"/>
  <c r="CD7" i="4"/>
  <c r="BN26" i="4"/>
  <c r="BR19" i="4"/>
  <c r="CL25" i="4"/>
  <c r="CE25" i="4"/>
  <c r="CC29" i="4"/>
  <c r="CX29" i="4" s="1"/>
  <c r="BU30" i="4"/>
  <c r="CP30" i="4" s="1"/>
  <c r="BX29" i="4"/>
  <c r="BM24" i="4"/>
  <c r="CI24" i="4" s="1"/>
  <c r="CH20" i="4"/>
  <c r="CE19" i="4"/>
  <c r="F11" i="6"/>
  <c r="CI20" i="4"/>
  <c r="BR41" i="3"/>
  <c r="BL24" i="4"/>
  <c r="CG20" i="4"/>
  <c r="CC27" i="4"/>
  <c r="CW27" i="4" s="1"/>
  <c r="CD19" i="4"/>
  <c r="F13" i="6"/>
  <c r="CE27" i="4"/>
  <c r="F12" i="6"/>
  <c r="F14" i="6"/>
  <c r="M14" i="6" s="1"/>
  <c r="CD27" i="4"/>
  <c r="CC19" i="4"/>
  <c r="CY19" i="4" s="1"/>
  <c r="BZ29" i="4"/>
  <c r="CU7" i="4"/>
  <c r="BP7" i="4"/>
  <c r="BR7" i="4"/>
  <c r="BQ7" i="4"/>
  <c r="BS7" i="4"/>
  <c r="CG27" i="4"/>
  <c r="CF27" i="4"/>
  <c r="BV25" i="4"/>
  <c r="BN30" i="4"/>
  <c r="CI27" i="4"/>
  <c r="BR27" i="4"/>
  <c r="BM30" i="4"/>
  <c r="CF30" i="4" s="1"/>
  <c r="BS27" i="4"/>
  <c r="BN27" i="4"/>
  <c r="BO27" i="4"/>
  <c r="BT41" i="3"/>
  <c r="BS41" i="3"/>
  <c r="BO30" i="4"/>
  <c r="CC42" i="3"/>
  <c r="CT42" i="3" s="1"/>
  <c r="BQ42" i="3"/>
  <c r="CH42" i="3" s="1"/>
  <c r="CB42" i="3"/>
  <c r="CC41" i="3"/>
  <c r="CT41" i="3" s="1"/>
  <c r="CB41" i="3"/>
  <c r="BZ42" i="3"/>
  <c r="BT43" i="3"/>
  <c r="BM29" i="4"/>
  <c r="CF29" i="4" s="1"/>
  <c r="CA30" i="4"/>
  <c r="CX22" i="4"/>
  <c r="BP27" i="4"/>
  <c r="BU18" i="4"/>
  <c r="BN29" i="4"/>
  <c r="BO29" i="4"/>
  <c r="BZ30" i="4"/>
  <c r="BT18" i="4"/>
  <c r="CB20" i="4"/>
  <c r="CE20" i="4"/>
  <c r="CD20" i="4"/>
  <c r="CC20" i="4"/>
  <c r="BY19" i="4"/>
  <c r="BZ19" i="4"/>
  <c r="CA19" i="4"/>
  <c r="BX19" i="4"/>
  <c r="BL42" i="3"/>
  <c r="BK42" i="3"/>
  <c r="BJ42" i="3"/>
  <c r="BM42" i="3"/>
  <c r="CD42" i="3" s="1"/>
  <c r="CB18" i="4"/>
  <c r="CD18" i="4"/>
  <c r="CE18" i="4"/>
  <c r="CC18" i="4"/>
  <c r="BN43" i="3"/>
  <c r="BO43" i="3"/>
  <c r="BQ43" i="3"/>
  <c r="CJ43" i="3" s="1"/>
  <c r="BP43" i="3"/>
  <c r="CC26" i="4"/>
  <c r="CY26" i="4" s="1"/>
  <c r="CD26" i="4"/>
  <c r="CB26" i="4"/>
  <c r="CE26" i="4"/>
  <c r="BT29" i="4"/>
  <c r="BW29" i="4"/>
  <c r="BV29" i="4"/>
  <c r="BU29" i="4"/>
  <c r="CM23" i="4"/>
  <c r="CJ23" i="4"/>
  <c r="CK23" i="4"/>
  <c r="CL23" i="4"/>
  <c r="BP30" i="4"/>
  <c r="BS30" i="4"/>
  <c r="BQ30" i="4"/>
  <c r="BR30" i="4"/>
  <c r="BO21" i="4"/>
  <c r="BM21" i="4"/>
  <c r="BN21" i="4"/>
  <c r="BL21" i="4"/>
  <c r="BM7" i="4"/>
  <c r="BN7" i="4"/>
  <c r="BO7" i="4"/>
  <c r="BL7" i="4"/>
  <c r="BU22" i="4"/>
  <c r="BV22" i="4"/>
  <c r="BT22" i="4"/>
  <c r="BW22" i="4"/>
  <c r="CA27" i="4"/>
  <c r="BY27" i="4"/>
  <c r="BZ27" i="4"/>
  <c r="BX27" i="4"/>
  <c r="BX23" i="4"/>
  <c r="CA23" i="4"/>
  <c r="BZ23" i="4"/>
  <c r="BY23" i="4"/>
  <c r="BL18" i="4"/>
  <c r="BN18" i="4"/>
  <c r="BO18" i="4"/>
  <c r="BM18" i="4"/>
  <c r="BM22" i="4"/>
  <c r="BO22" i="4"/>
  <c r="BL22" i="4"/>
  <c r="BN22" i="4"/>
  <c r="CN43" i="3"/>
  <c r="CS7" i="4"/>
  <c r="BW18" i="4"/>
  <c r="BY30" i="4"/>
  <c r="BT27" i="4"/>
  <c r="BW27" i="4"/>
  <c r="BV27" i="4"/>
  <c r="BU27" i="4"/>
  <c r="BL19" i="4"/>
  <c r="BN19" i="4"/>
  <c r="BO19" i="4"/>
  <c r="BM19" i="4"/>
  <c r="CR24" i="4"/>
  <c r="CS24" i="4"/>
  <c r="CT24" i="4"/>
  <c r="CU24" i="4"/>
  <c r="CB21" i="4"/>
  <c r="CD21" i="4"/>
  <c r="CC21" i="4"/>
  <c r="CE21" i="4"/>
  <c r="BS24" i="4"/>
  <c r="BQ24" i="4"/>
  <c r="BQ34" i="4" s="1"/>
  <c r="BP24" i="4"/>
  <c r="BR24" i="4"/>
  <c r="BX18" i="4"/>
  <c r="BY18" i="4"/>
  <c r="BZ18" i="4"/>
  <c r="CA18" i="4"/>
  <c r="BU23" i="4"/>
  <c r="BT23" i="4"/>
  <c r="BV23" i="4"/>
  <c r="BW23" i="4"/>
  <c r="BT26" i="4"/>
  <c r="BW26" i="4"/>
  <c r="BV26" i="4"/>
  <c r="BU26" i="4"/>
  <c r="CT7" i="4"/>
  <c r="BL25" i="4"/>
  <c r="BO25" i="4"/>
  <c r="BM25" i="4"/>
  <c r="BN25" i="4"/>
  <c r="BT19" i="4"/>
  <c r="BU19" i="4"/>
  <c r="BV19" i="4"/>
  <c r="BW19" i="4"/>
  <c r="BU21" i="4"/>
  <c r="BV21" i="4"/>
  <c r="BT21" i="4"/>
  <c r="BW21" i="4"/>
  <c r="BT20" i="4"/>
  <c r="BV20" i="4"/>
  <c r="BU20" i="4"/>
  <c r="BW20" i="4"/>
  <c r="BX26" i="4"/>
  <c r="BY26" i="4"/>
  <c r="CA26" i="4"/>
  <c r="BZ26" i="4"/>
  <c r="CI26" i="4"/>
  <c r="CF26" i="4"/>
  <c r="CG26" i="4"/>
  <c r="CH26" i="4"/>
  <c r="CW30" i="4"/>
  <c r="CX30" i="4"/>
  <c r="CY30" i="4"/>
  <c r="CV30" i="4"/>
  <c r="CO24" i="4"/>
  <c r="CP24" i="4"/>
  <c r="CQ24" i="4"/>
  <c r="CN24" i="4"/>
  <c r="CJ29" i="4"/>
  <c r="CK29" i="4"/>
  <c r="CL29" i="4"/>
  <c r="CM29" i="4"/>
  <c r="CR29" i="4"/>
  <c r="CS29" i="4"/>
  <c r="CT29" i="4"/>
  <c r="CU29" i="4"/>
  <c r="CJ19" i="4"/>
  <c r="CK19" i="4"/>
  <c r="CM19" i="4"/>
  <c r="CL19" i="4"/>
  <c r="CJ21" i="4"/>
  <c r="CK21" i="4"/>
  <c r="CL21" i="4"/>
  <c r="CM21" i="4"/>
  <c r="CJ20" i="4"/>
  <c r="CM20" i="4"/>
  <c r="CK20" i="4"/>
  <c r="CL20" i="4"/>
  <c r="CJ27" i="4"/>
  <c r="CK27" i="4"/>
  <c r="CL27" i="4"/>
  <c r="CM27" i="4"/>
  <c r="CN25" i="4"/>
  <c r="CO25" i="4"/>
  <c r="CP25" i="4"/>
  <c r="CQ25" i="4"/>
  <c r="CR22" i="4"/>
  <c r="CS22" i="4"/>
  <c r="CT22" i="4"/>
  <c r="CU22" i="4"/>
  <c r="CV7" i="4"/>
  <c r="CW7" i="4"/>
  <c r="CX7" i="4"/>
  <c r="CY7" i="4"/>
  <c r="BP42" i="3"/>
  <c r="BS43" i="3"/>
  <c r="BR43" i="3"/>
  <c r="BO42" i="3"/>
  <c r="CM43" i="3"/>
  <c r="CL43" i="3"/>
  <c r="BK43" i="3"/>
  <c r="BJ43" i="3"/>
  <c r="BL43" i="3"/>
  <c r="BM43" i="3"/>
  <c r="E10" i="6"/>
  <c r="FA17" i="14"/>
  <c r="EV13" i="3" s="1"/>
  <c r="H10" i="6" s="1"/>
  <c r="E9" i="6"/>
  <c r="EZ17" i="14"/>
  <c r="EU13" i="3" s="1"/>
  <c r="G10" i="6" s="1"/>
  <c r="BJ41" i="3"/>
  <c r="BM41" i="3"/>
  <c r="BK41" i="3"/>
  <c r="BL41" i="3"/>
  <c r="BN41" i="3"/>
  <c r="BO41" i="3"/>
  <c r="BP41" i="3"/>
  <c r="BQ41" i="3"/>
  <c r="CA43" i="3"/>
  <c r="BZ43" i="3"/>
  <c r="CB43" i="3"/>
  <c r="CC43" i="3"/>
  <c r="BV41" i="3"/>
  <c r="BY41" i="3"/>
  <c r="BX41" i="3"/>
  <c r="BW41" i="3"/>
  <c r="BR42" i="3"/>
  <c r="BT42" i="3"/>
  <c r="BS42" i="3"/>
  <c r="BU42" i="3"/>
  <c r="CP43" i="3"/>
  <c r="CQ43" i="3"/>
  <c r="CR43" i="3"/>
  <c r="CS43" i="3"/>
  <c r="CP42" i="3"/>
  <c r="CQ42" i="3"/>
  <c r="CR42" i="3"/>
  <c r="CS42" i="3"/>
  <c r="CL41" i="3"/>
  <c r="CM41" i="3"/>
  <c r="CN41" i="3"/>
  <c r="CO41" i="3"/>
  <c r="FA16" i="14"/>
  <c r="EV12" i="3" s="1"/>
  <c r="H9" i="6" s="1"/>
  <c r="EZ16" i="14"/>
  <c r="EU12" i="3" s="1"/>
  <c r="G9" i="6" s="1"/>
  <c r="BV26" i="3" l="1"/>
  <c r="BW26" i="3"/>
  <c r="BX26" i="3"/>
  <c r="BY26" i="3"/>
  <c r="BZ27" i="3"/>
  <c r="CA27" i="3"/>
  <c r="CB27" i="3"/>
  <c r="CC27" i="3"/>
  <c r="BS34" i="4"/>
  <c r="BR34" i="4"/>
  <c r="BX34" i="4"/>
  <c r="CB34" i="4"/>
  <c r="CZ23" i="4"/>
  <c r="DH23" i="4"/>
  <c r="DP23" i="4"/>
  <c r="DB23" i="4"/>
  <c r="DJ23" i="4"/>
  <c r="DR23" i="4"/>
  <c r="DE23" i="4"/>
  <c r="DO23" i="4"/>
  <c r="DF23" i="4"/>
  <c r="DQ23" i="4"/>
  <c r="DI23" i="4"/>
  <c r="DN23" i="4"/>
  <c r="DA23" i="4"/>
  <c r="DS23" i="4"/>
  <c r="DD23" i="4"/>
  <c r="DG23" i="4"/>
  <c r="DK23" i="4"/>
  <c r="DL23" i="4"/>
  <c r="DM23" i="4"/>
  <c r="DC23" i="4"/>
  <c r="CS20" i="4"/>
  <c r="DE20" i="4"/>
  <c r="DM20" i="4"/>
  <c r="DG20" i="4"/>
  <c r="DO20" i="4"/>
  <c r="DH20" i="4"/>
  <c r="DR20" i="4"/>
  <c r="DI20" i="4"/>
  <c r="DS20" i="4"/>
  <c r="DA20" i="4"/>
  <c r="DK20" i="4"/>
  <c r="DD20" i="4"/>
  <c r="DF20" i="4"/>
  <c r="DL20" i="4"/>
  <c r="CZ20" i="4"/>
  <c r="DQ20" i="4"/>
  <c r="DB20" i="4"/>
  <c r="DC20" i="4"/>
  <c r="DJ20" i="4"/>
  <c r="DN20" i="4"/>
  <c r="DP20" i="4"/>
  <c r="CU28" i="4"/>
  <c r="DA28" i="4"/>
  <c r="DI28" i="4"/>
  <c r="DQ28" i="4"/>
  <c r="EI28" i="4"/>
  <c r="DC28" i="4"/>
  <c r="DK28" i="4"/>
  <c r="DS28" i="4"/>
  <c r="EC28" i="4"/>
  <c r="EK28" i="4"/>
  <c r="CZ28" i="4"/>
  <c r="DL28" i="4"/>
  <c r="EH28" i="4"/>
  <c r="DB28" i="4"/>
  <c r="DM28" i="4"/>
  <c r="EJ28" i="4"/>
  <c r="CR28" i="4"/>
  <c r="DE28" i="4"/>
  <c r="DO28" i="4"/>
  <c r="EB28" i="4"/>
  <c r="EM28" i="4"/>
  <c r="CT28" i="4"/>
  <c r="DJ28" i="4"/>
  <c r="EE28" i="4"/>
  <c r="DN28" i="4"/>
  <c r="EF28" i="4"/>
  <c r="DR28" i="4"/>
  <c r="EL28" i="4"/>
  <c r="DD28" i="4"/>
  <c r="ED28" i="4"/>
  <c r="DF28" i="4"/>
  <c r="EG28" i="4"/>
  <c r="CS28" i="4"/>
  <c r="DG28" i="4"/>
  <c r="DH28" i="4"/>
  <c r="DP28" i="4"/>
  <c r="EA24" i="4"/>
  <c r="DZ24" i="4"/>
  <c r="DX24" i="4"/>
  <c r="DY24" i="4"/>
  <c r="BT24" i="3"/>
  <c r="BU24" i="3"/>
  <c r="BR24" i="3"/>
  <c r="BS24" i="3"/>
  <c r="EI29" i="4"/>
  <c r="EH29" i="4"/>
  <c r="EF29" i="4"/>
  <c r="EG29" i="4"/>
  <c r="DZ29" i="4"/>
  <c r="DX29" i="4"/>
  <c r="EA29" i="4"/>
  <c r="DY29" i="4"/>
  <c r="CD34" i="4"/>
  <c r="CT25" i="4"/>
  <c r="DB25" i="4"/>
  <c r="DJ25" i="4"/>
  <c r="DR25" i="4"/>
  <c r="DD25" i="4"/>
  <c r="DL25" i="4"/>
  <c r="DI25" i="4"/>
  <c r="CZ25" i="4"/>
  <c r="DK25" i="4"/>
  <c r="DC25" i="4"/>
  <c r="DN25" i="4"/>
  <c r="DO25" i="4"/>
  <c r="DP25" i="4"/>
  <c r="DE25" i="4"/>
  <c r="DS25" i="4"/>
  <c r="DQ25" i="4"/>
  <c r="DG25" i="4"/>
  <c r="DH25" i="4"/>
  <c r="DM25" i="4"/>
  <c r="DA25" i="4"/>
  <c r="DF25" i="4"/>
  <c r="CQ28" i="4"/>
  <c r="CO28" i="4"/>
  <c r="CN28" i="4"/>
  <c r="CP28" i="4"/>
  <c r="EM29" i="4"/>
  <c r="EJ29" i="4"/>
  <c r="EK29" i="4"/>
  <c r="EL29" i="4"/>
  <c r="CW18" i="4"/>
  <c r="CC34" i="4"/>
  <c r="CA34" i="4"/>
  <c r="BM34" i="4"/>
  <c r="CR19" i="4"/>
  <c r="DF19" i="4"/>
  <c r="DN19" i="4"/>
  <c r="CZ19" i="4"/>
  <c r="DH19" i="4"/>
  <c r="DP19" i="4"/>
  <c r="DI19" i="4"/>
  <c r="DS19" i="4"/>
  <c r="DJ19" i="4"/>
  <c r="DB19" i="4"/>
  <c r="DL19" i="4"/>
  <c r="DD19" i="4"/>
  <c r="DE19" i="4"/>
  <c r="DG19" i="4"/>
  <c r="DK19" i="4"/>
  <c r="DA19" i="4"/>
  <c r="DC19" i="4"/>
  <c r="DQ19" i="4"/>
  <c r="DM19" i="4"/>
  <c r="DO19" i="4"/>
  <c r="DR19" i="4"/>
  <c r="BP34" i="4"/>
  <c r="BR17" i="3"/>
  <c r="BS17" i="3"/>
  <c r="BT17" i="3"/>
  <c r="BU17" i="3"/>
  <c r="BQ29" i="3"/>
  <c r="BN29" i="3"/>
  <c r="BO29" i="3"/>
  <c r="BP29" i="3"/>
  <c r="BP21" i="3"/>
  <c r="BQ21" i="3"/>
  <c r="BO21" i="3"/>
  <c r="BN21" i="3"/>
  <c r="BL34" i="4"/>
  <c r="DW24" i="4"/>
  <c r="DT24" i="4"/>
  <c r="DV24" i="4"/>
  <c r="DU24" i="4"/>
  <c r="BP30" i="3"/>
  <c r="BO30" i="3"/>
  <c r="BQ30" i="3"/>
  <c r="BN30" i="3"/>
  <c r="EJ22" i="4"/>
  <c r="EK22" i="4"/>
  <c r="EM22" i="4"/>
  <c r="EL22" i="4"/>
  <c r="BT34" i="4"/>
  <c r="CR21" i="4"/>
  <c r="CZ21" i="4"/>
  <c r="DH21" i="4"/>
  <c r="DP21" i="4"/>
  <c r="DB21" i="4"/>
  <c r="DJ21" i="4"/>
  <c r="DR21" i="4"/>
  <c r="DC21" i="4"/>
  <c r="DM21" i="4"/>
  <c r="DD21" i="4"/>
  <c r="DN21" i="4"/>
  <c r="DF21" i="4"/>
  <c r="DQ21" i="4"/>
  <c r="DA21" i="4"/>
  <c r="DE21" i="4"/>
  <c r="DG21" i="4"/>
  <c r="DI21" i="4"/>
  <c r="DK21" i="4"/>
  <c r="DL21" i="4"/>
  <c r="DO21" i="4"/>
  <c r="DS21" i="4"/>
  <c r="EI22" i="4"/>
  <c r="EH22" i="4"/>
  <c r="EF22" i="4"/>
  <c r="EG22" i="4"/>
  <c r="CE34" i="4"/>
  <c r="DV29" i="4"/>
  <c r="DW29" i="4"/>
  <c r="DT29" i="4"/>
  <c r="DU29" i="4"/>
  <c r="CR30" i="4"/>
  <c r="DF30" i="4"/>
  <c r="DN30" i="4"/>
  <c r="CZ30" i="4"/>
  <c r="DH30" i="4"/>
  <c r="DP30" i="4"/>
  <c r="DA30" i="4"/>
  <c r="DK30" i="4"/>
  <c r="DB30" i="4"/>
  <c r="DL30" i="4"/>
  <c r="DD30" i="4"/>
  <c r="DO30" i="4"/>
  <c r="DE30" i="4"/>
  <c r="DG30" i="4"/>
  <c r="DJ30" i="4"/>
  <c r="DC30" i="4"/>
  <c r="DI30" i="4"/>
  <c r="DR30" i="4"/>
  <c r="DM30" i="4"/>
  <c r="DQ30" i="4"/>
  <c r="DS30" i="4"/>
  <c r="CU42" i="3"/>
  <c r="BZ34" i="4"/>
  <c r="BW34" i="4"/>
  <c r="BO34" i="4"/>
  <c r="CO18" i="4"/>
  <c r="BU34" i="4"/>
  <c r="CY22" i="4"/>
  <c r="DU22" i="4"/>
  <c r="DT22" i="4"/>
  <c r="DW22" i="4"/>
  <c r="DV22" i="4"/>
  <c r="EK24" i="4"/>
  <c r="EL24" i="4"/>
  <c r="EM24" i="4"/>
  <c r="EJ24" i="4"/>
  <c r="DE26" i="4"/>
  <c r="DM26" i="4"/>
  <c r="DG26" i="4"/>
  <c r="DO26" i="4"/>
  <c r="DD26" i="4"/>
  <c r="DP26" i="4"/>
  <c r="DF26" i="4"/>
  <c r="DQ26" i="4"/>
  <c r="DI26" i="4"/>
  <c r="DS26" i="4"/>
  <c r="DK26" i="4"/>
  <c r="DL26" i="4"/>
  <c r="DA26" i="4"/>
  <c r="DR26" i="4"/>
  <c r="DH26" i="4"/>
  <c r="DB26" i="4"/>
  <c r="DC26" i="4"/>
  <c r="DJ26" i="4"/>
  <c r="DN26" i="4"/>
  <c r="CZ26" i="4"/>
  <c r="BP20" i="3"/>
  <c r="BQ20" i="3"/>
  <c r="BO20" i="3"/>
  <c r="BN20" i="3"/>
  <c r="EC29" i="4"/>
  <c r="EE29" i="4"/>
  <c r="EB29" i="4"/>
  <c r="ED29" i="4"/>
  <c r="EA22" i="4"/>
  <c r="DY22" i="4"/>
  <c r="DZ22" i="4"/>
  <c r="DX22" i="4"/>
  <c r="DA18" i="4"/>
  <c r="DI18" i="4"/>
  <c r="DQ18" i="4"/>
  <c r="DB18" i="4"/>
  <c r="DC18" i="4"/>
  <c r="DK18" i="4"/>
  <c r="DS18" i="4"/>
  <c r="DL18" i="4"/>
  <c r="CZ18" i="4"/>
  <c r="DM18" i="4"/>
  <c r="DE18" i="4"/>
  <c r="DO18" i="4"/>
  <c r="DF18" i="4"/>
  <c r="DG18" i="4"/>
  <c r="DH18" i="4"/>
  <c r="DJ18" i="4"/>
  <c r="DD18" i="4"/>
  <c r="DN18" i="4"/>
  <c r="DP18" i="4"/>
  <c r="DR18" i="4"/>
  <c r="BY34" i="4"/>
  <c r="BN34" i="4"/>
  <c r="DB27" i="4"/>
  <c r="DJ27" i="4"/>
  <c r="DR27" i="4"/>
  <c r="DD27" i="4"/>
  <c r="DL27" i="4"/>
  <c r="DA27" i="4"/>
  <c r="DM27" i="4"/>
  <c r="DC27" i="4"/>
  <c r="DN27" i="4"/>
  <c r="DF27" i="4"/>
  <c r="DP27" i="4"/>
  <c r="DI27" i="4"/>
  <c r="DK27" i="4"/>
  <c r="DQ27" i="4"/>
  <c r="CZ27" i="4"/>
  <c r="DE27" i="4"/>
  <c r="DG27" i="4"/>
  <c r="DS27" i="4"/>
  <c r="DH27" i="4"/>
  <c r="DO27" i="4"/>
  <c r="EE22" i="4"/>
  <c r="EB22" i="4"/>
  <c r="EC22" i="4"/>
  <c r="ED22" i="4"/>
  <c r="EI24" i="4"/>
  <c r="EH24" i="4"/>
  <c r="EF24" i="4"/>
  <c r="EG24" i="4"/>
  <c r="EB24" i="4"/>
  <c r="EC24" i="4"/>
  <c r="EE24" i="4"/>
  <c r="ED24" i="4"/>
  <c r="BN25" i="3"/>
  <c r="BP25" i="3"/>
  <c r="BO25" i="3"/>
  <c r="BQ25" i="3"/>
  <c r="BR13" i="3"/>
  <c r="BS13" i="3"/>
  <c r="BT13" i="3"/>
  <c r="BU13" i="3"/>
  <c r="BV34" i="4"/>
  <c r="DO13" i="4"/>
  <c r="DM13" i="4"/>
  <c r="DL13" i="4"/>
  <c r="DN13" i="4"/>
  <c r="CU13" i="4"/>
  <c r="DG13" i="4"/>
  <c r="DA13" i="4"/>
  <c r="CZ13" i="4"/>
  <c r="DE13" i="4"/>
  <c r="DF13" i="4"/>
  <c r="DD13" i="4"/>
  <c r="CR13" i="4"/>
  <c r="CS13" i="4"/>
  <c r="DB13" i="4"/>
  <c r="CT13" i="4"/>
  <c r="DC13" i="4"/>
  <c r="DP13" i="4"/>
  <c r="DQ13" i="4"/>
  <c r="DS13" i="4"/>
  <c r="DR13" i="4"/>
  <c r="CY13" i="4"/>
  <c r="DH13" i="4"/>
  <c r="DJ13" i="4"/>
  <c r="DK13" i="4"/>
  <c r="CV13" i="4"/>
  <c r="CW13" i="4"/>
  <c r="DI13" i="4"/>
  <c r="CX13" i="4"/>
  <c r="CP13" i="4"/>
  <c r="CN13" i="4"/>
  <c r="CQ13" i="4"/>
  <c r="CO13" i="4"/>
  <c r="DC12" i="4"/>
  <c r="DB12" i="4"/>
  <c r="DD12" i="4"/>
  <c r="DE12" i="4"/>
  <c r="CU12" i="4"/>
  <c r="CZ12" i="4"/>
  <c r="DG12" i="4"/>
  <c r="CS12" i="4"/>
  <c r="CT12" i="4"/>
  <c r="CR12" i="4"/>
  <c r="DF12" i="4"/>
  <c r="DA12" i="4"/>
  <c r="CO12" i="4"/>
  <c r="CP12" i="4"/>
  <c r="CQ12" i="4"/>
  <c r="CN12" i="4"/>
  <c r="DI12" i="4"/>
  <c r="DK12" i="4"/>
  <c r="CX12" i="4"/>
  <c r="CV12" i="4"/>
  <c r="DJ12" i="4"/>
  <c r="CW12" i="4"/>
  <c r="DH12" i="4"/>
  <c r="CY12" i="4"/>
  <c r="DM12" i="4"/>
  <c r="DN12" i="4"/>
  <c r="DO12" i="4"/>
  <c r="DL12" i="4"/>
  <c r="DP12" i="4"/>
  <c r="DR12" i="4"/>
  <c r="DS12" i="4"/>
  <c r="DQ12" i="4"/>
  <c r="DL11" i="4"/>
  <c r="DM11" i="4"/>
  <c r="DN11" i="4"/>
  <c r="DO11" i="4"/>
  <c r="DJ11" i="4"/>
  <c r="CV11" i="4"/>
  <c r="DK11" i="4"/>
  <c r="CY11" i="4"/>
  <c r="CW11" i="4"/>
  <c r="CX11" i="4"/>
  <c r="DH11" i="4"/>
  <c r="DI11" i="4"/>
  <c r="DP11" i="4"/>
  <c r="DQ11" i="4"/>
  <c r="DR11" i="4"/>
  <c r="DS11" i="4"/>
  <c r="DD11" i="4"/>
  <c r="CT11" i="4"/>
  <c r="DG11" i="4"/>
  <c r="DA11" i="4"/>
  <c r="DC11" i="4"/>
  <c r="CU11" i="4"/>
  <c r="DB11" i="4"/>
  <c r="CR11" i="4"/>
  <c r="DE11" i="4"/>
  <c r="CZ11" i="4"/>
  <c r="CS11" i="4"/>
  <c r="DF11" i="4"/>
  <c r="CQ11" i="4"/>
  <c r="CN11" i="4"/>
  <c r="CO11" i="4"/>
  <c r="CP11" i="4"/>
  <c r="DJ10" i="4"/>
  <c r="DH10" i="4"/>
  <c r="CX10" i="4"/>
  <c r="DI10" i="4"/>
  <c r="CV10" i="4"/>
  <c r="CW10" i="4"/>
  <c r="DK10" i="4"/>
  <c r="CY10" i="4"/>
  <c r="CP10" i="4"/>
  <c r="CO10" i="4"/>
  <c r="CN10" i="4"/>
  <c r="CQ10" i="4"/>
  <c r="DM10" i="4"/>
  <c r="DO10" i="4"/>
  <c r="DL10" i="4"/>
  <c r="DN10" i="4"/>
  <c r="DP10" i="4"/>
  <c r="DQ10" i="4"/>
  <c r="DS10" i="4"/>
  <c r="DR10" i="4"/>
  <c r="DA10" i="4"/>
  <c r="DE10" i="4"/>
  <c r="CU10" i="4"/>
  <c r="CZ10" i="4"/>
  <c r="DF10" i="4"/>
  <c r="DG10" i="4"/>
  <c r="DB10" i="4"/>
  <c r="DC10" i="4"/>
  <c r="CS10" i="4"/>
  <c r="CT10" i="4"/>
  <c r="CR10" i="4"/>
  <c r="DD10" i="4"/>
  <c r="DO9" i="4"/>
  <c r="DM9" i="4"/>
  <c r="DN9" i="4"/>
  <c r="DL9" i="4"/>
  <c r="CO9" i="4"/>
  <c r="CP9" i="4"/>
  <c r="CQ9" i="4"/>
  <c r="CN9" i="4"/>
  <c r="DS9" i="4"/>
  <c r="DQ9" i="4"/>
  <c r="DR9" i="4"/>
  <c r="DP9" i="4"/>
  <c r="DK9" i="4"/>
  <c r="CV9" i="4"/>
  <c r="CW9" i="4"/>
  <c r="DH9" i="4"/>
  <c r="DI9" i="4"/>
  <c r="CX9" i="4"/>
  <c r="DJ9" i="4"/>
  <c r="CY9" i="4"/>
  <c r="CZ9" i="4"/>
  <c r="DF9" i="4"/>
  <c r="DB9" i="4"/>
  <c r="DG9" i="4"/>
  <c r="DE9" i="4"/>
  <c r="CT9" i="4"/>
  <c r="CS9" i="4"/>
  <c r="DC9" i="4"/>
  <c r="CU9" i="4"/>
  <c r="DD9" i="4"/>
  <c r="DA9" i="4"/>
  <c r="CR9" i="4"/>
  <c r="DO8" i="4"/>
  <c r="DN8" i="4"/>
  <c r="DL8" i="4"/>
  <c r="DM8" i="4"/>
  <c r="DC8" i="4"/>
  <c r="DB8" i="4"/>
  <c r="CT8" i="4"/>
  <c r="DE8" i="4"/>
  <c r="CR8" i="4"/>
  <c r="DF8" i="4"/>
  <c r="DG8" i="4"/>
  <c r="CS8" i="4"/>
  <c r="DD8" i="4"/>
  <c r="CU8" i="4"/>
  <c r="CZ8" i="4"/>
  <c r="DA8" i="4"/>
  <c r="DR8" i="4"/>
  <c r="DP8" i="4"/>
  <c r="DQ8" i="4"/>
  <c r="DS8" i="4"/>
  <c r="CQ8" i="4"/>
  <c r="CO8" i="4"/>
  <c r="CP8" i="4"/>
  <c r="CN8" i="4"/>
  <c r="CW8" i="4"/>
  <c r="DI8" i="4"/>
  <c r="DK8" i="4"/>
  <c r="CX8" i="4"/>
  <c r="CV8" i="4"/>
  <c r="DJ8" i="4"/>
  <c r="DH8" i="4"/>
  <c r="CY8" i="4"/>
  <c r="EG7" i="4"/>
  <c r="EH7" i="4"/>
  <c r="EI7" i="4"/>
  <c r="EF7" i="4"/>
  <c r="DT7" i="4"/>
  <c r="DU7" i="4"/>
  <c r="DV7" i="4"/>
  <c r="DW7" i="4"/>
  <c r="DY7" i="4"/>
  <c r="DZ7" i="4"/>
  <c r="EA7" i="4"/>
  <c r="DX7" i="4"/>
  <c r="EB7" i="4"/>
  <c r="EC7" i="4"/>
  <c r="ED7" i="4"/>
  <c r="EE7" i="4"/>
  <c r="EJ7" i="4"/>
  <c r="EK7" i="4"/>
  <c r="EL7" i="4"/>
  <c r="EM7" i="4"/>
  <c r="EN7" i="4"/>
  <c r="EP7" i="4"/>
  <c r="EQ7" i="4"/>
  <c r="EO7" i="4"/>
  <c r="BT22" i="3"/>
  <c r="BU22" i="3"/>
  <c r="BR22" i="3"/>
  <c r="BS22" i="3"/>
  <c r="BU31" i="3"/>
  <c r="BR31" i="3"/>
  <c r="BS31" i="3"/>
  <c r="BT31" i="3"/>
  <c r="BW18" i="3"/>
  <c r="BV18" i="3"/>
  <c r="BY18" i="3"/>
  <c r="BX18" i="3"/>
  <c r="BW10" i="3"/>
  <c r="BX10" i="3"/>
  <c r="BV10" i="3"/>
  <c r="BY10" i="3"/>
  <c r="BR15" i="3"/>
  <c r="BT15" i="3"/>
  <c r="BU15" i="3"/>
  <c r="BS15" i="3"/>
  <c r="BR14" i="3"/>
  <c r="BU14" i="3"/>
  <c r="BS14" i="3"/>
  <c r="BT14" i="3"/>
  <c r="BY12" i="3"/>
  <c r="BV12" i="3"/>
  <c r="BW12" i="3"/>
  <c r="BX12" i="3"/>
  <c r="BR11" i="3"/>
  <c r="BS11" i="3"/>
  <c r="BT11" i="3"/>
  <c r="BU11" i="3"/>
  <c r="BT32" i="3"/>
  <c r="BU32" i="3"/>
  <c r="BS32" i="3"/>
  <c r="BR32" i="3"/>
  <c r="BW9" i="3"/>
  <c r="BV9" i="3"/>
  <c r="BX9" i="3"/>
  <c r="BY9" i="3"/>
  <c r="BU19" i="3"/>
  <c r="BR19" i="3"/>
  <c r="BS19" i="3"/>
  <c r="BT19" i="3"/>
  <c r="BY28" i="3"/>
  <c r="BX28" i="3"/>
  <c r="BW28" i="3"/>
  <c r="BV28" i="3"/>
  <c r="BW16" i="3"/>
  <c r="BY16" i="3"/>
  <c r="BV16" i="3"/>
  <c r="BX16" i="3"/>
  <c r="BS23" i="3"/>
  <c r="BT23" i="3"/>
  <c r="BU23" i="3"/>
  <c r="BR23" i="3"/>
  <c r="AV8" i="3"/>
  <c r="AW8" i="3"/>
  <c r="AT8" i="3"/>
  <c r="AU8" i="3"/>
  <c r="CY24" i="4"/>
  <c r="CX24" i="4"/>
  <c r="CW24" i="4"/>
  <c r="CU21" i="4"/>
  <c r="CT21" i="4"/>
  <c r="CS21" i="4"/>
  <c r="CS25" i="4"/>
  <c r="CN7" i="4"/>
  <c r="CU25" i="4"/>
  <c r="CR25" i="4"/>
  <c r="CU20" i="4"/>
  <c r="CR20" i="4"/>
  <c r="CT20" i="4"/>
  <c r="K10" i="6"/>
  <c r="L10" i="6" s="1"/>
  <c r="CQ7" i="4"/>
  <c r="CY25" i="4"/>
  <c r="CP7" i="4"/>
  <c r="CX25" i="4"/>
  <c r="CW25" i="4"/>
  <c r="CY27" i="4"/>
  <c r="CV27" i="4"/>
  <c r="CF23" i="4"/>
  <c r="CI23" i="4"/>
  <c r="CV18" i="4"/>
  <c r="CH23" i="4"/>
  <c r="CW23" i="4"/>
  <c r="CW29" i="4"/>
  <c r="CX27" i="4"/>
  <c r="CO30" i="4"/>
  <c r="CJ42" i="3"/>
  <c r="CN18" i="4"/>
  <c r="CY29" i="4"/>
  <c r="CV29" i="4"/>
  <c r="CN30" i="4"/>
  <c r="CY23" i="4"/>
  <c r="CQ30" i="4"/>
  <c r="CV23" i="4"/>
  <c r="F10" i="6"/>
  <c r="M10" i="6" s="1"/>
  <c r="CH24" i="4"/>
  <c r="CW19" i="4"/>
  <c r="CV19" i="4"/>
  <c r="CX19" i="4"/>
  <c r="CG24" i="4"/>
  <c r="F9" i="6"/>
  <c r="CF24" i="4"/>
  <c r="CK42" i="3"/>
  <c r="CU30" i="4"/>
  <c r="CL7" i="4"/>
  <c r="CK7" i="4"/>
  <c r="CM7" i="4"/>
  <c r="CJ7" i="4"/>
  <c r="CI30" i="4"/>
  <c r="CH30" i="4"/>
  <c r="CG30" i="4"/>
  <c r="CY18" i="4"/>
  <c r="CX18" i="4"/>
  <c r="CI42" i="3"/>
  <c r="CI43" i="3"/>
  <c r="CH43" i="3"/>
  <c r="CV42" i="3"/>
  <c r="CW42" i="3"/>
  <c r="CW41" i="3"/>
  <c r="CV41" i="3"/>
  <c r="CU41" i="3"/>
  <c r="CG42" i="3"/>
  <c r="CW20" i="4"/>
  <c r="CV20" i="4"/>
  <c r="CX20" i="4"/>
  <c r="CY20" i="4"/>
  <c r="CU19" i="4"/>
  <c r="CQ18" i="4"/>
  <c r="CX26" i="4"/>
  <c r="CH29" i="4"/>
  <c r="CE42" i="3"/>
  <c r="CP18" i="4"/>
  <c r="CW26" i="4"/>
  <c r="CG29" i="4"/>
  <c r="CS19" i="4"/>
  <c r="CT30" i="4"/>
  <c r="CS30" i="4"/>
  <c r="CI29" i="4"/>
  <c r="CT19" i="4"/>
  <c r="CV26" i="4"/>
  <c r="CQ19" i="4"/>
  <c r="CP19" i="4"/>
  <c r="CO19" i="4"/>
  <c r="CN19" i="4"/>
  <c r="CH22" i="4"/>
  <c r="CF22" i="4"/>
  <c r="CI22" i="4"/>
  <c r="CG22" i="4"/>
  <c r="CF21" i="4"/>
  <c r="CI21" i="4"/>
  <c r="CG21" i="4"/>
  <c r="CH21" i="4"/>
  <c r="CL30" i="4"/>
  <c r="CM30" i="4"/>
  <c r="CJ30" i="4"/>
  <c r="CK30" i="4"/>
  <c r="CF18" i="4"/>
  <c r="CI18" i="4"/>
  <c r="CH18" i="4"/>
  <c r="CG18" i="4"/>
  <c r="CF25" i="4"/>
  <c r="CG25" i="4"/>
  <c r="CH25" i="4"/>
  <c r="CI25" i="4"/>
  <c r="CN22" i="4"/>
  <c r="CO22" i="4"/>
  <c r="CQ22" i="4"/>
  <c r="CP22" i="4"/>
  <c r="CH19" i="4"/>
  <c r="CG19" i="4"/>
  <c r="CI19" i="4"/>
  <c r="CF19" i="4"/>
  <c r="CN23" i="4"/>
  <c r="CQ23" i="4"/>
  <c r="CO23" i="4"/>
  <c r="CP23" i="4"/>
  <c r="CV21" i="4"/>
  <c r="CW21" i="4"/>
  <c r="CX21" i="4"/>
  <c r="CY21" i="4"/>
  <c r="CF42" i="3"/>
  <c r="CN21" i="4"/>
  <c r="CO21" i="4"/>
  <c r="CQ21" i="4"/>
  <c r="CP21" i="4"/>
  <c r="CP26" i="4"/>
  <c r="CQ26" i="4"/>
  <c r="CO26" i="4"/>
  <c r="CN26" i="4"/>
  <c r="CM24" i="4"/>
  <c r="CM34" i="4" s="1"/>
  <c r="CK24" i="4"/>
  <c r="CK34" i="4" s="1"/>
  <c r="CJ24" i="4"/>
  <c r="CL24" i="4"/>
  <c r="CL34" i="4" s="1"/>
  <c r="CT27" i="4"/>
  <c r="CU27" i="4"/>
  <c r="CR27" i="4"/>
  <c r="CS27" i="4"/>
  <c r="CK43" i="3"/>
  <c r="CP20" i="4"/>
  <c r="CO20" i="4"/>
  <c r="CQ20" i="4"/>
  <c r="CN20" i="4"/>
  <c r="CQ27" i="4"/>
  <c r="CO27" i="4"/>
  <c r="CP27" i="4"/>
  <c r="CN27" i="4"/>
  <c r="CS23" i="4"/>
  <c r="CT23" i="4"/>
  <c r="CR23" i="4"/>
  <c r="CU23" i="4"/>
  <c r="CF7" i="4"/>
  <c r="CI7" i="4"/>
  <c r="CG7" i="4"/>
  <c r="CH7" i="4"/>
  <c r="CU26" i="4"/>
  <c r="CR26" i="4"/>
  <c r="CS26" i="4"/>
  <c r="CT26" i="4"/>
  <c r="CS18" i="4"/>
  <c r="CR18" i="4"/>
  <c r="CT18" i="4"/>
  <c r="CU18" i="4"/>
  <c r="CQ29" i="4"/>
  <c r="CN29" i="4"/>
  <c r="CO29" i="4"/>
  <c r="CP29" i="4"/>
  <c r="CH41" i="3"/>
  <c r="CK41" i="3"/>
  <c r="CJ41" i="3"/>
  <c r="CI41" i="3"/>
  <c r="CP41" i="3"/>
  <c r="CQ41" i="3"/>
  <c r="CR41" i="3"/>
  <c r="CS41" i="3"/>
  <c r="CD43" i="3"/>
  <c r="CE43" i="3"/>
  <c r="CF43" i="3"/>
  <c r="CG43" i="3"/>
  <c r="CD41" i="3"/>
  <c r="CF41" i="3"/>
  <c r="CE41" i="3"/>
  <c r="CG41" i="3"/>
  <c r="CL42" i="3"/>
  <c r="CM42" i="3"/>
  <c r="CN42" i="3"/>
  <c r="CO42" i="3"/>
  <c r="CT43" i="3"/>
  <c r="CU43" i="3"/>
  <c r="CV43" i="3"/>
  <c r="CW43" i="3"/>
  <c r="S5" i="6"/>
  <c r="EV7" i="4" l="1"/>
  <c r="H6" i="7" s="1"/>
  <c r="CE27" i="3"/>
  <c r="CF27" i="3"/>
  <c r="CG27" i="3"/>
  <c r="CD27" i="3"/>
  <c r="BZ26" i="3"/>
  <c r="CA26" i="3"/>
  <c r="CB26" i="3"/>
  <c r="CC26" i="3"/>
  <c r="CV34" i="4"/>
  <c r="DI16" i="4"/>
  <c r="DP34" i="4"/>
  <c r="CJ34" i="4"/>
  <c r="CG34" i="4"/>
  <c r="CY34" i="4"/>
  <c r="DW21" i="4"/>
  <c r="DT21" i="4"/>
  <c r="DU21" i="4"/>
  <c r="DV21" i="4"/>
  <c r="EQ24" i="4"/>
  <c r="EN24" i="4"/>
  <c r="EP24" i="4"/>
  <c r="EO24" i="4"/>
  <c r="BU25" i="3"/>
  <c r="BS25" i="3"/>
  <c r="BT25" i="3"/>
  <c r="BR25" i="3"/>
  <c r="DN34" i="4"/>
  <c r="DV19" i="4"/>
  <c r="DT19" i="4"/>
  <c r="DW19" i="4"/>
  <c r="DU19" i="4"/>
  <c r="DZ23" i="4"/>
  <c r="DX23" i="4"/>
  <c r="DY23" i="4"/>
  <c r="EA23" i="4"/>
  <c r="CU34" i="4"/>
  <c r="DD34" i="4"/>
  <c r="DV18" i="4"/>
  <c r="DW18" i="4"/>
  <c r="DU18" i="4"/>
  <c r="DT18" i="4"/>
  <c r="DX26" i="4"/>
  <c r="DY26" i="4"/>
  <c r="DZ26" i="4"/>
  <c r="EA26" i="4"/>
  <c r="DJ34" i="4"/>
  <c r="CR34" i="4"/>
  <c r="CP34" i="4"/>
  <c r="EV8" i="4"/>
  <c r="H7" i="7" s="1"/>
  <c r="DH16" i="4"/>
  <c r="EV9" i="4"/>
  <c r="H8" i="7" s="1"/>
  <c r="EV12" i="4"/>
  <c r="H11" i="7" s="1"/>
  <c r="DH34" i="4"/>
  <c r="DS34" i="4"/>
  <c r="EL30" i="4"/>
  <c r="EJ30" i="4"/>
  <c r="EK30" i="4"/>
  <c r="EM30" i="4"/>
  <c r="BS29" i="3"/>
  <c r="BT29" i="3"/>
  <c r="BU29" i="3"/>
  <c r="BR29" i="3"/>
  <c r="DX19" i="4"/>
  <c r="DY19" i="4"/>
  <c r="DZ19" i="4"/>
  <c r="EA19" i="4"/>
  <c r="CW34" i="4"/>
  <c r="DZ25" i="4"/>
  <c r="EA25" i="4"/>
  <c r="DX25" i="4"/>
  <c r="DY25" i="4"/>
  <c r="EK20" i="4"/>
  <c r="EJ20" i="4"/>
  <c r="EL20" i="4"/>
  <c r="EM20" i="4"/>
  <c r="EE20" i="4"/>
  <c r="ED20" i="4"/>
  <c r="EB20" i="4"/>
  <c r="EC20" i="4"/>
  <c r="EA18" i="4"/>
  <c r="DX18" i="4"/>
  <c r="DZ18" i="4"/>
  <c r="DY18" i="4"/>
  <c r="DE34" i="4"/>
  <c r="EQ29" i="4"/>
  <c r="EN29" i="4"/>
  <c r="EP29" i="4"/>
  <c r="EO29" i="4"/>
  <c r="CH34" i="4"/>
  <c r="ED27" i="4"/>
  <c r="EB27" i="4"/>
  <c r="EE27" i="4"/>
  <c r="EC27" i="4"/>
  <c r="DV30" i="4"/>
  <c r="DU30" i="4"/>
  <c r="DW30" i="4"/>
  <c r="DT30" i="4"/>
  <c r="CI34" i="4"/>
  <c r="DU20" i="4"/>
  <c r="DW20" i="4"/>
  <c r="DV20" i="4"/>
  <c r="DT20" i="4"/>
  <c r="DL34" i="4"/>
  <c r="EK26" i="4"/>
  <c r="EJ26" i="4"/>
  <c r="EL26" i="4"/>
  <c r="EM26" i="4"/>
  <c r="EB25" i="4"/>
  <c r="ED25" i="4"/>
  <c r="EC25" i="4"/>
  <c r="EE25" i="4"/>
  <c r="DJ16" i="4"/>
  <c r="BW13" i="3"/>
  <c r="BV13" i="3"/>
  <c r="BX13" i="3"/>
  <c r="BY13" i="3"/>
  <c r="DY27" i="4"/>
  <c r="DX27" i="4"/>
  <c r="DZ27" i="4"/>
  <c r="EA27" i="4"/>
  <c r="DG34" i="4"/>
  <c r="DK34" i="4"/>
  <c r="EU22" i="4"/>
  <c r="ER22" i="4"/>
  <c r="ES22" i="4"/>
  <c r="ET22" i="4"/>
  <c r="BT20" i="3"/>
  <c r="BR20" i="3"/>
  <c r="BS20" i="3"/>
  <c r="BU20" i="3"/>
  <c r="EF30" i="4"/>
  <c r="EI30" i="4"/>
  <c r="EG30" i="4"/>
  <c r="EH30" i="4"/>
  <c r="EB21" i="4"/>
  <c r="ED21" i="4"/>
  <c r="EC21" i="4"/>
  <c r="EE21" i="4"/>
  <c r="EH21" i="4"/>
  <c r="EI21" i="4"/>
  <c r="EG21" i="4"/>
  <c r="EF21" i="4"/>
  <c r="BT30" i="3"/>
  <c r="BU30" i="3"/>
  <c r="BR30" i="3"/>
  <c r="BS30" i="3"/>
  <c r="BW17" i="3"/>
  <c r="BX17" i="3"/>
  <c r="BV17" i="3"/>
  <c r="BY17" i="3"/>
  <c r="BY24" i="3"/>
  <c r="BX24" i="3"/>
  <c r="BV24" i="3"/>
  <c r="BW24" i="3"/>
  <c r="EA28" i="4"/>
  <c r="DZ28" i="4"/>
  <c r="DX28" i="4"/>
  <c r="DY28" i="4"/>
  <c r="DV28" i="4"/>
  <c r="DW28" i="4"/>
  <c r="DU28" i="4"/>
  <c r="DT28" i="4"/>
  <c r="EF23" i="4"/>
  <c r="EG23" i="4"/>
  <c r="EI23" i="4"/>
  <c r="EH23" i="4"/>
  <c r="EB23" i="4"/>
  <c r="ED23" i="4"/>
  <c r="EE23" i="4"/>
  <c r="EC23" i="4"/>
  <c r="CQ34" i="4"/>
  <c r="DI35" i="4"/>
  <c r="DQ34" i="4"/>
  <c r="EM18" i="4"/>
  <c r="EL18" i="4"/>
  <c r="EK18" i="4"/>
  <c r="EJ18" i="4"/>
  <c r="EV10" i="4"/>
  <c r="H9" i="7" s="1"/>
  <c r="DI34" i="4"/>
  <c r="EC18" i="4"/>
  <c r="EE18" i="4"/>
  <c r="ED18" i="4"/>
  <c r="EB18" i="4"/>
  <c r="ED26" i="4"/>
  <c r="EE26" i="4"/>
  <c r="EB26" i="4"/>
  <c r="EC26" i="4"/>
  <c r="EB19" i="4"/>
  <c r="EC19" i="4"/>
  <c r="ED19" i="4"/>
  <c r="EE19" i="4"/>
  <c r="DZ20" i="4"/>
  <c r="EA20" i="4"/>
  <c r="DX20" i="4"/>
  <c r="DY20" i="4"/>
  <c r="CT34" i="4"/>
  <c r="ET29" i="4"/>
  <c r="EU29" i="4"/>
  <c r="ER29" i="4"/>
  <c r="ES29" i="4"/>
  <c r="DT23" i="4"/>
  <c r="DV23" i="4"/>
  <c r="DW23" i="4"/>
  <c r="DU23" i="4"/>
  <c r="CS34" i="4"/>
  <c r="DF16" i="4"/>
  <c r="DF35" i="4" s="1"/>
  <c r="EV11" i="4"/>
  <c r="H10" i="7" s="1"/>
  <c r="EH27" i="4"/>
  <c r="EF27" i="4"/>
  <c r="EG27" i="4"/>
  <c r="EI27" i="4"/>
  <c r="DF34" i="4"/>
  <c r="DU26" i="4"/>
  <c r="DW26" i="4"/>
  <c r="DT26" i="4"/>
  <c r="DV26" i="4"/>
  <c r="CO34" i="4"/>
  <c r="EI19" i="4"/>
  <c r="EF19" i="4"/>
  <c r="EH19" i="4"/>
  <c r="EG19" i="4"/>
  <c r="DT25" i="4"/>
  <c r="DU25" i="4"/>
  <c r="DV25" i="4"/>
  <c r="DW25" i="4"/>
  <c r="EJ23" i="4"/>
  <c r="EL23" i="4"/>
  <c r="EM23" i="4"/>
  <c r="EK23" i="4"/>
  <c r="CN34" i="4"/>
  <c r="EH18" i="4"/>
  <c r="EI18" i="4"/>
  <c r="EF18" i="4"/>
  <c r="DM34" i="4"/>
  <c r="EG18" i="4"/>
  <c r="EI26" i="4"/>
  <c r="EH26" i="4"/>
  <c r="EG26" i="4"/>
  <c r="EF26" i="4"/>
  <c r="EJ21" i="4"/>
  <c r="EL21" i="4"/>
  <c r="EM21" i="4"/>
  <c r="EK21" i="4"/>
  <c r="EI20" i="4"/>
  <c r="EH20" i="4"/>
  <c r="EF20" i="4"/>
  <c r="EG20" i="4"/>
  <c r="EL25" i="4"/>
  <c r="EJ25" i="4"/>
  <c r="EM25" i="4"/>
  <c r="EK25" i="4"/>
  <c r="CF34" i="4"/>
  <c r="EQ22" i="4"/>
  <c r="EP22" i="4"/>
  <c r="EN22" i="4"/>
  <c r="EO22" i="4"/>
  <c r="DZ30" i="4"/>
  <c r="DY30" i="4"/>
  <c r="DX30" i="4"/>
  <c r="EA30" i="4"/>
  <c r="CX34" i="4"/>
  <c r="EJ27" i="4"/>
  <c r="EK27" i="4"/>
  <c r="EL27" i="4"/>
  <c r="EM27" i="4"/>
  <c r="DT27" i="4"/>
  <c r="DW27" i="4"/>
  <c r="DU27" i="4"/>
  <c r="DV27" i="4"/>
  <c r="DR34" i="4"/>
  <c r="DO34" i="4"/>
  <c r="EB30" i="4"/>
  <c r="ED30" i="4"/>
  <c r="EC30" i="4"/>
  <c r="EE30" i="4"/>
  <c r="DZ21" i="4"/>
  <c r="EA21" i="4"/>
  <c r="DX21" i="4"/>
  <c r="DY21" i="4"/>
  <c r="BU21" i="3"/>
  <c r="BR21" i="3"/>
  <c r="BS21" i="3"/>
  <c r="BT21" i="3"/>
  <c r="EL19" i="4"/>
  <c r="EK19" i="4"/>
  <c r="EM19" i="4"/>
  <c r="EJ19" i="4"/>
  <c r="EI25" i="4"/>
  <c r="EH25" i="4"/>
  <c r="EG25" i="4"/>
  <c r="EF25" i="4"/>
  <c r="ET24" i="4"/>
  <c r="EU24" i="4"/>
  <c r="ER24" i="4"/>
  <c r="ES24" i="4"/>
  <c r="DW13" i="4"/>
  <c r="DU13" i="4"/>
  <c r="DV13" i="4"/>
  <c r="DT13" i="4"/>
  <c r="EN13" i="4"/>
  <c r="EQ13" i="4"/>
  <c r="EO13" i="4"/>
  <c r="EP13" i="4"/>
  <c r="ED13" i="4"/>
  <c r="EC13" i="4"/>
  <c r="EE13" i="4"/>
  <c r="EB13" i="4"/>
  <c r="ER13" i="4"/>
  <c r="ES13" i="4"/>
  <c r="ET13" i="4"/>
  <c r="EU13" i="4"/>
  <c r="EH13" i="4"/>
  <c r="EG13" i="4"/>
  <c r="EI13" i="4"/>
  <c r="EF13" i="4"/>
  <c r="DZ13" i="4"/>
  <c r="DX13" i="4"/>
  <c r="EA13" i="4"/>
  <c r="DY13" i="4"/>
  <c r="EM13" i="4"/>
  <c r="EJ13" i="4"/>
  <c r="EK13" i="4"/>
  <c r="EL13" i="4"/>
  <c r="DW12" i="4"/>
  <c r="DT12" i="4"/>
  <c r="DV12" i="4"/>
  <c r="DU12" i="4"/>
  <c r="EF12" i="4"/>
  <c r="EI12" i="4"/>
  <c r="EG12" i="4"/>
  <c r="EH12" i="4"/>
  <c r="EJ12" i="4"/>
  <c r="EM12" i="4"/>
  <c r="EL12" i="4"/>
  <c r="EK12" i="4"/>
  <c r="DX12" i="4"/>
  <c r="DZ12" i="4"/>
  <c r="EA12" i="4"/>
  <c r="DY12" i="4"/>
  <c r="EB12" i="4"/>
  <c r="EC12" i="4"/>
  <c r="ED12" i="4"/>
  <c r="EE12" i="4"/>
  <c r="ER12" i="4"/>
  <c r="ES12" i="4"/>
  <c r="ET12" i="4"/>
  <c r="EU12" i="4"/>
  <c r="EO12" i="4"/>
  <c r="EP12" i="4"/>
  <c r="EN12" i="4"/>
  <c r="EQ12" i="4"/>
  <c r="EF11" i="4"/>
  <c r="EG11" i="4"/>
  <c r="EH11" i="4"/>
  <c r="EI11" i="4"/>
  <c r="EO11" i="4"/>
  <c r="EP11" i="4"/>
  <c r="EN11" i="4"/>
  <c r="EN16" i="4" s="1"/>
  <c r="EQ11" i="4"/>
  <c r="DX11" i="4"/>
  <c r="DZ11" i="4"/>
  <c r="EA11" i="4"/>
  <c r="DY11" i="4"/>
  <c r="EU11" i="4"/>
  <c r="ER11" i="4"/>
  <c r="ES11" i="4"/>
  <c r="ET11" i="4"/>
  <c r="DV11" i="4"/>
  <c r="DT11" i="4"/>
  <c r="DW11" i="4"/>
  <c r="DU11" i="4"/>
  <c r="EL11" i="4"/>
  <c r="EM11" i="4"/>
  <c r="EK11" i="4"/>
  <c r="EJ11" i="4"/>
  <c r="EE11" i="4"/>
  <c r="EB11" i="4"/>
  <c r="EC11" i="4"/>
  <c r="ED11" i="4"/>
  <c r="DD16" i="4"/>
  <c r="EJ10" i="4"/>
  <c r="EL10" i="4"/>
  <c r="EK10" i="4"/>
  <c r="EM10" i="4"/>
  <c r="EC10" i="4"/>
  <c r="EE10" i="4"/>
  <c r="ED10" i="4"/>
  <c r="EB10" i="4"/>
  <c r="DK16" i="4"/>
  <c r="DK35" i="4" s="1"/>
  <c r="DZ10" i="4"/>
  <c r="DY10" i="4"/>
  <c r="DX10" i="4"/>
  <c r="EA10" i="4"/>
  <c r="DE16" i="4"/>
  <c r="DW10" i="4"/>
  <c r="DT10" i="4"/>
  <c r="DU10" i="4"/>
  <c r="DV10" i="4"/>
  <c r="EF10" i="4"/>
  <c r="EI10" i="4"/>
  <c r="EG10" i="4"/>
  <c r="EH10" i="4"/>
  <c r="EU10" i="4"/>
  <c r="ER10" i="4"/>
  <c r="ES10" i="4"/>
  <c r="ET10" i="4"/>
  <c r="EP10" i="4"/>
  <c r="EN10" i="4"/>
  <c r="EQ10" i="4"/>
  <c r="EO10" i="4"/>
  <c r="EA9" i="4"/>
  <c r="DX9" i="4"/>
  <c r="DY9" i="4"/>
  <c r="DZ9" i="4"/>
  <c r="ER9" i="4"/>
  <c r="ES9" i="4"/>
  <c r="ET9" i="4"/>
  <c r="EU9" i="4"/>
  <c r="EI9" i="4"/>
  <c r="EF9" i="4"/>
  <c r="EG9" i="4"/>
  <c r="EH9" i="4"/>
  <c r="ED9" i="4"/>
  <c r="EC9" i="4"/>
  <c r="EB9" i="4"/>
  <c r="EE9" i="4"/>
  <c r="DG16" i="4"/>
  <c r="DG35" i="4" s="1"/>
  <c r="DU9" i="4"/>
  <c r="DV9" i="4"/>
  <c r="DT9" i="4"/>
  <c r="DT16" i="4" s="1"/>
  <c r="DW9" i="4"/>
  <c r="EM9" i="4"/>
  <c r="EJ9" i="4"/>
  <c r="EK9" i="4"/>
  <c r="EL9" i="4"/>
  <c r="EN9" i="4"/>
  <c r="EQ9" i="4"/>
  <c r="EO9" i="4"/>
  <c r="EP9" i="4"/>
  <c r="EP8" i="4"/>
  <c r="EQ8" i="4"/>
  <c r="EN8" i="4"/>
  <c r="EO8" i="4"/>
  <c r="EF8" i="4"/>
  <c r="EH8" i="4"/>
  <c r="EI8" i="4"/>
  <c r="EG8" i="4"/>
  <c r="EJ8" i="4"/>
  <c r="EL8" i="4"/>
  <c r="EK8" i="4"/>
  <c r="EM8" i="4"/>
  <c r="EB8" i="4"/>
  <c r="ED8" i="4"/>
  <c r="EC8" i="4"/>
  <c r="EE8" i="4"/>
  <c r="DX8" i="4"/>
  <c r="EA8" i="4"/>
  <c r="DZ8" i="4"/>
  <c r="DY8" i="4"/>
  <c r="DU8" i="4"/>
  <c r="DT8" i="4"/>
  <c r="DV8" i="4"/>
  <c r="DW8" i="4"/>
  <c r="EU8" i="4"/>
  <c r="ES8" i="4"/>
  <c r="ER8" i="4"/>
  <c r="ET8" i="4"/>
  <c r="DL7" i="4"/>
  <c r="DL16" i="4" s="1"/>
  <c r="DM7" i="4"/>
  <c r="DN7" i="4"/>
  <c r="DN16" i="4" s="1"/>
  <c r="DO7" i="4"/>
  <c r="DO16" i="4" s="1"/>
  <c r="DO35" i="4" s="1"/>
  <c r="DQ7" i="4"/>
  <c r="DQ16" i="4" s="1"/>
  <c r="DR7" i="4"/>
  <c r="DR16" i="4" s="1"/>
  <c r="DS7" i="4"/>
  <c r="DS16" i="4" s="1"/>
  <c r="DP7" i="4"/>
  <c r="DP16" i="4" s="1"/>
  <c r="DP35" i="4" s="1"/>
  <c r="BZ10" i="3"/>
  <c r="CA10" i="3"/>
  <c r="CB10" i="3"/>
  <c r="CC10" i="3"/>
  <c r="BW19" i="3"/>
  <c r="BX19" i="3"/>
  <c r="BY19" i="3"/>
  <c r="BV19" i="3"/>
  <c r="BY31" i="3"/>
  <c r="BV31" i="3"/>
  <c r="BW31" i="3"/>
  <c r="BX31" i="3"/>
  <c r="BZ9" i="3"/>
  <c r="CC9" i="3"/>
  <c r="CB9" i="3"/>
  <c r="CA9" i="3"/>
  <c r="CB18" i="3"/>
  <c r="CC18" i="3"/>
  <c r="BZ18" i="3"/>
  <c r="CA18" i="3"/>
  <c r="BY22" i="3"/>
  <c r="BV22" i="3"/>
  <c r="BW22" i="3"/>
  <c r="BX22" i="3"/>
  <c r="BV11" i="3"/>
  <c r="BW11" i="3"/>
  <c r="BX11" i="3"/>
  <c r="BY11" i="3"/>
  <c r="BY23" i="3"/>
  <c r="BW23" i="3"/>
  <c r="BX23" i="3"/>
  <c r="BV23" i="3"/>
  <c r="CC16" i="3"/>
  <c r="BZ16" i="3"/>
  <c r="CA16" i="3"/>
  <c r="CB16" i="3"/>
  <c r="BY32" i="3"/>
  <c r="BV32" i="3"/>
  <c r="BW32" i="3"/>
  <c r="BX32" i="3"/>
  <c r="BV14" i="3"/>
  <c r="BW14" i="3"/>
  <c r="BX14" i="3"/>
  <c r="BY14" i="3"/>
  <c r="BW15" i="3"/>
  <c r="BY15" i="3"/>
  <c r="BV15" i="3"/>
  <c r="BX15" i="3"/>
  <c r="BZ28" i="3"/>
  <c r="CA28" i="3"/>
  <c r="CB28" i="3"/>
  <c r="CC28" i="3"/>
  <c r="BZ12" i="3"/>
  <c r="CA12" i="3"/>
  <c r="CB12" i="3"/>
  <c r="CC12" i="3"/>
  <c r="AX8" i="3"/>
  <c r="AY8" i="3"/>
  <c r="AZ8" i="3"/>
  <c r="BA8" i="3"/>
  <c r="D2" i="4"/>
  <c r="CD26" i="3" l="1"/>
  <c r="CE26" i="3"/>
  <c r="CF26" i="3"/>
  <c r="CG26" i="3"/>
  <c r="CH27" i="3"/>
  <c r="CI27" i="3"/>
  <c r="CJ27" i="3"/>
  <c r="CK27" i="3"/>
  <c r="EL16" i="4"/>
  <c r="DV34" i="4"/>
  <c r="EE34" i="4"/>
  <c r="DL35" i="4"/>
  <c r="EQ26" i="4"/>
  <c r="EO26" i="4"/>
  <c r="EN26" i="4"/>
  <c r="EP26" i="4"/>
  <c r="BY29" i="3"/>
  <c r="BW29" i="3"/>
  <c r="BX29" i="3"/>
  <c r="BV29" i="3"/>
  <c r="DD35" i="4"/>
  <c r="DQ35" i="4"/>
  <c r="DE35" i="4"/>
  <c r="ER30" i="4"/>
  <c r="ES30" i="4"/>
  <c r="ET30" i="4"/>
  <c r="EU30" i="4"/>
  <c r="EI34" i="4"/>
  <c r="BW20" i="3"/>
  <c r="BY20" i="3"/>
  <c r="BV20" i="3"/>
  <c r="BX20" i="3"/>
  <c r="DZ34" i="4"/>
  <c r="DH35" i="4"/>
  <c r="ET23" i="4"/>
  <c r="EU23" i="4"/>
  <c r="ER23" i="4"/>
  <c r="ES23" i="4"/>
  <c r="ED34" i="4"/>
  <c r="EU28" i="4"/>
  <c r="ER28" i="4"/>
  <c r="ES28" i="4"/>
  <c r="ET28" i="4"/>
  <c r="EQ27" i="4"/>
  <c r="EN27" i="4"/>
  <c r="EO27" i="4"/>
  <c r="EP27" i="4"/>
  <c r="EH34" i="4"/>
  <c r="EQ23" i="4"/>
  <c r="EO23" i="4"/>
  <c r="EP23" i="4"/>
  <c r="EN23" i="4"/>
  <c r="EG34" i="4"/>
  <c r="EF34" i="4"/>
  <c r="EJ34" i="4"/>
  <c r="EQ28" i="4"/>
  <c r="EP28" i="4"/>
  <c r="EN28" i="4"/>
  <c r="EO28" i="4"/>
  <c r="DX34" i="4"/>
  <c r="DT34" i="4"/>
  <c r="DT35" i="4" s="1"/>
  <c r="EQ21" i="4"/>
  <c r="EP21" i="4"/>
  <c r="EO21" i="4"/>
  <c r="EN21" i="4"/>
  <c r="ER27" i="4"/>
  <c r="ES27" i="4"/>
  <c r="ET27" i="4"/>
  <c r="EU27" i="4"/>
  <c r="DS35" i="4"/>
  <c r="DR35" i="4"/>
  <c r="EU20" i="4"/>
  <c r="ET20" i="4"/>
  <c r="ER20" i="4"/>
  <c r="ES20" i="4"/>
  <c r="EQ20" i="4"/>
  <c r="EO20" i="4"/>
  <c r="EP20" i="4"/>
  <c r="EN20" i="4"/>
  <c r="DY34" i="4"/>
  <c r="ET18" i="4"/>
  <c r="EU18" i="4"/>
  <c r="ER18" i="4"/>
  <c r="ES18" i="4"/>
  <c r="ET26" i="4"/>
  <c r="EU26" i="4"/>
  <c r="ER26" i="4"/>
  <c r="ES26" i="4"/>
  <c r="DN35" i="4"/>
  <c r="BY21" i="3"/>
  <c r="BV21" i="3"/>
  <c r="BW21" i="3"/>
  <c r="BX21" i="3"/>
  <c r="EK34" i="4"/>
  <c r="BY30" i="3"/>
  <c r="BV30" i="3"/>
  <c r="BW30" i="3"/>
  <c r="BX30" i="3"/>
  <c r="DJ35" i="4"/>
  <c r="EA34" i="4"/>
  <c r="ER19" i="4"/>
  <c r="ES19" i="4"/>
  <c r="ET19" i="4"/>
  <c r="EU19" i="4"/>
  <c r="EQ18" i="4"/>
  <c r="EN18" i="4"/>
  <c r="EO18" i="4"/>
  <c r="EP18" i="4"/>
  <c r="DU34" i="4"/>
  <c r="EM34" i="4"/>
  <c r="BZ17" i="3"/>
  <c r="CA17" i="3"/>
  <c r="CC17" i="3"/>
  <c r="CB17" i="3"/>
  <c r="EC34" i="4"/>
  <c r="CA13" i="3"/>
  <c r="CC13" i="3"/>
  <c r="BZ13" i="3"/>
  <c r="CB13" i="3"/>
  <c r="EP16" i="4"/>
  <c r="ET21" i="4"/>
  <c r="EU21" i="4"/>
  <c r="ER21" i="4"/>
  <c r="ES21" i="4"/>
  <c r="EQ25" i="4"/>
  <c r="EO25" i="4"/>
  <c r="EN25" i="4"/>
  <c r="EP25" i="4"/>
  <c r="EB34" i="4"/>
  <c r="EL34" i="4"/>
  <c r="CA24" i="3"/>
  <c r="CB24" i="3"/>
  <c r="CC24" i="3"/>
  <c r="BZ24" i="3"/>
  <c r="EQ30" i="4"/>
  <c r="EN30" i="4"/>
  <c r="EP30" i="4"/>
  <c r="EO30" i="4"/>
  <c r="ET25" i="4"/>
  <c r="EU25" i="4"/>
  <c r="ER25" i="4"/>
  <c r="ES25" i="4"/>
  <c r="DW34" i="4"/>
  <c r="EQ19" i="4"/>
  <c r="EP19" i="4"/>
  <c r="EO19" i="4"/>
  <c r="EN19" i="4"/>
  <c r="BY25" i="3"/>
  <c r="BV25" i="3"/>
  <c r="BW25" i="3"/>
  <c r="BX25" i="3"/>
  <c r="EA16" i="4"/>
  <c r="EA35" i="4" s="1"/>
  <c r="EI16" i="4"/>
  <c r="DV16" i="4"/>
  <c r="DV35" i="4" s="1"/>
  <c r="DX16" i="4"/>
  <c r="DZ16" i="4"/>
  <c r="EQ16" i="4"/>
  <c r="EO16" i="4"/>
  <c r="EG16" i="4"/>
  <c r="EG35" i="4" s="1"/>
  <c r="DY16" i="4"/>
  <c r="DY35" i="4" s="1"/>
  <c r="EC16" i="4"/>
  <c r="EH16" i="4"/>
  <c r="ED16" i="4"/>
  <c r="EF16" i="4"/>
  <c r="EM16" i="4"/>
  <c r="DW16" i="4"/>
  <c r="DU16" i="4"/>
  <c r="DU35" i="4" s="1"/>
  <c r="EJ16" i="4"/>
  <c r="EJ35" i="4" s="1"/>
  <c r="EB16" i="4"/>
  <c r="EB35" i="4" s="1"/>
  <c r="EE16" i="4"/>
  <c r="EK16" i="4"/>
  <c r="ER7" i="4"/>
  <c r="ER16" i="4" s="1"/>
  <c r="ES7" i="4"/>
  <c r="ES16" i="4" s="1"/>
  <c r="ET7" i="4"/>
  <c r="ET16" i="4" s="1"/>
  <c r="EU7" i="4"/>
  <c r="EU16" i="4" s="1"/>
  <c r="DM16" i="4"/>
  <c r="DM35" i="4" s="1"/>
  <c r="EV16" i="4"/>
  <c r="BZ14" i="3"/>
  <c r="CA14" i="3"/>
  <c r="CB14" i="3"/>
  <c r="CC14" i="3"/>
  <c r="CE16" i="3"/>
  <c r="CD16" i="3"/>
  <c r="CF16" i="3"/>
  <c r="CG16" i="3"/>
  <c r="CC22" i="3"/>
  <c r="BZ22" i="3"/>
  <c r="CA22" i="3"/>
  <c r="CB22" i="3"/>
  <c r="BZ11" i="3"/>
  <c r="CB11" i="3"/>
  <c r="CA11" i="3"/>
  <c r="CC11" i="3"/>
  <c r="BZ15" i="3"/>
  <c r="CA15" i="3"/>
  <c r="CB15" i="3"/>
  <c r="CC15" i="3"/>
  <c r="CE18" i="3"/>
  <c r="CF18" i="3"/>
  <c r="CD18" i="3"/>
  <c r="CG18" i="3"/>
  <c r="CD12" i="3"/>
  <c r="CE12" i="3"/>
  <c r="CG12" i="3"/>
  <c r="CF12" i="3"/>
  <c r="CB23" i="3"/>
  <c r="CC23" i="3"/>
  <c r="BZ23" i="3"/>
  <c r="CA23" i="3"/>
  <c r="CC31" i="3"/>
  <c r="BZ31" i="3"/>
  <c r="CA31" i="3"/>
  <c r="CB31" i="3"/>
  <c r="CG28" i="3"/>
  <c r="CD28" i="3"/>
  <c r="CE28" i="3"/>
  <c r="CF28" i="3"/>
  <c r="CD10" i="3"/>
  <c r="CG10" i="3"/>
  <c r="CE10" i="3"/>
  <c r="CF10" i="3"/>
  <c r="BZ19" i="3"/>
  <c r="CA19" i="3"/>
  <c r="CB19" i="3"/>
  <c r="CC19" i="3"/>
  <c r="CF9" i="3"/>
  <c r="CD9" i="3"/>
  <c r="CE9" i="3"/>
  <c r="CG9" i="3"/>
  <c r="CC32" i="3"/>
  <c r="BZ32" i="3"/>
  <c r="CA32" i="3"/>
  <c r="CB32" i="3"/>
  <c r="BB8" i="3"/>
  <c r="BE8" i="3"/>
  <c r="BC8" i="3"/>
  <c r="BD8" i="3"/>
  <c r="H20" i="7"/>
  <c r="EV34" i="4"/>
  <c r="EV47" i="3"/>
  <c r="C47" i="3"/>
  <c r="D47" i="3"/>
  <c r="EU47" i="3"/>
  <c r="K5" i="5"/>
  <c r="K4" i="5"/>
  <c r="EL35" i="4" l="1"/>
  <c r="CH26" i="3"/>
  <c r="CI26" i="3"/>
  <c r="CJ26" i="3"/>
  <c r="CK26" i="3"/>
  <c r="CL27" i="3"/>
  <c r="CM27" i="3"/>
  <c r="CN27" i="3"/>
  <c r="CO27" i="3"/>
  <c r="EE35" i="4"/>
  <c r="DX35" i="4"/>
  <c r="EC35" i="4"/>
  <c r="EI35" i="4"/>
  <c r="EM35" i="4"/>
  <c r="CE24" i="3"/>
  <c r="CF24" i="3"/>
  <c r="CG24" i="3"/>
  <c r="CD24" i="3"/>
  <c r="CF13" i="3"/>
  <c r="CG13" i="3"/>
  <c r="CE13" i="3"/>
  <c r="CD13" i="3"/>
  <c r="CG17" i="3"/>
  <c r="CD17" i="3"/>
  <c r="CF17" i="3"/>
  <c r="CE17" i="3"/>
  <c r="EQ34" i="4"/>
  <c r="EQ35" i="4" s="1"/>
  <c r="CB30" i="3"/>
  <c r="CC30" i="3"/>
  <c r="CA30" i="3"/>
  <c r="BZ30" i="3"/>
  <c r="DW35" i="4"/>
  <c r="ER35" i="4"/>
  <c r="EF35" i="4"/>
  <c r="DZ35" i="4"/>
  <c r="BZ25" i="3"/>
  <c r="CA25" i="3"/>
  <c r="CB25" i="3"/>
  <c r="CC25" i="3"/>
  <c r="EP34" i="4"/>
  <c r="EP35" i="4" s="1"/>
  <c r="ES34" i="4"/>
  <c r="ES35" i="4" s="1"/>
  <c r="CB20" i="3"/>
  <c r="BZ20" i="3"/>
  <c r="CA20" i="3"/>
  <c r="CC20" i="3"/>
  <c r="EK35" i="4"/>
  <c r="ED35" i="4"/>
  <c r="EO34" i="4"/>
  <c r="EO35" i="4" s="1"/>
  <c r="ER34" i="4"/>
  <c r="ET34" i="4"/>
  <c r="ET35" i="4" s="1"/>
  <c r="CA29" i="3"/>
  <c r="CB29" i="3"/>
  <c r="CC29" i="3"/>
  <c r="BZ29" i="3"/>
  <c r="EH35" i="4"/>
  <c r="EN34" i="4"/>
  <c r="EN35" i="4" s="1"/>
  <c r="CC21" i="3"/>
  <c r="CA21" i="3"/>
  <c r="BZ21" i="3"/>
  <c r="CB21" i="3"/>
  <c r="EU34" i="4"/>
  <c r="EU35" i="4" s="1"/>
  <c r="EV35" i="4"/>
  <c r="CE19" i="3"/>
  <c r="CD19" i="3"/>
  <c r="CF19" i="3"/>
  <c r="CG19" i="3"/>
  <c r="CD11" i="3"/>
  <c r="CE11" i="3"/>
  <c r="CF11" i="3"/>
  <c r="CG11" i="3"/>
  <c r="CG23" i="3"/>
  <c r="CD23" i="3"/>
  <c r="CE23" i="3"/>
  <c r="CF23" i="3"/>
  <c r="CG31" i="3"/>
  <c r="CD31" i="3"/>
  <c r="CE31" i="3"/>
  <c r="CF31" i="3"/>
  <c r="CE15" i="3"/>
  <c r="CD15" i="3"/>
  <c r="CG15" i="3"/>
  <c r="CF15" i="3"/>
  <c r="CH16" i="3"/>
  <c r="CI16" i="3"/>
  <c r="CJ16" i="3"/>
  <c r="CK16" i="3"/>
  <c r="CH12" i="3"/>
  <c r="CI12" i="3"/>
  <c r="CJ12" i="3"/>
  <c r="CK12" i="3"/>
  <c r="CH9" i="3"/>
  <c r="CI9" i="3"/>
  <c r="CK9" i="3"/>
  <c r="CJ9" i="3"/>
  <c r="CH18" i="3"/>
  <c r="CI18" i="3"/>
  <c r="CJ18" i="3"/>
  <c r="CK18" i="3"/>
  <c r="CG22" i="3"/>
  <c r="CD22" i="3"/>
  <c r="CE22" i="3"/>
  <c r="CF22" i="3"/>
  <c r="CD14" i="3"/>
  <c r="CG14" i="3"/>
  <c r="CE14" i="3"/>
  <c r="CF14" i="3"/>
  <c r="CH10" i="3"/>
  <c r="CI10" i="3"/>
  <c r="CJ10" i="3"/>
  <c r="CK10" i="3"/>
  <c r="CG32" i="3"/>
  <c r="CD32" i="3"/>
  <c r="CF32" i="3"/>
  <c r="CE32" i="3"/>
  <c r="CH28" i="3"/>
  <c r="CI28" i="3"/>
  <c r="CJ28" i="3"/>
  <c r="CK28" i="3"/>
  <c r="BF8" i="3"/>
  <c r="BH8" i="3"/>
  <c r="BG8" i="3"/>
  <c r="BI8" i="3"/>
  <c r="K9" i="6"/>
  <c r="ET47" i="3"/>
  <c r="L9" i="6" l="1"/>
  <c r="M9" i="6" s="1"/>
  <c r="CP27" i="3"/>
  <c r="CQ27" i="3"/>
  <c r="CR27" i="3"/>
  <c r="CS27" i="3"/>
  <c r="CN26" i="3"/>
  <c r="CO26" i="3"/>
  <c r="CL26" i="3"/>
  <c r="CM26" i="3"/>
  <c r="CJ24" i="3"/>
  <c r="CK24" i="3"/>
  <c r="CH24" i="3"/>
  <c r="CI24" i="3"/>
  <c r="CE29" i="3"/>
  <c r="CD29" i="3"/>
  <c r="CG29" i="3"/>
  <c r="CF29" i="3"/>
  <c r="CD25" i="3"/>
  <c r="CG25" i="3"/>
  <c r="CF25" i="3"/>
  <c r="CE25" i="3"/>
  <c r="CH17" i="3"/>
  <c r="CI17" i="3"/>
  <c r="CJ17" i="3"/>
  <c r="CK17" i="3"/>
  <c r="CE30" i="3"/>
  <c r="CF30" i="3"/>
  <c r="CD30" i="3"/>
  <c r="CG30" i="3"/>
  <c r="CG20" i="3"/>
  <c r="CD20" i="3"/>
  <c r="CF20" i="3"/>
  <c r="CE20" i="3"/>
  <c r="CD21" i="3"/>
  <c r="CE21" i="3"/>
  <c r="CF21" i="3"/>
  <c r="CG21" i="3"/>
  <c r="CJ13" i="3"/>
  <c r="CH13" i="3"/>
  <c r="CI13" i="3"/>
  <c r="CK13" i="3"/>
  <c r="CO28" i="3"/>
  <c r="CN28" i="3"/>
  <c r="CL28" i="3"/>
  <c r="CM28" i="3"/>
  <c r="CH19" i="3"/>
  <c r="CI19" i="3"/>
  <c r="CJ19" i="3"/>
  <c r="CK19" i="3"/>
  <c r="CK23" i="3"/>
  <c r="CJ23" i="3"/>
  <c r="CH23" i="3"/>
  <c r="CI23" i="3"/>
  <c r="CH14" i="3"/>
  <c r="CK14" i="3"/>
  <c r="CI14" i="3"/>
  <c r="CJ14" i="3"/>
  <c r="CM10" i="3"/>
  <c r="CL10" i="3"/>
  <c r="CN10" i="3"/>
  <c r="CO10" i="3"/>
  <c r="CN12" i="3"/>
  <c r="CO12" i="3"/>
  <c r="CL12" i="3"/>
  <c r="CM12" i="3"/>
  <c r="CH11" i="3"/>
  <c r="CK11" i="3"/>
  <c r="CI11" i="3"/>
  <c r="CJ11" i="3"/>
  <c r="CO9" i="3"/>
  <c r="CM9" i="3"/>
  <c r="CN9" i="3"/>
  <c r="CL9" i="3"/>
  <c r="CI15" i="3"/>
  <c r="CJ15" i="3"/>
  <c r="CK15" i="3"/>
  <c r="CH15" i="3"/>
  <c r="CM18" i="3"/>
  <c r="CO18" i="3"/>
  <c r="CL18" i="3"/>
  <c r="CN18" i="3"/>
  <c r="CM16" i="3"/>
  <c r="CN16" i="3"/>
  <c r="CO16" i="3"/>
  <c r="CL16" i="3"/>
  <c r="CH32" i="3"/>
  <c r="CI32" i="3"/>
  <c r="CJ32" i="3"/>
  <c r="CK32" i="3"/>
  <c r="CH22" i="3"/>
  <c r="CI22" i="3"/>
  <c r="CJ22" i="3"/>
  <c r="CK22" i="3"/>
  <c r="CH31" i="3"/>
  <c r="CI31" i="3"/>
  <c r="CJ31" i="3"/>
  <c r="CK31" i="3"/>
  <c r="BK8" i="3"/>
  <c r="BJ8" i="3"/>
  <c r="BL8" i="3"/>
  <c r="BM8" i="3"/>
  <c r="N9" i="6"/>
  <c r="CP26" i="3" l="1"/>
  <c r="CQ26" i="3"/>
  <c r="CR26" i="3"/>
  <c r="CS26" i="3"/>
  <c r="CT27" i="3"/>
  <c r="CU27" i="3"/>
  <c r="CV27" i="3"/>
  <c r="CW27" i="3"/>
  <c r="CN13" i="3"/>
  <c r="CM13" i="3"/>
  <c r="CO13" i="3"/>
  <c r="CL13" i="3"/>
  <c r="CM17" i="3"/>
  <c r="CL17" i="3"/>
  <c r="CN17" i="3"/>
  <c r="CO17" i="3"/>
  <c r="CH29" i="3"/>
  <c r="CI29" i="3"/>
  <c r="CJ29" i="3"/>
  <c r="CK29" i="3"/>
  <c r="CJ20" i="3"/>
  <c r="CK20" i="3"/>
  <c r="CI20" i="3"/>
  <c r="CH20" i="3"/>
  <c r="CH21" i="3"/>
  <c r="CI21" i="3"/>
  <c r="CJ21" i="3"/>
  <c r="CK21" i="3"/>
  <c r="CH30" i="3"/>
  <c r="CI30" i="3"/>
  <c r="CJ30" i="3"/>
  <c r="CK30" i="3"/>
  <c r="CK25" i="3"/>
  <c r="CI25" i="3"/>
  <c r="CJ25" i="3"/>
  <c r="CH25" i="3"/>
  <c r="CL24" i="3"/>
  <c r="CM24" i="3"/>
  <c r="CN24" i="3"/>
  <c r="CO24" i="3"/>
  <c r="CM19" i="3"/>
  <c r="CN19" i="3"/>
  <c r="CL19" i="3"/>
  <c r="CO19" i="3"/>
  <c r="CP18" i="3"/>
  <c r="CQ18" i="3"/>
  <c r="CR18" i="3"/>
  <c r="CS18" i="3"/>
  <c r="CM14" i="3"/>
  <c r="CL14" i="3"/>
  <c r="CN14" i="3"/>
  <c r="CO14" i="3"/>
  <c r="CP9" i="3"/>
  <c r="CS9" i="3"/>
  <c r="CQ9" i="3"/>
  <c r="CR9" i="3"/>
  <c r="CO23" i="3"/>
  <c r="CL23" i="3"/>
  <c r="CM23" i="3"/>
  <c r="CN23" i="3"/>
  <c r="CO22" i="3"/>
  <c r="CL22" i="3"/>
  <c r="CM22" i="3"/>
  <c r="CN22" i="3"/>
  <c r="CQ16" i="3"/>
  <c r="CP16" i="3"/>
  <c r="CR16" i="3"/>
  <c r="CS16" i="3"/>
  <c r="CP12" i="3"/>
  <c r="CR12" i="3"/>
  <c r="CQ12" i="3"/>
  <c r="CS12" i="3"/>
  <c r="CO31" i="3"/>
  <c r="CM31" i="3"/>
  <c r="CN31" i="3"/>
  <c r="CL31" i="3"/>
  <c r="CO32" i="3"/>
  <c r="CL32" i="3"/>
  <c r="CM32" i="3"/>
  <c r="CN32" i="3"/>
  <c r="CP10" i="3"/>
  <c r="CR10" i="3"/>
  <c r="CS10" i="3"/>
  <c r="CQ10" i="3"/>
  <c r="CM15" i="3"/>
  <c r="CL15" i="3"/>
  <c r="CN15" i="3"/>
  <c r="CO15" i="3"/>
  <c r="CL11" i="3"/>
  <c r="CM11" i="3"/>
  <c r="CN11" i="3"/>
  <c r="CO11" i="3"/>
  <c r="CQ28" i="3"/>
  <c r="CR28" i="3"/>
  <c r="CS28" i="3"/>
  <c r="CP28" i="3"/>
  <c r="BN8" i="3"/>
  <c r="BQ8" i="3"/>
  <c r="BP8" i="3"/>
  <c r="BO8" i="3"/>
  <c r="J7" i="9"/>
  <c r="J9" i="9" s="1"/>
  <c r="J10" i="9" s="1"/>
  <c r="CX27" i="3" l="1"/>
  <c r="CY27" i="3"/>
  <c r="CZ27" i="3"/>
  <c r="DA27" i="3"/>
  <c r="CT26" i="3"/>
  <c r="CU26" i="3"/>
  <c r="CV26" i="3"/>
  <c r="CW26" i="3"/>
  <c r="CM25" i="3"/>
  <c r="CN25" i="3"/>
  <c r="CO25" i="3"/>
  <c r="CL25" i="3"/>
  <c r="CM30" i="3"/>
  <c r="CL30" i="3"/>
  <c r="CO30" i="3"/>
  <c r="CN30" i="3"/>
  <c r="CQ17" i="3"/>
  <c r="CP17" i="3"/>
  <c r="CR17" i="3"/>
  <c r="CS17" i="3"/>
  <c r="CN21" i="3"/>
  <c r="CL21" i="3"/>
  <c r="CO21" i="3"/>
  <c r="CM21" i="3"/>
  <c r="CL29" i="3"/>
  <c r="CM29" i="3"/>
  <c r="CO29" i="3"/>
  <c r="CN29" i="3"/>
  <c r="CQ24" i="3"/>
  <c r="CP24" i="3"/>
  <c r="CS24" i="3"/>
  <c r="CR24" i="3"/>
  <c r="CL20" i="3"/>
  <c r="CN20" i="3"/>
  <c r="CM20" i="3"/>
  <c r="CO20" i="3"/>
  <c r="CR13" i="3"/>
  <c r="CS13" i="3"/>
  <c r="CP13" i="3"/>
  <c r="CQ13" i="3"/>
  <c r="CR15" i="3"/>
  <c r="CP15" i="3"/>
  <c r="CQ15" i="3"/>
  <c r="CS15" i="3"/>
  <c r="CR19" i="3"/>
  <c r="CS19" i="3"/>
  <c r="CP19" i="3"/>
  <c r="CQ19" i="3"/>
  <c r="CP22" i="3"/>
  <c r="CQ22" i="3"/>
  <c r="CR22" i="3"/>
  <c r="CS22" i="3"/>
  <c r="CP11" i="3"/>
  <c r="CQ11" i="3"/>
  <c r="CR11" i="3"/>
  <c r="CS11" i="3"/>
  <c r="CU16" i="3"/>
  <c r="CT16" i="3"/>
  <c r="CV16" i="3"/>
  <c r="CW16" i="3"/>
  <c r="CU18" i="3"/>
  <c r="CW18" i="3"/>
  <c r="CT18" i="3"/>
  <c r="CV18" i="3"/>
  <c r="CW9" i="3"/>
  <c r="CT9" i="3"/>
  <c r="CU9" i="3"/>
  <c r="CV9" i="3"/>
  <c r="CP14" i="3"/>
  <c r="CS14" i="3"/>
  <c r="CQ14" i="3"/>
  <c r="CR14" i="3"/>
  <c r="CW28" i="3"/>
  <c r="CT28" i="3"/>
  <c r="CU28" i="3"/>
  <c r="CV28" i="3"/>
  <c r="CV10" i="3"/>
  <c r="CT10" i="3"/>
  <c r="CU10" i="3"/>
  <c r="CW10" i="3"/>
  <c r="CQ31" i="3"/>
  <c r="CR31" i="3"/>
  <c r="CS31" i="3"/>
  <c r="CP31" i="3"/>
  <c r="CV12" i="3"/>
  <c r="CW12" i="3"/>
  <c r="CT12" i="3"/>
  <c r="CU12" i="3"/>
  <c r="CR32" i="3"/>
  <c r="CS32" i="3"/>
  <c r="CQ32" i="3"/>
  <c r="CP32" i="3"/>
  <c r="CP23" i="3"/>
  <c r="CQ23" i="3"/>
  <c r="CR23" i="3"/>
  <c r="CS23" i="3"/>
  <c r="BS8" i="3"/>
  <c r="BT8" i="3"/>
  <c r="BR8" i="3"/>
  <c r="BU8" i="3"/>
  <c r="F7" i="10"/>
  <c r="CX26" i="3" l="1"/>
  <c r="CY26" i="3"/>
  <c r="CZ26" i="3"/>
  <c r="DA26" i="3"/>
  <c r="DD27" i="3"/>
  <c r="DE27" i="3"/>
  <c r="DB27" i="3"/>
  <c r="DC27" i="3"/>
  <c r="CT24" i="3"/>
  <c r="CU24" i="3"/>
  <c r="CV24" i="3"/>
  <c r="CW24" i="3"/>
  <c r="CQ20" i="3"/>
  <c r="CR20" i="3"/>
  <c r="CP20" i="3"/>
  <c r="CS20" i="3"/>
  <c r="CV17" i="3"/>
  <c r="CU17" i="3"/>
  <c r="CT17" i="3"/>
  <c r="CW17" i="3"/>
  <c r="CR21" i="3"/>
  <c r="CS21" i="3"/>
  <c r="CQ21" i="3"/>
  <c r="CP21" i="3"/>
  <c r="CR29" i="3"/>
  <c r="CP29" i="3"/>
  <c r="CQ29" i="3"/>
  <c r="CS29" i="3"/>
  <c r="CR25" i="3"/>
  <c r="CS25" i="3"/>
  <c r="CP25" i="3"/>
  <c r="CQ25" i="3"/>
  <c r="CQ30" i="3"/>
  <c r="CR30" i="3"/>
  <c r="CS30" i="3"/>
  <c r="CP30" i="3"/>
  <c r="CV13" i="3"/>
  <c r="CW13" i="3"/>
  <c r="CU13" i="3"/>
  <c r="CT13" i="3"/>
  <c r="CW23" i="3"/>
  <c r="CT23" i="3"/>
  <c r="CU23" i="3"/>
  <c r="CV23" i="3"/>
  <c r="CW22" i="3"/>
  <c r="CU22" i="3"/>
  <c r="CV22" i="3"/>
  <c r="CT22" i="3"/>
  <c r="CZ28" i="3"/>
  <c r="DA28" i="3"/>
  <c r="CX28" i="3"/>
  <c r="CY28" i="3"/>
  <c r="CX10" i="3"/>
  <c r="CY10" i="3"/>
  <c r="CZ10" i="3"/>
  <c r="DA10" i="3"/>
  <c r="CV14" i="3"/>
  <c r="CU14" i="3"/>
  <c r="CT14" i="3"/>
  <c r="CW14" i="3"/>
  <c r="CU19" i="3"/>
  <c r="CW19" i="3"/>
  <c r="CT19" i="3"/>
  <c r="CV19" i="3"/>
  <c r="CZ16" i="3"/>
  <c r="CX16" i="3"/>
  <c r="CY16" i="3"/>
  <c r="DA16" i="3"/>
  <c r="CW31" i="3"/>
  <c r="CV31" i="3"/>
  <c r="CT31" i="3"/>
  <c r="CU31" i="3"/>
  <c r="CX12" i="3"/>
  <c r="DA12" i="3"/>
  <c r="CY12" i="3"/>
  <c r="CZ12" i="3"/>
  <c r="CX9" i="3"/>
  <c r="CY9" i="3"/>
  <c r="CZ9" i="3"/>
  <c r="DA9" i="3"/>
  <c r="CT11" i="3"/>
  <c r="CV11" i="3"/>
  <c r="CW11" i="3"/>
  <c r="CU11" i="3"/>
  <c r="CU15" i="3"/>
  <c r="CT15" i="3"/>
  <c r="CV15" i="3"/>
  <c r="CW15" i="3"/>
  <c r="CW32" i="3"/>
  <c r="CU32" i="3"/>
  <c r="CV32" i="3"/>
  <c r="CT32" i="3"/>
  <c r="CX18" i="3"/>
  <c r="CY18" i="3"/>
  <c r="CZ18" i="3"/>
  <c r="DA18" i="3"/>
  <c r="BV8" i="3"/>
  <c r="BX8" i="3"/>
  <c r="BW8" i="3"/>
  <c r="BY8" i="3"/>
  <c r="B11" i="7"/>
  <c r="E11" i="7" s="1"/>
  <c r="EY14" i="14"/>
  <c r="DF27" i="3" l="1"/>
  <c r="DG27" i="3"/>
  <c r="DH27" i="3"/>
  <c r="DI27" i="3"/>
  <c r="DB26" i="3"/>
  <c r="DC26" i="3"/>
  <c r="DD26" i="3"/>
  <c r="DE26" i="3"/>
  <c r="CV25" i="3"/>
  <c r="CW25" i="3"/>
  <c r="CT25" i="3"/>
  <c r="CU25" i="3"/>
  <c r="CU29" i="3"/>
  <c r="CT29" i="3"/>
  <c r="CV29" i="3"/>
  <c r="CW29" i="3"/>
  <c r="CY17" i="3"/>
  <c r="CX17" i="3"/>
  <c r="CZ17" i="3"/>
  <c r="DA17" i="3"/>
  <c r="CX24" i="3"/>
  <c r="DA24" i="3"/>
  <c r="CZ24" i="3"/>
  <c r="CY24" i="3"/>
  <c r="CY13" i="3"/>
  <c r="DA13" i="3"/>
  <c r="CX13" i="3"/>
  <c r="CZ13" i="3"/>
  <c r="CT30" i="3"/>
  <c r="CU30" i="3"/>
  <c r="CW30" i="3"/>
  <c r="CV30" i="3"/>
  <c r="CU20" i="3"/>
  <c r="CV20" i="3"/>
  <c r="CT20" i="3"/>
  <c r="CW20" i="3"/>
  <c r="CV21" i="3"/>
  <c r="CT21" i="3"/>
  <c r="CW21" i="3"/>
  <c r="CU21" i="3"/>
  <c r="DE10" i="3"/>
  <c r="DB10" i="3"/>
  <c r="DC10" i="3"/>
  <c r="DD10" i="3"/>
  <c r="DB12" i="3"/>
  <c r="DC12" i="3"/>
  <c r="DD12" i="3"/>
  <c r="DE12" i="3"/>
  <c r="CX32" i="3"/>
  <c r="CY32" i="3"/>
  <c r="CZ32" i="3"/>
  <c r="DA32" i="3"/>
  <c r="DA15" i="3"/>
  <c r="CZ15" i="3"/>
  <c r="CX15" i="3"/>
  <c r="CY15" i="3"/>
  <c r="CX19" i="3"/>
  <c r="CY19" i="3"/>
  <c r="CZ19" i="3"/>
  <c r="DA19" i="3"/>
  <c r="CX14" i="3"/>
  <c r="CZ14" i="3"/>
  <c r="DA14" i="3"/>
  <c r="CY14" i="3"/>
  <c r="CX11" i="3"/>
  <c r="CY11" i="3"/>
  <c r="CZ11" i="3"/>
  <c r="DA11" i="3"/>
  <c r="DE28" i="3"/>
  <c r="DB28" i="3"/>
  <c r="DD28" i="3"/>
  <c r="DC28" i="3"/>
  <c r="DC18" i="3"/>
  <c r="DE18" i="3"/>
  <c r="DB18" i="3"/>
  <c r="DD18" i="3"/>
  <c r="DE9" i="3"/>
  <c r="DD9" i="3"/>
  <c r="DB9" i="3"/>
  <c r="DC9" i="3"/>
  <c r="DC16" i="3"/>
  <c r="DB16" i="3"/>
  <c r="DD16" i="3"/>
  <c r="DE16" i="3"/>
  <c r="CX31" i="3"/>
  <c r="CY31" i="3"/>
  <c r="DA31" i="3"/>
  <c r="CZ31" i="3"/>
  <c r="CX22" i="3"/>
  <c r="CY22" i="3"/>
  <c r="CZ22" i="3"/>
  <c r="DA22" i="3"/>
  <c r="CZ23" i="3"/>
  <c r="DA23" i="3"/>
  <c r="CY23" i="3"/>
  <c r="CX23" i="3"/>
  <c r="CC8" i="3"/>
  <c r="BZ8" i="3"/>
  <c r="CA8" i="3"/>
  <c r="CB8" i="3"/>
  <c r="G15" i="14"/>
  <c r="I13" i="10"/>
  <c r="G12" i="7"/>
  <c r="D19" i="4"/>
  <c r="D20" i="4"/>
  <c r="D21" i="4"/>
  <c r="D22" i="4"/>
  <c r="D23" i="4"/>
  <c r="D24" i="4"/>
  <c r="D25" i="4"/>
  <c r="D26" i="4"/>
  <c r="D27" i="4"/>
  <c r="D28" i="4"/>
  <c r="D29" i="4"/>
  <c r="D18" i="4"/>
  <c r="C19" i="4"/>
  <c r="C20" i="4"/>
  <c r="C21" i="4"/>
  <c r="C22" i="4"/>
  <c r="C23" i="4"/>
  <c r="C24" i="4"/>
  <c r="C25" i="4"/>
  <c r="C26" i="4"/>
  <c r="C27" i="4"/>
  <c r="C28" i="4"/>
  <c r="C29" i="4"/>
  <c r="C18" i="4"/>
  <c r="CW16" i="4"/>
  <c r="C8" i="4"/>
  <c r="C9" i="4"/>
  <c r="C10" i="4"/>
  <c r="C11" i="4"/>
  <c r="C12" i="4"/>
  <c r="EY57" i="14"/>
  <c r="EY56" i="14"/>
  <c r="EY55" i="14"/>
  <c r="EY15" i="14"/>
  <c r="EY12" i="14"/>
  <c r="Q4" i="14"/>
  <c r="U4" i="14" s="1"/>
  <c r="Y4" i="14" s="1"/>
  <c r="AC4" i="14" s="1"/>
  <c r="AG4" i="14" s="1"/>
  <c r="AK4" i="14" s="1"/>
  <c r="AO4" i="14" s="1"/>
  <c r="AS4" i="14" s="1"/>
  <c r="AW4" i="14" s="1"/>
  <c r="BA4" i="14" s="1"/>
  <c r="BE4" i="14" s="1"/>
  <c r="BI4" i="14" s="1"/>
  <c r="BM4" i="14" s="1"/>
  <c r="BQ4" i="14" s="1"/>
  <c r="BU4" i="14" s="1"/>
  <c r="BY4" i="14" s="1"/>
  <c r="CC4" i="14" s="1"/>
  <c r="CG4" i="14" s="1"/>
  <c r="CK4" i="14" s="1"/>
  <c r="CO4" i="14" s="1"/>
  <c r="CS4" i="14" s="1"/>
  <c r="CW4" i="14" s="1"/>
  <c r="DA4" i="14" s="1"/>
  <c r="DE4" i="14" s="1"/>
  <c r="DF26" i="3" l="1"/>
  <c r="DG26" i="3"/>
  <c r="DH26" i="3"/>
  <c r="DI26" i="3"/>
  <c r="DJ27" i="3"/>
  <c r="DK27" i="3"/>
  <c r="DL27" i="3"/>
  <c r="DM27" i="3"/>
  <c r="CY29" i="3"/>
  <c r="CZ29" i="3"/>
  <c r="DA29" i="3"/>
  <c r="CX29" i="3"/>
  <c r="DE24" i="3"/>
  <c r="DD24" i="3"/>
  <c r="DC24" i="3"/>
  <c r="DB24" i="3"/>
  <c r="CX20" i="3"/>
  <c r="CY20" i="3"/>
  <c r="CZ20" i="3"/>
  <c r="DA20" i="3"/>
  <c r="DD17" i="3"/>
  <c r="DC17" i="3"/>
  <c r="DB17" i="3"/>
  <c r="DE17" i="3"/>
  <c r="CX21" i="3"/>
  <c r="CY21" i="3"/>
  <c r="CZ21" i="3"/>
  <c r="DA21" i="3"/>
  <c r="CX30" i="3"/>
  <c r="CY30" i="3"/>
  <c r="DA30" i="3"/>
  <c r="CZ30" i="3"/>
  <c r="DB13" i="3"/>
  <c r="DC13" i="3"/>
  <c r="DD13" i="3"/>
  <c r="DE13" i="3"/>
  <c r="DA25" i="3"/>
  <c r="CX25" i="3"/>
  <c r="CY25" i="3"/>
  <c r="CZ25" i="3"/>
  <c r="DC11" i="3"/>
  <c r="DB11" i="3"/>
  <c r="DE11" i="3"/>
  <c r="DD11" i="3"/>
  <c r="DF12" i="3"/>
  <c r="DI12" i="3"/>
  <c r="DH12" i="3"/>
  <c r="DG12" i="3"/>
  <c r="DG18" i="3"/>
  <c r="DH18" i="3"/>
  <c r="DI18" i="3"/>
  <c r="DF18" i="3"/>
  <c r="DE23" i="3"/>
  <c r="DC23" i="3"/>
  <c r="DD23" i="3"/>
  <c r="DB23" i="3"/>
  <c r="DF9" i="3"/>
  <c r="DH9" i="3"/>
  <c r="DI9" i="3"/>
  <c r="DG9" i="3"/>
  <c r="DE22" i="3"/>
  <c r="DD22" i="3"/>
  <c r="DB22" i="3"/>
  <c r="DC22" i="3"/>
  <c r="DI16" i="3"/>
  <c r="DH16" i="3"/>
  <c r="DF16" i="3"/>
  <c r="DG16" i="3"/>
  <c r="DC19" i="3"/>
  <c r="DB19" i="3"/>
  <c r="DD19" i="3"/>
  <c r="DE19" i="3"/>
  <c r="DE32" i="3"/>
  <c r="DD32" i="3"/>
  <c r="DC32" i="3"/>
  <c r="DB32" i="3"/>
  <c r="DE31" i="3"/>
  <c r="DB31" i="3"/>
  <c r="DC31" i="3"/>
  <c r="DD31" i="3"/>
  <c r="DE14" i="3"/>
  <c r="DD14" i="3"/>
  <c r="DB14" i="3"/>
  <c r="DC14" i="3"/>
  <c r="DI28" i="3"/>
  <c r="DF28" i="3"/>
  <c r="DG28" i="3"/>
  <c r="DH28" i="3"/>
  <c r="DC15" i="3"/>
  <c r="DE15" i="3"/>
  <c r="DB15" i="3"/>
  <c r="DD15" i="3"/>
  <c r="DF10" i="3"/>
  <c r="DH10" i="3"/>
  <c r="DI10" i="3"/>
  <c r="DG10" i="3"/>
  <c r="CD8" i="3"/>
  <c r="CG8" i="3"/>
  <c r="CE8" i="3"/>
  <c r="CF8" i="3"/>
  <c r="EV14" i="4"/>
  <c r="CR16" i="4"/>
  <c r="CU16" i="4"/>
  <c r="CX16" i="4"/>
  <c r="CV16" i="4"/>
  <c r="CY16" i="4"/>
  <c r="CT16" i="4"/>
  <c r="CS16" i="4"/>
  <c r="DN27" i="3" l="1"/>
  <c r="DO27" i="3"/>
  <c r="DP27" i="3"/>
  <c r="DQ27" i="3"/>
  <c r="DM26" i="3"/>
  <c r="DJ26" i="3"/>
  <c r="DK26" i="3"/>
  <c r="DL26" i="3"/>
  <c r="DE30" i="3"/>
  <c r="DB30" i="3"/>
  <c r="DC30" i="3"/>
  <c r="DD30" i="3"/>
  <c r="DD25" i="3"/>
  <c r="DE25" i="3"/>
  <c r="DB25" i="3"/>
  <c r="DC25" i="3"/>
  <c r="DI24" i="3"/>
  <c r="DG24" i="3"/>
  <c r="DH24" i="3"/>
  <c r="DF24" i="3"/>
  <c r="DH13" i="3"/>
  <c r="DG13" i="3"/>
  <c r="DF13" i="3"/>
  <c r="DI13" i="3"/>
  <c r="DE21" i="3"/>
  <c r="DD21" i="3"/>
  <c r="DC21" i="3"/>
  <c r="DB21" i="3"/>
  <c r="DE20" i="3"/>
  <c r="DD20" i="3"/>
  <c r="DC20" i="3"/>
  <c r="DB20" i="3"/>
  <c r="DH17" i="3"/>
  <c r="DG17" i="3"/>
  <c r="DI17" i="3"/>
  <c r="DF17" i="3"/>
  <c r="DE29" i="3"/>
  <c r="DB29" i="3"/>
  <c r="DC29" i="3"/>
  <c r="DD29" i="3"/>
  <c r="DL10" i="3"/>
  <c r="DM10" i="3"/>
  <c r="DJ10" i="3"/>
  <c r="DK10" i="3"/>
  <c r="DK18" i="3"/>
  <c r="DJ18" i="3"/>
  <c r="DL18" i="3"/>
  <c r="DM18" i="3"/>
  <c r="DM28" i="3"/>
  <c r="DJ28" i="3"/>
  <c r="DK28" i="3"/>
  <c r="DL28" i="3"/>
  <c r="DF23" i="3"/>
  <c r="DG23" i="3"/>
  <c r="DH23" i="3"/>
  <c r="DI23" i="3"/>
  <c r="DF15" i="3"/>
  <c r="DG15" i="3"/>
  <c r="DH15" i="3"/>
  <c r="DI15" i="3"/>
  <c r="DJ12" i="3"/>
  <c r="DK12" i="3"/>
  <c r="DL12" i="3"/>
  <c r="DM12" i="3"/>
  <c r="DF19" i="3"/>
  <c r="DG19" i="3"/>
  <c r="DH19" i="3"/>
  <c r="DI19" i="3"/>
  <c r="DF11" i="3"/>
  <c r="DG11" i="3"/>
  <c r="DH11" i="3"/>
  <c r="DI11" i="3"/>
  <c r="DF31" i="3"/>
  <c r="DG31" i="3"/>
  <c r="DH31" i="3"/>
  <c r="DI31" i="3"/>
  <c r="DF22" i="3"/>
  <c r="DG22" i="3"/>
  <c r="DH22" i="3"/>
  <c r="DI22" i="3"/>
  <c r="DJ9" i="3"/>
  <c r="DK9" i="3"/>
  <c r="DL9" i="3"/>
  <c r="DM9" i="3"/>
  <c r="DF14" i="3"/>
  <c r="DG14" i="3"/>
  <c r="DH14" i="3"/>
  <c r="DI14" i="3"/>
  <c r="DF32" i="3"/>
  <c r="DG32" i="3"/>
  <c r="DH32" i="3"/>
  <c r="DI32" i="3"/>
  <c r="DK16" i="3"/>
  <c r="DJ16" i="3"/>
  <c r="DL16" i="3"/>
  <c r="DM16" i="3"/>
  <c r="CJ8" i="3"/>
  <c r="CK8" i="3"/>
  <c r="CH8" i="3"/>
  <c r="CI8" i="3"/>
  <c r="EW11" i="14"/>
  <c r="DR27" i="3" l="1"/>
  <c r="DS27" i="3"/>
  <c r="DT27" i="3"/>
  <c r="DU27" i="3"/>
  <c r="DN26" i="3"/>
  <c r="DO26" i="3"/>
  <c r="DP26" i="3"/>
  <c r="DQ26" i="3"/>
  <c r="DG25" i="3"/>
  <c r="DH25" i="3"/>
  <c r="DF25" i="3"/>
  <c r="DI25" i="3"/>
  <c r="DH20" i="3"/>
  <c r="DI20" i="3"/>
  <c r="DF20" i="3"/>
  <c r="DG20" i="3"/>
  <c r="DM17" i="3"/>
  <c r="DL17" i="3"/>
  <c r="DJ17" i="3"/>
  <c r="DK17" i="3"/>
  <c r="DJ13" i="3"/>
  <c r="DK13" i="3"/>
  <c r="DL13" i="3"/>
  <c r="DM13" i="3"/>
  <c r="DF29" i="3"/>
  <c r="DH29" i="3"/>
  <c r="DI29" i="3"/>
  <c r="DG29" i="3"/>
  <c r="DF21" i="3"/>
  <c r="DG21" i="3"/>
  <c r="DH21" i="3"/>
  <c r="DI21" i="3"/>
  <c r="DL24" i="3"/>
  <c r="DM24" i="3"/>
  <c r="DK24" i="3"/>
  <c r="DJ24" i="3"/>
  <c r="DF30" i="3"/>
  <c r="DG30" i="3"/>
  <c r="DH30" i="3"/>
  <c r="DI30" i="3"/>
  <c r="DJ14" i="3"/>
  <c r="DK14" i="3"/>
  <c r="DM14" i="3"/>
  <c r="DL14" i="3"/>
  <c r="DL11" i="3"/>
  <c r="DK11" i="3"/>
  <c r="DM11" i="3"/>
  <c r="DJ11" i="3"/>
  <c r="DM32" i="3"/>
  <c r="DJ32" i="3"/>
  <c r="DK32" i="3"/>
  <c r="DL32" i="3"/>
  <c r="DN9" i="3"/>
  <c r="DQ9" i="3"/>
  <c r="DO9" i="3"/>
  <c r="DP9" i="3"/>
  <c r="DM31" i="3"/>
  <c r="DJ31" i="3"/>
  <c r="DL31" i="3"/>
  <c r="DK31" i="3"/>
  <c r="DK15" i="3"/>
  <c r="DJ15" i="3"/>
  <c r="DL15" i="3"/>
  <c r="DM15" i="3"/>
  <c r="DN16" i="3"/>
  <c r="DO16" i="3"/>
  <c r="DP16" i="3"/>
  <c r="DQ16" i="3"/>
  <c r="DM22" i="3"/>
  <c r="DJ22" i="3"/>
  <c r="DK22" i="3"/>
  <c r="DL22" i="3"/>
  <c r="DN12" i="3"/>
  <c r="DO12" i="3"/>
  <c r="DP12" i="3"/>
  <c r="DQ12" i="3"/>
  <c r="DP18" i="3"/>
  <c r="DN18" i="3"/>
  <c r="DO18" i="3"/>
  <c r="DQ18" i="3"/>
  <c r="DQ28" i="3"/>
  <c r="DN28" i="3"/>
  <c r="DP28" i="3"/>
  <c r="DO28" i="3"/>
  <c r="DK19" i="3"/>
  <c r="DM19" i="3"/>
  <c r="DL19" i="3"/>
  <c r="DJ19" i="3"/>
  <c r="DM23" i="3"/>
  <c r="DL23" i="3"/>
  <c r="DK23" i="3"/>
  <c r="DJ23" i="3"/>
  <c r="DN10" i="3"/>
  <c r="DO10" i="3"/>
  <c r="DP10" i="3"/>
  <c r="DQ10" i="3"/>
  <c r="CL8" i="3"/>
  <c r="CO8" i="3"/>
  <c r="CM8" i="3"/>
  <c r="CN8" i="3"/>
  <c r="FA11" i="14"/>
  <c r="EZ11" i="14"/>
  <c r="DR26" i="3" l="1"/>
  <c r="DS26" i="3"/>
  <c r="DT26" i="3"/>
  <c r="DU26" i="3"/>
  <c r="DV27" i="3"/>
  <c r="DW27" i="3"/>
  <c r="DX27" i="3"/>
  <c r="DY27" i="3"/>
  <c r="DN13" i="3"/>
  <c r="DQ13" i="3"/>
  <c r="DO13" i="3"/>
  <c r="DP13" i="3"/>
  <c r="DL25" i="3"/>
  <c r="DM25" i="3"/>
  <c r="DJ25" i="3"/>
  <c r="DK25" i="3"/>
  <c r="DJ21" i="3"/>
  <c r="DK21" i="3"/>
  <c r="DM21" i="3"/>
  <c r="DL21" i="3"/>
  <c r="DK20" i="3"/>
  <c r="DJ20" i="3"/>
  <c r="DL20" i="3"/>
  <c r="DM20" i="3"/>
  <c r="DM29" i="3"/>
  <c r="DJ29" i="3"/>
  <c r="DK29" i="3"/>
  <c r="DL29" i="3"/>
  <c r="DO24" i="3"/>
  <c r="DN24" i="3"/>
  <c r="DP24" i="3"/>
  <c r="DQ24" i="3"/>
  <c r="DL30" i="3"/>
  <c r="DK30" i="3"/>
  <c r="DJ30" i="3"/>
  <c r="DM30" i="3"/>
  <c r="DO17" i="3"/>
  <c r="DP17" i="3"/>
  <c r="DN17" i="3"/>
  <c r="DQ17" i="3"/>
  <c r="DN23" i="3"/>
  <c r="DO23" i="3"/>
  <c r="DP23" i="3"/>
  <c r="DQ23" i="3"/>
  <c r="DN22" i="3"/>
  <c r="DO22" i="3"/>
  <c r="DP22" i="3"/>
  <c r="DQ22" i="3"/>
  <c r="DN32" i="3"/>
  <c r="DO32" i="3"/>
  <c r="DQ32" i="3"/>
  <c r="DP32" i="3"/>
  <c r="DT10" i="3"/>
  <c r="DU10" i="3"/>
  <c r="DR10" i="3"/>
  <c r="DS10" i="3"/>
  <c r="DS16" i="3"/>
  <c r="DR16" i="3"/>
  <c r="DT16" i="3"/>
  <c r="DU16" i="3"/>
  <c r="DO19" i="3"/>
  <c r="DN19" i="3"/>
  <c r="DP19" i="3"/>
  <c r="DQ19" i="3"/>
  <c r="DS18" i="3"/>
  <c r="DR18" i="3"/>
  <c r="DT18" i="3"/>
  <c r="DU18" i="3"/>
  <c r="DN11" i="3"/>
  <c r="DQ11" i="3"/>
  <c r="DO11" i="3"/>
  <c r="DP11" i="3"/>
  <c r="DU28" i="3"/>
  <c r="DR28" i="3"/>
  <c r="DS28" i="3"/>
  <c r="DT28" i="3"/>
  <c r="DO31" i="3"/>
  <c r="DP31" i="3"/>
  <c r="DN31" i="3"/>
  <c r="DQ31" i="3"/>
  <c r="DS12" i="3"/>
  <c r="DT12" i="3"/>
  <c r="DU12" i="3"/>
  <c r="DR12" i="3"/>
  <c r="DO15" i="3"/>
  <c r="DP15" i="3"/>
  <c r="DQ15" i="3"/>
  <c r="DN15" i="3"/>
  <c r="DN14" i="3"/>
  <c r="DO14" i="3"/>
  <c r="DQ14" i="3"/>
  <c r="DP14" i="3"/>
  <c r="DS9" i="3"/>
  <c r="DT9" i="3"/>
  <c r="DU9" i="3"/>
  <c r="DR9" i="3"/>
  <c r="CS8" i="3"/>
  <c r="CP8" i="3"/>
  <c r="CR8" i="3"/>
  <c r="CQ8" i="3"/>
  <c r="ET56" i="3"/>
  <c r="ET55" i="3"/>
  <c r="ET54" i="3"/>
  <c r="ET53" i="3"/>
  <c r="ET52" i="3"/>
  <c r="ET51" i="3"/>
  <c r="EC27" i="3" l="1"/>
  <c r="DZ27" i="3"/>
  <c r="EA27" i="3"/>
  <c r="EB27" i="3"/>
  <c r="DV26" i="3"/>
  <c r="DW26" i="3"/>
  <c r="DX26" i="3"/>
  <c r="DY26" i="3"/>
  <c r="DP30" i="3"/>
  <c r="DQ30" i="3"/>
  <c r="DN30" i="3"/>
  <c r="DO30" i="3"/>
  <c r="DS17" i="3"/>
  <c r="DR17" i="3"/>
  <c r="DT17" i="3"/>
  <c r="DU17" i="3"/>
  <c r="DO21" i="3"/>
  <c r="DP21" i="3"/>
  <c r="DQ21" i="3"/>
  <c r="DN21" i="3"/>
  <c r="DU24" i="3"/>
  <c r="DT24" i="3"/>
  <c r="DS24" i="3"/>
  <c r="DR24" i="3"/>
  <c r="DN25" i="3"/>
  <c r="DO25" i="3"/>
  <c r="DP25" i="3"/>
  <c r="DQ25" i="3"/>
  <c r="DS13" i="3"/>
  <c r="DT13" i="3"/>
  <c r="DR13" i="3"/>
  <c r="DU13" i="3"/>
  <c r="DN20" i="3"/>
  <c r="DO20" i="3"/>
  <c r="DP20" i="3"/>
  <c r="DQ20" i="3"/>
  <c r="DO29" i="3"/>
  <c r="DP29" i="3"/>
  <c r="DQ29" i="3"/>
  <c r="DN29" i="3"/>
  <c r="DY18" i="3"/>
  <c r="DW18" i="3"/>
  <c r="DX18" i="3"/>
  <c r="DV18" i="3"/>
  <c r="DU23" i="3"/>
  <c r="DR23" i="3"/>
  <c r="DS23" i="3"/>
  <c r="DT23" i="3"/>
  <c r="DV9" i="3"/>
  <c r="DW9" i="3"/>
  <c r="DX9" i="3"/>
  <c r="DY9" i="3"/>
  <c r="DV10" i="3"/>
  <c r="DX10" i="3"/>
  <c r="DW10" i="3"/>
  <c r="DY10" i="3"/>
  <c r="DU31" i="3"/>
  <c r="DR31" i="3"/>
  <c r="DS31" i="3"/>
  <c r="DT31" i="3"/>
  <c r="DU22" i="3"/>
  <c r="DR22" i="3"/>
  <c r="DS22" i="3"/>
  <c r="DT22" i="3"/>
  <c r="DV12" i="3"/>
  <c r="DY12" i="3"/>
  <c r="DW12" i="3"/>
  <c r="DX12" i="3"/>
  <c r="DU32" i="3"/>
  <c r="DR32" i="3"/>
  <c r="DS32" i="3"/>
  <c r="DT32" i="3"/>
  <c r="DV16" i="3"/>
  <c r="DX16" i="3"/>
  <c r="DY16" i="3"/>
  <c r="DW16" i="3"/>
  <c r="DS15" i="3"/>
  <c r="DT15" i="3"/>
  <c r="DR15" i="3"/>
  <c r="DU15" i="3"/>
  <c r="DV28" i="3"/>
  <c r="DW28" i="3"/>
  <c r="DX28" i="3"/>
  <c r="DY28" i="3"/>
  <c r="DS19" i="3"/>
  <c r="DR19" i="3"/>
  <c r="DT19" i="3"/>
  <c r="DU19" i="3"/>
  <c r="DR14" i="3"/>
  <c r="DS14" i="3"/>
  <c r="DT14" i="3"/>
  <c r="DU14" i="3"/>
  <c r="DU11" i="3"/>
  <c r="DR11" i="3"/>
  <c r="DS11" i="3"/>
  <c r="DT11" i="3"/>
  <c r="CT8" i="3"/>
  <c r="CW8" i="3"/>
  <c r="CU8" i="3"/>
  <c r="CV8" i="3"/>
  <c r="I4" i="5"/>
  <c r="J4" i="5" s="1"/>
  <c r="EA26" i="3" l="1"/>
  <c r="EB26" i="3"/>
  <c r="EC26" i="3"/>
  <c r="DZ26" i="3"/>
  <c r="ED27" i="3"/>
  <c r="EE27" i="3"/>
  <c r="EF27" i="3"/>
  <c r="EG27" i="3"/>
  <c r="DV24" i="3"/>
  <c r="DX24" i="3"/>
  <c r="DY24" i="3"/>
  <c r="DW24" i="3"/>
  <c r="DS20" i="3"/>
  <c r="DR20" i="3"/>
  <c r="DT20" i="3"/>
  <c r="DU20" i="3"/>
  <c r="DS25" i="3"/>
  <c r="DR25" i="3"/>
  <c r="DU25" i="3"/>
  <c r="DT25" i="3"/>
  <c r="DR29" i="3"/>
  <c r="DS29" i="3"/>
  <c r="DU29" i="3"/>
  <c r="DT29" i="3"/>
  <c r="DS21" i="3"/>
  <c r="DU21" i="3"/>
  <c r="DT21" i="3"/>
  <c r="DR21" i="3"/>
  <c r="DV13" i="3"/>
  <c r="DW13" i="3"/>
  <c r="DX13" i="3"/>
  <c r="DY13" i="3"/>
  <c r="DU30" i="3"/>
  <c r="DR30" i="3"/>
  <c r="DS30" i="3"/>
  <c r="DT30" i="3"/>
  <c r="DY17" i="3"/>
  <c r="DV17" i="3"/>
  <c r="DW17" i="3"/>
  <c r="DX17" i="3"/>
  <c r="DX19" i="3"/>
  <c r="DW19" i="3"/>
  <c r="DY19" i="3"/>
  <c r="DV19" i="3"/>
  <c r="DY15" i="3"/>
  <c r="DV15" i="3"/>
  <c r="DW15" i="3"/>
  <c r="DX15" i="3"/>
  <c r="DZ9" i="3"/>
  <c r="EC9" i="3"/>
  <c r="EB9" i="3"/>
  <c r="EA9" i="3"/>
  <c r="DW32" i="3"/>
  <c r="DX32" i="3"/>
  <c r="DV32" i="3"/>
  <c r="DY32" i="3"/>
  <c r="DX31" i="3"/>
  <c r="DY31" i="3"/>
  <c r="DV31" i="3"/>
  <c r="DW31" i="3"/>
  <c r="DV14" i="3"/>
  <c r="DX14" i="3"/>
  <c r="DW14" i="3"/>
  <c r="DY14" i="3"/>
  <c r="EC28" i="3"/>
  <c r="EA28" i="3"/>
  <c r="EB28" i="3"/>
  <c r="DZ28" i="3"/>
  <c r="DZ10" i="3"/>
  <c r="EC10" i="3"/>
  <c r="EA10" i="3"/>
  <c r="EB10" i="3"/>
  <c r="DW22" i="3"/>
  <c r="DX22" i="3"/>
  <c r="DY22" i="3"/>
  <c r="DV22" i="3"/>
  <c r="EA18" i="3"/>
  <c r="EC18" i="3"/>
  <c r="DZ18" i="3"/>
  <c r="EB18" i="3"/>
  <c r="EA16" i="3"/>
  <c r="EB16" i="3"/>
  <c r="DZ16" i="3"/>
  <c r="EC16" i="3"/>
  <c r="EB12" i="3"/>
  <c r="DZ12" i="3"/>
  <c r="EA12" i="3"/>
  <c r="EC12" i="3"/>
  <c r="DV11" i="3"/>
  <c r="DY11" i="3"/>
  <c r="DW11" i="3"/>
  <c r="DX11" i="3"/>
  <c r="DV23" i="3"/>
  <c r="DW23" i="3"/>
  <c r="DX23" i="3"/>
  <c r="DY23" i="3"/>
  <c r="CX8" i="3"/>
  <c r="CY8" i="3"/>
  <c r="CZ8" i="3"/>
  <c r="DA8" i="3"/>
  <c r="D32" i="5"/>
  <c r="G21" i="7"/>
  <c r="G24" i="7"/>
  <c r="G25" i="7"/>
  <c r="G29" i="7"/>
  <c r="G31" i="7"/>
  <c r="G20" i="7"/>
  <c r="G11" i="7"/>
  <c r="D16" i="10"/>
  <c r="F16" i="10" s="1"/>
  <c r="D14" i="10"/>
  <c r="D12" i="10"/>
  <c r="F12" i="10" s="1"/>
  <c r="D11" i="10"/>
  <c r="F11" i="10" s="1"/>
  <c r="D10" i="10"/>
  <c r="F10" i="10" s="1"/>
  <c r="D9" i="10"/>
  <c r="F9" i="10" s="1"/>
  <c r="F8" i="10"/>
  <c r="C20" i="11"/>
  <c r="C15" i="12"/>
  <c r="C14" i="12"/>
  <c r="C13" i="12"/>
  <c r="F15" i="9"/>
  <c r="C16" i="12" s="1"/>
  <c r="G32" i="7"/>
  <c r="G30" i="7"/>
  <c r="G28" i="7"/>
  <c r="G27" i="7"/>
  <c r="G26" i="7"/>
  <c r="G23" i="7"/>
  <c r="G22" i="7"/>
  <c r="G10" i="7"/>
  <c r="G9" i="7"/>
  <c r="G8" i="7"/>
  <c r="G7" i="7"/>
  <c r="G6" i="7"/>
  <c r="C20" i="12"/>
  <c r="EH27" i="3" l="1"/>
  <c r="EI27" i="3"/>
  <c r="EJ27" i="3"/>
  <c r="EK27" i="3"/>
  <c r="ED26" i="3"/>
  <c r="EE26" i="3"/>
  <c r="EF26" i="3"/>
  <c r="EG26" i="3"/>
  <c r="DZ13" i="3"/>
  <c r="EA13" i="3"/>
  <c r="EB13" i="3"/>
  <c r="EC13" i="3"/>
  <c r="DW20" i="3"/>
  <c r="DX20" i="3"/>
  <c r="DY20" i="3"/>
  <c r="DV20" i="3"/>
  <c r="DX29" i="3"/>
  <c r="DY29" i="3"/>
  <c r="DW29" i="3"/>
  <c r="DV29" i="3"/>
  <c r="EA17" i="3"/>
  <c r="DZ17" i="3"/>
  <c r="EB17" i="3"/>
  <c r="EC17" i="3"/>
  <c r="DV25" i="3"/>
  <c r="DW25" i="3"/>
  <c r="DX25" i="3"/>
  <c r="DY25" i="3"/>
  <c r="DY21" i="3"/>
  <c r="DX21" i="3"/>
  <c r="DV21" i="3"/>
  <c r="DW21" i="3"/>
  <c r="EC24" i="3"/>
  <c r="DZ24" i="3"/>
  <c r="EA24" i="3"/>
  <c r="EB24" i="3"/>
  <c r="DY30" i="3"/>
  <c r="DX30" i="3"/>
  <c r="DV30" i="3"/>
  <c r="DW30" i="3"/>
  <c r="ED12" i="3"/>
  <c r="EE12" i="3"/>
  <c r="EF12" i="3"/>
  <c r="EG12" i="3"/>
  <c r="EC32" i="3"/>
  <c r="EB32" i="3"/>
  <c r="DZ32" i="3"/>
  <c r="EA32" i="3"/>
  <c r="ED18" i="3"/>
  <c r="EE18" i="3"/>
  <c r="EF18" i="3"/>
  <c r="EG18" i="3"/>
  <c r="EA15" i="3"/>
  <c r="EC15" i="3"/>
  <c r="DZ15" i="3"/>
  <c r="EB15" i="3"/>
  <c r="EA14" i="3"/>
  <c r="EC14" i="3"/>
  <c r="DZ14" i="3"/>
  <c r="EB14" i="3"/>
  <c r="ED10" i="3"/>
  <c r="EG10" i="3"/>
  <c r="EE10" i="3"/>
  <c r="EF10" i="3"/>
  <c r="EC31" i="3"/>
  <c r="EA31" i="3"/>
  <c r="EB31" i="3"/>
  <c r="DZ31" i="3"/>
  <c r="ED9" i="3"/>
  <c r="EE9" i="3"/>
  <c r="EF9" i="3"/>
  <c r="EG9" i="3"/>
  <c r="ED16" i="3"/>
  <c r="EE16" i="3"/>
  <c r="EF16" i="3"/>
  <c r="EG16" i="3"/>
  <c r="EA11" i="3"/>
  <c r="EB11" i="3"/>
  <c r="DZ11" i="3"/>
  <c r="EC11" i="3"/>
  <c r="ED28" i="3"/>
  <c r="EG28" i="3"/>
  <c r="EE28" i="3"/>
  <c r="EF28" i="3"/>
  <c r="EC23" i="3"/>
  <c r="EB23" i="3"/>
  <c r="EA23" i="3"/>
  <c r="DZ23" i="3"/>
  <c r="EC22" i="3"/>
  <c r="DZ22" i="3"/>
  <c r="EA22" i="3"/>
  <c r="EB22" i="3"/>
  <c r="EA19" i="3"/>
  <c r="DZ19" i="3"/>
  <c r="EB19" i="3"/>
  <c r="EC19" i="3"/>
  <c r="DB8" i="3"/>
  <c r="DC8" i="3"/>
  <c r="DE8" i="3"/>
  <c r="DD8" i="3"/>
  <c r="F14" i="10"/>
  <c r="D15" i="10"/>
  <c r="F15" i="10" s="1"/>
  <c r="C5" i="12"/>
  <c r="G37" i="7"/>
  <c r="G18" i="7"/>
  <c r="I16" i="4"/>
  <c r="J16" i="4"/>
  <c r="H16" i="4"/>
  <c r="K16" i="4"/>
  <c r="EH26" i="3" l="1"/>
  <c r="EI26" i="3"/>
  <c r="EJ26" i="3"/>
  <c r="EK26" i="3"/>
  <c r="EL27" i="3"/>
  <c r="EM27" i="3"/>
  <c r="EN27" i="3"/>
  <c r="EO27" i="3"/>
  <c r="EA20" i="3"/>
  <c r="EB20" i="3"/>
  <c r="EC20" i="3"/>
  <c r="DZ20" i="3"/>
  <c r="EC30" i="3"/>
  <c r="DZ30" i="3"/>
  <c r="EA30" i="3"/>
  <c r="EB30" i="3"/>
  <c r="EC29" i="3"/>
  <c r="DZ29" i="3"/>
  <c r="EA29" i="3"/>
  <c r="EB29" i="3"/>
  <c r="EG17" i="3"/>
  <c r="ED17" i="3"/>
  <c r="EE17" i="3"/>
  <c r="EF17" i="3"/>
  <c r="EC21" i="3"/>
  <c r="DZ21" i="3"/>
  <c r="EA21" i="3"/>
  <c r="EB21" i="3"/>
  <c r="EC25" i="3"/>
  <c r="EB25" i="3"/>
  <c r="DZ25" i="3"/>
  <c r="EA25" i="3"/>
  <c r="ED13" i="3"/>
  <c r="EG13" i="3"/>
  <c r="EE13" i="3"/>
  <c r="EF13" i="3"/>
  <c r="ED24" i="3"/>
  <c r="EE24" i="3"/>
  <c r="EF24" i="3"/>
  <c r="EG24" i="3"/>
  <c r="EG19" i="3"/>
  <c r="ED19" i="3"/>
  <c r="EE19" i="3"/>
  <c r="EF19" i="3"/>
  <c r="ED11" i="3"/>
  <c r="EE11" i="3"/>
  <c r="EF11" i="3"/>
  <c r="EG11" i="3"/>
  <c r="EI9" i="3"/>
  <c r="EH9" i="3"/>
  <c r="EJ9" i="3"/>
  <c r="EK9" i="3"/>
  <c r="EH10" i="3"/>
  <c r="EI10" i="3"/>
  <c r="EJ10" i="3"/>
  <c r="EK10" i="3"/>
  <c r="EG15" i="3"/>
  <c r="ED15" i="3"/>
  <c r="EF15" i="3"/>
  <c r="EE15" i="3"/>
  <c r="EK12" i="3"/>
  <c r="EH12" i="3"/>
  <c r="EI12" i="3"/>
  <c r="EJ12" i="3"/>
  <c r="EI16" i="3"/>
  <c r="EK16" i="3"/>
  <c r="EH16" i="3"/>
  <c r="EJ16" i="3"/>
  <c r="ED14" i="3"/>
  <c r="EG14" i="3"/>
  <c r="EE14" i="3"/>
  <c r="EF14" i="3"/>
  <c r="EE23" i="3"/>
  <c r="EF23" i="3"/>
  <c r="EG23" i="3"/>
  <c r="ED23" i="3"/>
  <c r="EF32" i="3"/>
  <c r="EG32" i="3"/>
  <c r="ED32" i="3"/>
  <c r="EE32" i="3"/>
  <c r="EI18" i="3"/>
  <c r="EH18" i="3"/>
  <c r="EJ18" i="3"/>
  <c r="EK18" i="3"/>
  <c r="EK28" i="3"/>
  <c r="EJ28" i="3"/>
  <c r="EH28" i="3"/>
  <c r="EI28" i="3"/>
  <c r="EF22" i="3"/>
  <c r="EG22" i="3"/>
  <c r="EE22" i="3"/>
  <c r="ED22" i="3"/>
  <c r="EG31" i="3"/>
  <c r="ED31" i="3"/>
  <c r="EE31" i="3"/>
  <c r="EF31" i="3"/>
  <c r="DG8" i="3"/>
  <c r="DF8" i="3"/>
  <c r="DH8" i="3"/>
  <c r="DI8" i="3"/>
  <c r="I8" i="12"/>
  <c r="H34" i="4"/>
  <c r="H35" i="4" s="1"/>
  <c r="I34" i="4"/>
  <c r="I35" i="4" s="1"/>
  <c r="EQ27" i="3" l="1"/>
  <c r="ER27" i="3"/>
  <c r="ES27" i="3"/>
  <c r="EP27" i="3"/>
  <c r="EL26" i="3"/>
  <c r="EM26" i="3"/>
  <c r="EN26" i="3"/>
  <c r="EO26" i="3"/>
  <c r="EK24" i="3"/>
  <c r="EJ24" i="3"/>
  <c r="EH24" i="3"/>
  <c r="EI24" i="3"/>
  <c r="ED30" i="3"/>
  <c r="EE30" i="3"/>
  <c r="EF30" i="3"/>
  <c r="EG30" i="3"/>
  <c r="EF20" i="3"/>
  <c r="EE20" i="3"/>
  <c r="ED20" i="3"/>
  <c r="EG20" i="3"/>
  <c r="ED25" i="3"/>
  <c r="EE25" i="3"/>
  <c r="EF25" i="3"/>
  <c r="EG25" i="3"/>
  <c r="EI13" i="3"/>
  <c r="EJ13" i="3"/>
  <c r="EK13" i="3"/>
  <c r="EH13" i="3"/>
  <c r="EI17" i="3"/>
  <c r="EH17" i="3"/>
  <c r="EJ17" i="3"/>
  <c r="EK17" i="3"/>
  <c r="EG21" i="3"/>
  <c r="ED21" i="3"/>
  <c r="EE21" i="3"/>
  <c r="EF21" i="3"/>
  <c r="EE29" i="3"/>
  <c r="EF29" i="3"/>
  <c r="EG29" i="3"/>
  <c r="ED29" i="3"/>
  <c r="EK11" i="3"/>
  <c r="EH11" i="3"/>
  <c r="EI11" i="3"/>
  <c r="EJ11" i="3"/>
  <c r="EK22" i="3"/>
  <c r="EH22" i="3"/>
  <c r="EI22" i="3"/>
  <c r="EJ22" i="3"/>
  <c r="EK14" i="3"/>
  <c r="EJ14" i="3"/>
  <c r="EI14" i="3"/>
  <c r="EH14" i="3"/>
  <c r="EM18" i="3"/>
  <c r="EN18" i="3"/>
  <c r="EO18" i="3"/>
  <c r="EL18" i="3"/>
  <c r="EL10" i="3"/>
  <c r="EM10" i="3"/>
  <c r="EN10" i="3"/>
  <c r="EO10" i="3"/>
  <c r="EK23" i="3"/>
  <c r="EH23" i="3"/>
  <c r="EI23" i="3"/>
  <c r="EJ23" i="3"/>
  <c r="EN16" i="3"/>
  <c r="EO16" i="3"/>
  <c r="EM16" i="3"/>
  <c r="EL16" i="3"/>
  <c r="EL12" i="3"/>
  <c r="EO12" i="3"/>
  <c r="EM12" i="3"/>
  <c r="EN12" i="3"/>
  <c r="EL9" i="3"/>
  <c r="EN9" i="3"/>
  <c r="EO9" i="3"/>
  <c r="EM9" i="3"/>
  <c r="EK32" i="3"/>
  <c r="EH32" i="3"/>
  <c r="EI32" i="3"/>
  <c r="EJ32" i="3"/>
  <c r="EK31" i="3"/>
  <c r="EH31" i="3"/>
  <c r="EI31" i="3"/>
  <c r="EJ31" i="3"/>
  <c r="EL28" i="3"/>
  <c r="EM28" i="3"/>
  <c r="EN28" i="3"/>
  <c r="EO28" i="3"/>
  <c r="EI15" i="3"/>
  <c r="EJ15" i="3"/>
  <c r="EK15" i="3"/>
  <c r="EH15" i="3"/>
  <c r="EI19" i="3"/>
  <c r="EH19" i="3"/>
  <c r="EJ19" i="3"/>
  <c r="EK19" i="3"/>
  <c r="DJ8" i="3"/>
  <c r="DL8" i="3"/>
  <c r="DK8" i="3"/>
  <c r="DM8" i="3"/>
  <c r="I16" i="12"/>
  <c r="J16" i="12" s="1"/>
  <c r="J8" i="12"/>
  <c r="J34" i="4"/>
  <c r="J35" i="4" s="1"/>
  <c r="EP26" i="3" l="1"/>
  <c r="EQ26" i="3"/>
  <c r="ER26" i="3"/>
  <c r="ES26" i="3"/>
  <c r="EK25" i="3"/>
  <c r="EJ25" i="3"/>
  <c r="EH25" i="3"/>
  <c r="EI25" i="3"/>
  <c r="EK29" i="3"/>
  <c r="EI29" i="3"/>
  <c r="EH29" i="3"/>
  <c r="EJ29" i="3"/>
  <c r="EL13" i="3"/>
  <c r="EM13" i="3"/>
  <c r="EN13" i="3"/>
  <c r="EO13" i="3"/>
  <c r="EL17" i="3"/>
  <c r="EM17" i="3"/>
  <c r="EO17" i="3"/>
  <c r="EN17" i="3"/>
  <c r="EK30" i="3"/>
  <c r="EH30" i="3"/>
  <c r="EI30" i="3"/>
  <c r="EJ30" i="3"/>
  <c r="EH20" i="3"/>
  <c r="EK20" i="3"/>
  <c r="EI20" i="3"/>
  <c r="EJ20" i="3"/>
  <c r="EI21" i="3"/>
  <c r="EK21" i="3"/>
  <c r="EH21" i="3"/>
  <c r="EJ21" i="3"/>
  <c r="EM24" i="3"/>
  <c r="EO24" i="3"/>
  <c r="EL24" i="3"/>
  <c r="EN24" i="3"/>
  <c r="EQ16" i="3"/>
  <c r="EP16" i="3"/>
  <c r="ER16" i="3"/>
  <c r="ES16" i="3"/>
  <c r="EM31" i="3"/>
  <c r="EN31" i="3"/>
  <c r="EO31" i="3"/>
  <c r="EL31" i="3"/>
  <c r="EL19" i="3"/>
  <c r="EM19" i="3"/>
  <c r="EN19" i="3"/>
  <c r="EO19" i="3"/>
  <c r="EP10" i="3"/>
  <c r="ER10" i="3"/>
  <c r="ES10" i="3"/>
  <c r="EQ10" i="3"/>
  <c r="ER9" i="3"/>
  <c r="EP9" i="3"/>
  <c r="EQ9" i="3"/>
  <c r="ES9" i="3"/>
  <c r="EQ18" i="3"/>
  <c r="ER18" i="3"/>
  <c r="EP18" i="3"/>
  <c r="ES18" i="3"/>
  <c r="ES28" i="3"/>
  <c r="EP28" i="3"/>
  <c r="EQ28" i="3"/>
  <c r="ER28" i="3"/>
  <c r="EL15" i="3"/>
  <c r="EM15" i="3"/>
  <c r="EN15" i="3"/>
  <c r="EO15" i="3"/>
  <c r="EP12" i="3"/>
  <c r="EQ12" i="3"/>
  <c r="ER12" i="3"/>
  <c r="ES12" i="3"/>
  <c r="EO32" i="3"/>
  <c r="EN32" i="3"/>
  <c r="EL32" i="3"/>
  <c r="EM32" i="3"/>
  <c r="EN23" i="3"/>
  <c r="EO23" i="3"/>
  <c r="EL23" i="3"/>
  <c r="EM23" i="3"/>
  <c r="EL14" i="3"/>
  <c r="EO14" i="3"/>
  <c r="EM14" i="3"/>
  <c r="EN14" i="3"/>
  <c r="EO22" i="3"/>
  <c r="EL22" i="3"/>
  <c r="EM22" i="3"/>
  <c r="EN22" i="3"/>
  <c r="EL11" i="3"/>
  <c r="EN11" i="3"/>
  <c r="EM11" i="3"/>
  <c r="EO11" i="3"/>
  <c r="DN8" i="3"/>
  <c r="DQ8" i="3"/>
  <c r="DO8" i="3"/>
  <c r="DP8" i="3"/>
  <c r="K34" i="4"/>
  <c r="K35" i="4" s="1"/>
  <c r="EQ17" i="3" l="1"/>
  <c r="ES17" i="3"/>
  <c r="EP17" i="3"/>
  <c r="ER17" i="3"/>
  <c r="EO20" i="3"/>
  <c r="EM20" i="3"/>
  <c r="EL20" i="3"/>
  <c r="EN20" i="3"/>
  <c r="EN21" i="3"/>
  <c r="EL21" i="3"/>
  <c r="EM21" i="3"/>
  <c r="EO21" i="3"/>
  <c r="EQ24" i="3"/>
  <c r="ES24" i="3"/>
  <c r="EP24" i="3"/>
  <c r="ER24" i="3"/>
  <c r="EM29" i="3"/>
  <c r="EN29" i="3"/>
  <c r="EO29" i="3"/>
  <c r="EL29" i="3"/>
  <c r="ER13" i="3"/>
  <c r="ES13" i="3"/>
  <c r="EQ13" i="3"/>
  <c r="EP13" i="3"/>
  <c r="EL30" i="3"/>
  <c r="EM30" i="3"/>
  <c r="EN30" i="3"/>
  <c r="EO30" i="3"/>
  <c r="EM25" i="3"/>
  <c r="EN25" i="3"/>
  <c r="EL25" i="3"/>
  <c r="EO25" i="3"/>
  <c r="ES23" i="3"/>
  <c r="EP23" i="3"/>
  <c r="ER23" i="3"/>
  <c r="EQ23" i="3"/>
  <c r="EP11" i="3"/>
  <c r="EQ11" i="3"/>
  <c r="ER11" i="3"/>
  <c r="ES11" i="3"/>
  <c r="EQ19" i="3"/>
  <c r="EP19" i="3"/>
  <c r="ES19" i="3"/>
  <c r="ER19" i="3"/>
  <c r="EP14" i="3"/>
  <c r="EQ14" i="3"/>
  <c r="ER14" i="3"/>
  <c r="ES14" i="3"/>
  <c r="EQ15" i="3"/>
  <c r="EP15" i="3"/>
  <c r="ER15" i="3"/>
  <c r="ES15" i="3"/>
  <c r="ES31" i="3"/>
  <c r="EP31" i="3"/>
  <c r="EQ31" i="3"/>
  <c r="ER31" i="3"/>
  <c r="ES22" i="3"/>
  <c r="EP22" i="3"/>
  <c r="EQ22" i="3"/>
  <c r="ER22" i="3"/>
  <c r="ES32" i="3"/>
  <c r="EP32" i="3"/>
  <c r="EQ32" i="3"/>
  <c r="ER32" i="3"/>
  <c r="DR8" i="3"/>
  <c r="DS8" i="3"/>
  <c r="DT8" i="3"/>
  <c r="DU8" i="3"/>
  <c r="L16" i="4"/>
  <c r="L34" i="4"/>
  <c r="ER30" i="3" l="1"/>
  <c r="ES30" i="3"/>
  <c r="EQ30" i="3"/>
  <c r="EP30" i="3"/>
  <c r="ES21" i="3"/>
  <c r="EP21" i="3"/>
  <c r="EQ21" i="3"/>
  <c r="ER21" i="3"/>
  <c r="ES29" i="3"/>
  <c r="ER29" i="3"/>
  <c r="EP29" i="3"/>
  <c r="EQ29" i="3"/>
  <c r="ES25" i="3"/>
  <c r="EP25" i="3"/>
  <c r="ER25" i="3"/>
  <c r="EQ25" i="3"/>
  <c r="EQ20" i="3"/>
  <c r="ER20" i="3"/>
  <c r="EP20" i="3"/>
  <c r="ES20" i="3"/>
  <c r="DW8" i="3"/>
  <c r="DV8" i="3"/>
  <c r="DX8" i="3"/>
  <c r="DY8" i="3"/>
  <c r="AH16" i="4"/>
  <c r="AI16" i="4"/>
  <c r="M16" i="4"/>
  <c r="L35" i="4"/>
  <c r="M34" i="4"/>
  <c r="EB8" i="3" l="1"/>
  <c r="EC8" i="3"/>
  <c r="DZ8" i="3"/>
  <c r="EA8" i="3"/>
  <c r="N16" i="4"/>
  <c r="M35" i="4"/>
  <c r="N34" i="4"/>
  <c r="EF8" i="3" l="1"/>
  <c r="ED8" i="3"/>
  <c r="EE8" i="3"/>
  <c r="EG8" i="3"/>
  <c r="AJ16" i="4"/>
  <c r="O16" i="4"/>
  <c r="N35" i="4"/>
  <c r="O34" i="4"/>
  <c r="EK8" i="3" l="1"/>
  <c r="EI8" i="3"/>
  <c r="EH8" i="3"/>
  <c r="EJ8" i="3"/>
  <c r="N10" i="6"/>
  <c r="CV35" i="4"/>
  <c r="AK16" i="4"/>
  <c r="O35" i="4"/>
  <c r="P16" i="4"/>
  <c r="P34" i="4"/>
  <c r="EO8" i="3" l="1"/>
  <c r="EM8" i="3"/>
  <c r="EL8" i="3"/>
  <c r="EN8" i="3"/>
  <c r="BD16" i="4"/>
  <c r="CW35" i="4"/>
  <c r="AL16" i="4"/>
  <c r="AM16" i="4"/>
  <c r="P35" i="4"/>
  <c r="Q16" i="4"/>
  <c r="Q34" i="4"/>
  <c r="EP8" i="3" l="1"/>
  <c r="ER8" i="3"/>
  <c r="ES8" i="3"/>
  <c r="EQ8" i="3"/>
  <c r="BD35" i="4"/>
  <c r="BE16" i="4"/>
  <c r="CX35" i="4"/>
  <c r="Q35" i="4"/>
  <c r="R16" i="4"/>
  <c r="R34" i="4"/>
  <c r="BE35" i="4" l="1"/>
  <c r="BF16" i="4"/>
  <c r="CY35" i="4"/>
  <c r="AN16" i="4"/>
  <c r="R35" i="4"/>
  <c r="S16" i="4"/>
  <c r="S34" i="4"/>
  <c r="BH16" i="4" l="1"/>
  <c r="BF35" i="4"/>
  <c r="BG16" i="4"/>
  <c r="AO16" i="4"/>
  <c r="AP16" i="4"/>
  <c r="T16" i="4"/>
  <c r="S35" i="4"/>
  <c r="T34" i="4"/>
  <c r="BG35" i="4" l="1"/>
  <c r="BI16" i="4"/>
  <c r="T35" i="4"/>
  <c r="U16" i="4"/>
  <c r="U34" i="4"/>
  <c r="BH35" i="4" l="1"/>
  <c r="BK16" i="4"/>
  <c r="BJ16" i="4"/>
  <c r="AQ16" i="4"/>
  <c r="AR16" i="4"/>
  <c r="U35" i="4"/>
  <c r="V16" i="4"/>
  <c r="V34" i="4"/>
  <c r="AD16" i="4"/>
  <c r="BI35" i="4" l="1"/>
  <c r="BL16" i="4"/>
  <c r="AS16" i="4"/>
  <c r="W16" i="4"/>
  <c r="V35" i="4"/>
  <c r="W34" i="4"/>
  <c r="AE16" i="4"/>
  <c r="BJ35" i="4" l="1"/>
  <c r="CR35" i="4"/>
  <c r="X16" i="4"/>
  <c r="W35" i="4"/>
  <c r="X34" i="4"/>
  <c r="AF16" i="4"/>
  <c r="BK35" i="4" l="1"/>
  <c r="BN16" i="4"/>
  <c r="BM16" i="4"/>
  <c r="AT16" i="4"/>
  <c r="X35" i="4"/>
  <c r="Y34" i="4"/>
  <c r="AG16" i="4"/>
  <c r="CS35" i="4" l="1"/>
  <c r="CT35" i="4"/>
  <c r="BL35" i="4"/>
  <c r="BO16" i="4"/>
  <c r="AU16" i="4"/>
  <c r="Z16" i="4"/>
  <c r="Y16" i="4"/>
  <c r="Y35" i="4" s="1"/>
  <c r="Z34" i="4"/>
  <c r="CU35" i="4" l="1"/>
  <c r="BM35" i="4"/>
  <c r="AV16" i="4"/>
  <c r="Z35" i="4"/>
  <c r="AA34" i="4"/>
  <c r="BN35" i="4" l="1"/>
  <c r="E8" i="6"/>
  <c r="AW16" i="4"/>
  <c r="AB16" i="4"/>
  <c r="AC16" i="4"/>
  <c r="AA16" i="4"/>
  <c r="AA35" i="4" s="1"/>
  <c r="AB34" i="4"/>
  <c r="F8" i="6" l="1"/>
  <c r="BO35" i="4"/>
  <c r="AX16" i="4"/>
  <c r="AB35" i="4"/>
  <c r="AC34" i="4"/>
  <c r="AC35" i="4" s="1"/>
  <c r="N8" i="6" l="1"/>
  <c r="AY16" i="4"/>
  <c r="AD34" i="4"/>
  <c r="AD35" i="4" s="1"/>
  <c r="EZ12" i="14" l="1"/>
  <c r="EU8" i="3" s="1"/>
  <c r="G5" i="6" s="1"/>
  <c r="FA12" i="14"/>
  <c r="EV8" i="3" s="1"/>
  <c r="H5" i="6" s="1"/>
  <c r="AZ16" i="4"/>
  <c r="AE34" i="4"/>
  <c r="AE35" i="4" s="1"/>
  <c r="BA16" i="4" l="1"/>
  <c r="AF35" i="4"/>
  <c r="BC16" i="4" l="1"/>
  <c r="BB16" i="4"/>
  <c r="AG35" i="4"/>
  <c r="E17" i="6" l="1"/>
  <c r="AH35" i="4"/>
  <c r="F17" i="6" l="1"/>
  <c r="N17" i="6" s="1"/>
  <c r="AI35" i="4"/>
  <c r="AJ35" i="4" l="1"/>
  <c r="EV31" i="4" l="1"/>
  <c r="I33" i="7" s="1"/>
  <c r="E7" i="6"/>
  <c r="EZ15" i="14"/>
  <c r="EU11" i="3" s="1"/>
  <c r="G8" i="6" s="1"/>
  <c r="FA15" i="14"/>
  <c r="EV11" i="3" s="1"/>
  <c r="H8" i="6" s="1"/>
  <c r="AK35" i="4"/>
  <c r="K8" i="6" l="1"/>
  <c r="L8" i="6" s="1"/>
  <c r="M8" i="6" s="1"/>
  <c r="F7" i="6"/>
  <c r="AL35" i="4"/>
  <c r="N7" i="6" l="1"/>
  <c r="AM35" i="4"/>
  <c r="AN35" i="4" l="1"/>
  <c r="AO35" i="4" l="1"/>
  <c r="AP35" i="4" l="1"/>
  <c r="AQ35" i="4" l="1"/>
  <c r="CG16" i="4" l="1"/>
  <c r="CG35" i="4" s="1"/>
  <c r="CF16" i="4"/>
  <c r="CF35" i="4" s="1"/>
  <c r="AR34" i="4"/>
  <c r="AR35" i="4" s="1"/>
  <c r="CH16" i="4" l="1"/>
  <c r="CH35" i="4" s="1"/>
  <c r="AS34" i="4"/>
  <c r="AS35" i="4" s="1"/>
  <c r="CI16" i="4" l="1"/>
  <c r="CI35" i="4" s="1"/>
  <c r="AT34" i="4"/>
  <c r="AT35" i="4" s="1"/>
  <c r="I12" i="7" l="1"/>
  <c r="AU34" i="4"/>
  <c r="AU35" i="4" s="1"/>
  <c r="CJ16" i="4" l="1"/>
  <c r="CJ35" i="4" s="1"/>
  <c r="EZ14" i="14"/>
  <c r="EU10" i="3" s="1"/>
  <c r="G7" i="6" s="1"/>
  <c r="FA14" i="14"/>
  <c r="EV10" i="3" s="1"/>
  <c r="H7" i="6" s="1"/>
  <c r="CK16" i="4"/>
  <c r="CK35" i="4" s="1"/>
  <c r="AV34" i="4"/>
  <c r="AV35" i="4" s="1"/>
  <c r="K7" i="6" l="1"/>
  <c r="L7" i="6" s="1"/>
  <c r="M7" i="6" s="1"/>
  <c r="CL16" i="4"/>
  <c r="CL35" i="4" s="1"/>
  <c r="AW34" i="4"/>
  <c r="AW35" i="4" s="1"/>
  <c r="K6" i="6" l="1"/>
  <c r="L6" i="6" s="1"/>
  <c r="AX34" i="4"/>
  <c r="AX35" i="4" s="1"/>
  <c r="CN16" i="4" l="1"/>
  <c r="AY34" i="4"/>
  <c r="AY35" i="4" s="1"/>
  <c r="CM16" i="4" l="1"/>
  <c r="CM35" i="4" s="1"/>
  <c r="CO16" i="4"/>
  <c r="AZ35" i="4"/>
  <c r="CP16" i="4" l="1"/>
  <c r="BA35" i="4"/>
  <c r="CQ16" i="4" l="1"/>
  <c r="E6" i="6"/>
  <c r="E5" i="6"/>
  <c r="F5" i="6" s="1"/>
  <c r="BB35" i="4"/>
  <c r="F6" i="6" l="1"/>
  <c r="M6" i="6"/>
  <c r="N6" i="6"/>
  <c r="E36" i="6"/>
  <c r="CZ16" i="4"/>
  <c r="I7" i="7"/>
  <c r="I8" i="7"/>
  <c r="BC35" i="4"/>
  <c r="DA16" i="4" l="1"/>
  <c r="ET39" i="3"/>
  <c r="I9" i="7"/>
  <c r="N5" i="6"/>
  <c r="K5" i="6"/>
  <c r="L5" i="6" s="1"/>
  <c r="EU39" i="3"/>
  <c r="M5" i="6" l="1"/>
  <c r="DB16" i="4"/>
  <c r="I6" i="7"/>
  <c r="EV39" i="3"/>
  <c r="E15" i="6" l="1"/>
  <c r="E16" i="6"/>
  <c r="I10" i="7"/>
  <c r="DC16" i="4"/>
  <c r="F16" i="6" l="1"/>
  <c r="F15" i="6"/>
  <c r="EZ55" i="14"/>
  <c r="EU41" i="3" s="1"/>
  <c r="G30" i="6" s="1"/>
  <c r="FA55" i="14" l="1"/>
  <c r="EV41" i="3" s="1"/>
  <c r="H30" i="6" s="1"/>
  <c r="K30" i="6" s="1"/>
  <c r="L30" i="6" s="1"/>
  <c r="M30" i="6" s="1"/>
  <c r="FA56" i="14"/>
  <c r="EV42" i="3" s="1"/>
  <c r="H31" i="6" s="1"/>
  <c r="EZ56" i="14"/>
  <c r="EU42" i="3" s="1"/>
  <c r="G31" i="6" s="1"/>
  <c r="K31" i="6" s="1"/>
  <c r="L31" i="6" s="1"/>
  <c r="M31" i="6" s="1"/>
  <c r="K15" i="6" l="1"/>
  <c r="K16" i="6"/>
  <c r="K11" i="6"/>
  <c r="L16" i="6" l="1"/>
  <c r="M16" i="6" s="1"/>
  <c r="L15" i="6"/>
  <c r="M15" i="6" s="1"/>
  <c r="L11" i="6"/>
  <c r="K12" i="6"/>
  <c r="CN35" i="4"/>
  <c r="M11" i="6" l="1"/>
  <c r="L12" i="6"/>
  <c r="M12" i="6" s="1"/>
  <c r="CO35" i="4"/>
  <c r="CP35" i="4" l="1"/>
  <c r="CQ35" i="4" l="1"/>
  <c r="CZ34" i="4" l="1"/>
  <c r="CZ35" i="4" s="1"/>
  <c r="N13" i="6" l="1"/>
  <c r="ET44" i="3"/>
  <c r="DA34" i="4"/>
  <c r="DA35" i="4" s="1"/>
  <c r="N14" i="6" l="1"/>
  <c r="C35" i="6"/>
  <c r="DB34" i="4"/>
  <c r="DB35" i="4" s="1"/>
  <c r="DC34" i="4" l="1"/>
  <c r="DC35" i="4" s="1"/>
  <c r="I29" i="7" l="1"/>
  <c r="I25" i="7" l="1"/>
  <c r="H21" i="7" l="1"/>
  <c r="I21" i="7" s="1"/>
  <c r="I23" i="7" l="1"/>
  <c r="I27" i="7"/>
  <c r="I28" i="7" l="1"/>
  <c r="I30" i="7"/>
  <c r="I31" i="7"/>
  <c r="I26" i="7" l="1"/>
  <c r="I24" i="7"/>
  <c r="I20" i="7"/>
  <c r="I32" i="7" l="1"/>
  <c r="I22" i="7" l="1"/>
  <c r="I37" i="7" s="1"/>
  <c r="H37" i="7"/>
  <c r="BT16" i="4"/>
  <c r="BT35" i="4" s="1"/>
  <c r="CB16" i="4"/>
  <c r="CB35" i="4" s="1"/>
  <c r="FA57" i="14"/>
  <c r="EV43" i="3" s="1"/>
  <c r="H32" i="6" s="1"/>
  <c r="BY16" i="4"/>
  <c r="BY35" i="4" s="1"/>
  <c r="BV16" i="4"/>
  <c r="BV35" i="4" s="1"/>
  <c r="BQ16" i="4"/>
  <c r="BQ35" i="4" s="1"/>
  <c r="BU16" i="4"/>
  <c r="BU35" i="4" s="1"/>
  <c r="CE16" i="4"/>
  <c r="CE35" i="4" s="1"/>
  <c r="CD16" i="4"/>
  <c r="CD35" i="4" s="1"/>
  <c r="BZ16" i="4"/>
  <c r="BZ35" i="4" s="1"/>
  <c r="BS16" i="4"/>
  <c r="BS35" i="4" s="1"/>
  <c r="BW16" i="4"/>
  <c r="BW35" i="4" s="1"/>
  <c r="BR16" i="4"/>
  <c r="BR35" i="4" s="1"/>
  <c r="CC16" i="4"/>
  <c r="CC35" i="4" s="1"/>
  <c r="BX16" i="4"/>
  <c r="BX35" i="4" s="1"/>
  <c r="CA16" i="4"/>
  <c r="CA35" i="4" s="1"/>
  <c r="EZ57" i="14" l="1"/>
  <c r="EU43" i="3" s="1"/>
  <c r="G32" i="6" s="1"/>
  <c r="K32" i="6" s="1"/>
  <c r="L32" i="6" s="1"/>
  <c r="M32" i="6" s="1"/>
  <c r="ET45" i="3"/>
  <c r="ET46" i="3"/>
  <c r="BP16" i="4"/>
  <c r="BP35" i="4" s="1"/>
  <c r="EW81" i="14"/>
  <c r="N15" i="6" l="1"/>
  <c r="EU62" i="3"/>
  <c r="EU63" i="3" s="1"/>
  <c r="ET62" i="3"/>
  <c r="ET63" i="3" s="1"/>
  <c r="B25" i="11"/>
  <c r="N16" i="6"/>
  <c r="F34" i="6"/>
  <c r="E34" i="6"/>
  <c r="EV36" i="4"/>
  <c r="EV62" i="3"/>
  <c r="EV63" i="3" s="1"/>
  <c r="N12" i="6"/>
  <c r="K17" i="6" l="1"/>
  <c r="K13" i="6"/>
  <c r="C8" i="12"/>
  <c r="B26" i="11"/>
  <c r="I11" i="7"/>
  <c r="I18" i="7" s="1"/>
  <c r="I38" i="7" s="1"/>
  <c r="H18" i="7"/>
  <c r="H38" i="7" s="1"/>
  <c r="D13" i="10" s="1"/>
  <c r="C7" i="12"/>
  <c r="N11" i="6"/>
  <c r="L17" i="6" l="1"/>
  <c r="M17" i="6" s="1"/>
  <c r="L13" i="6"/>
  <c r="H41" i="7"/>
  <c r="F13" i="10"/>
  <c r="H42" i="7"/>
  <c r="C12" i="12"/>
  <c r="M13" i="6" l="1"/>
  <c r="M34" i="6" s="1"/>
  <c r="L34" i="6"/>
  <c r="C9" i="12" s="1"/>
  <c r="C10" i="12" s="1"/>
  <c r="F18" i="10"/>
  <c r="C17" i="12" s="1"/>
  <c r="C19" i="12" l="1"/>
  <c r="F18" i="11" s="1"/>
  <c r="N34" i="6"/>
  <c r="F16" i="11" l="1"/>
  <c r="B27" i="11" s="1"/>
  <c r="B28" i="11" s="1"/>
  <c r="C21" i="12"/>
  <c r="F9" i="11" s="1"/>
  <c r="F17" i="11"/>
  <c r="F14" i="11"/>
  <c r="F10" i="11"/>
  <c r="F6" i="11"/>
  <c r="F12" i="11"/>
  <c r="F15" i="11"/>
  <c r="F5" i="11"/>
  <c r="F4" i="11"/>
  <c r="F13" i="11" l="1"/>
  <c r="B29" i="11"/>
  <c r="B30" i="11" s="1"/>
  <c r="K9" i="12"/>
  <c r="I9" i="12" s="1"/>
  <c r="I17" i="12" s="1"/>
  <c r="J17" i="12" s="1"/>
  <c r="J18" i="12" s="1"/>
  <c r="F22" i="11"/>
  <c r="F7" i="11" s="1"/>
  <c r="F20" i="11" s="1"/>
  <c r="G20" i="11" s="1"/>
  <c r="J9" i="12"/>
  <c r="J10" i="12" s="1"/>
  <c r="G17" i="11" l="1"/>
</calcChain>
</file>

<file path=xl/sharedStrings.xml><?xml version="1.0" encoding="utf-8"?>
<sst xmlns="http://schemas.openxmlformats.org/spreadsheetml/2006/main" count="493" uniqueCount="276">
  <si>
    <t>WORK SCHEDULE VERSUS RESOURCE CHART</t>
  </si>
  <si>
    <t>PROJECT NAME:</t>
  </si>
  <si>
    <t>PROJECT DURATION:</t>
  </si>
  <si>
    <t>Months</t>
  </si>
  <si>
    <t>S.NO.</t>
  </si>
  <si>
    <t>WORK DESCRIPTION</t>
  </si>
  <si>
    <t>UNIT</t>
  </si>
  <si>
    <t>QTY.</t>
  </si>
  <si>
    <t>Capacity                       (per day)</t>
  </si>
  <si>
    <t>Duration                      (Machine/Man.Month)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</si>
  <si>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</si>
  <si>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</si>
  <si>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</si>
  <si>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</si>
  <si>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</si>
  <si>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</si>
  <si>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</si>
  <si>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</si>
  <si>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</si>
  <si>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</si>
  <si>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</si>
  <si>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Working  per Day</t>
  </si>
  <si>
    <t>Stand-by per Day</t>
  </si>
  <si>
    <t>Personnel</t>
  </si>
  <si>
    <t>Operator</t>
  </si>
  <si>
    <t>TOTAL PERSONNEL:</t>
  </si>
  <si>
    <t>Car</t>
  </si>
  <si>
    <t>Pick-Up</t>
  </si>
  <si>
    <t>Survey Engineer</t>
  </si>
  <si>
    <t>Surveyor</t>
  </si>
  <si>
    <t>Driver</t>
  </si>
  <si>
    <t>Project Manager</t>
  </si>
  <si>
    <t>Site Manager</t>
  </si>
  <si>
    <t>Site Engineer</t>
  </si>
  <si>
    <t>Technical Office Chief</t>
  </si>
  <si>
    <t>Finance &amp; Admin. Chief</t>
  </si>
  <si>
    <t xml:space="preserve">Procurement </t>
  </si>
  <si>
    <t>QHSE Manager</t>
  </si>
  <si>
    <t>Total Deployment</t>
  </si>
  <si>
    <t>Total Working Duration (Hr.)</t>
  </si>
  <si>
    <t>Total Stand-by Duration (Hr.)</t>
  </si>
  <si>
    <t xml:space="preserve">DIRECT MACHINERY </t>
  </si>
  <si>
    <t>TOTAL DIRECT MACHINERY:</t>
  </si>
  <si>
    <t xml:space="preserve">INDIRECT MACHINERY </t>
  </si>
  <si>
    <t>TOTAL INDIRECT MACHINERY:</t>
  </si>
  <si>
    <t>TOTAL MACHINERY:</t>
  </si>
  <si>
    <t>DIRECT PERSONNEL</t>
  </si>
  <si>
    <t>TOTAL DIRECT PERSONNEL:</t>
  </si>
  <si>
    <t>INDIRECT PERSONNEL</t>
  </si>
  <si>
    <t>Unskilled Labor (Office Boy, cleaner, tea-man etc.)</t>
  </si>
  <si>
    <t>TOTAL INDIRECT PERSONNEL:</t>
  </si>
  <si>
    <t>Mobilization/Demobilization Cost Summary</t>
  </si>
  <si>
    <t>:</t>
  </si>
  <si>
    <t>TOTAL</t>
  </si>
  <si>
    <t xml:space="preserve">MACHINERY &amp; EQUIPMENT COST SUMMARY </t>
  </si>
  <si>
    <t>Description</t>
  </si>
  <si>
    <t>Total Work Duration (Machine.Day)</t>
  </si>
  <si>
    <t>Cost                              (USD/Day)</t>
  </si>
  <si>
    <t>Total Rent/Depreciation (USD)</t>
  </si>
  <si>
    <t xml:space="preserve"> Working Fuel Consumption (ton/hr)</t>
  </si>
  <si>
    <t>Stand-by Fuel Consumption (ton/hr)</t>
  </si>
  <si>
    <t>Total Fuel Consumption (ton)</t>
  </si>
  <si>
    <t>Total Fuel Cost (USD)</t>
  </si>
  <si>
    <t>Total  Cost                     (USD)</t>
  </si>
  <si>
    <t>TOTAL:</t>
  </si>
  <si>
    <t>PERSONNEL COST SUMMARY</t>
  </si>
  <si>
    <t>Net Salary  (USD/month)</t>
  </si>
  <si>
    <t>Overtime  (USD/month)</t>
  </si>
  <si>
    <t>Holiday +Ticket (USD/month)</t>
  </si>
  <si>
    <t>Tax 
(USD/month)</t>
  </si>
  <si>
    <t>Visa/residence 
(USD/month)</t>
  </si>
  <si>
    <t>Total (USD/month)</t>
  </si>
  <si>
    <t>Total Manpower (Man.Month)</t>
  </si>
  <si>
    <t>Total Personnel Cost                  (USD)</t>
  </si>
  <si>
    <t>Direct</t>
  </si>
  <si>
    <t>TOTAL DIRECT:</t>
  </si>
  <si>
    <t>Indirect</t>
  </si>
  <si>
    <t>TOTAL INDIRECT:</t>
  </si>
  <si>
    <t>PERSONNEL TOTAL:</t>
  </si>
  <si>
    <t>Average staff:</t>
  </si>
  <si>
    <t>person</t>
  </si>
  <si>
    <t>Average salary:</t>
  </si>
  <si>
    <t>USD</t>
  </si>
  <si>
    <t>Material  Cost Summary</t>
  </si>
  <si>
    <t>Material Description</t>
  </si>
  <si>
    <t>Unit</t>
  </si>
  <si>
    <t>Qty.</t>
  </si>
  <si>
    <t>Unit Price (USD)</t>
  </si>
  <si>
    <t>Total                                    (USD)</t>
  </si>
  <si>
    <t>Construction Material</t>
  </si>
  <si>
    <t>GRAND TOTAL:</t>
  </si>
  <si>
    <t>Subcontractor  Cost Summary</t>
  </si>
  <si>
    <t>INDIRECT COST SUMMARY</t>
  </si>
  <si>
    <t>Project Duration:</t>
  </si>
  <si>
    <t>GENERAL COST</t>
  </si>
  <si>
    <t>QTY.                                                                           (month)</t>
  </si>
  <si>
    <t>UNIT COST (USD/month)</t>
  </si>
  <si>
    <t>TOTAL COST                             (USD)</t>
  </si>
  <si>
    <t>House Rent (admin.)</t>
  </si>
  <si>
    <t>month</t>
  </si>
  <si>
    <t>House Rent (others)</t>
  </si>
  <si>
    <t>Camp Cost</t>
  </si>
  <si>
    <t>Communication Cost</t>
  </si>
  <si>
    <t>Office General Cost</t>
  </si>
  <si>
    <t>QHSE Cost</t>
  </si>
  <si>
    <t>Food Cost</t>
  </si>
  <si>
    <t>man.day</t>
  </si>
  <si>
    <t>Monitoring/Photographs</t>
  </si>
  <si>
    <t>Guest Cost</t>
  </si>
  <si>
    <t>ONCOST</t>
  </si>
  <si>
    <t>LABORSHIP</t>
  </si>
  <si>
    <t>TUTAR</t>
  </si>
  <si>
    <t>Bid Bond</t>
  </si>
  <si>
    <t>Performance Bond</t>
  </si>
  <si>
    <t>Advance Bond</t>
  </si>
  <si>
    <t>Sponsor Fee</t>
  </si>
  <si>
    <t>Design</t>
  </si>
  <si>
    <t>Insurance</t>
  </si>
  <si>
    <t>L/C</t>
  </si>
  <si>
    <t>Finance</t>
  </si>
  <si>
    <t>Contingency and Risk</t>
  </si>
  <si>
    <t>Refill</t>
  </si>
  <si>
    <t>Nagotiation Margin</t>
  </si>
  <si>
    <t xml:space="preserve">Undefined Cost </t>
  </si>
  <si>
    <t>Head  Office</t>
  </si>
  <si>
    <t>TOPLAM %</t>
  </si>
  <si>
    <t xml:space="preserve">k    </t>
  </si>
  <si>
    <t>NET NAKİT</t>
  </si>
  <si>
    <t>COST SUMMARY</t>
  </si>
  <si>
    <t>DESCRIPTION</t>
  </si>
  <si>
    <t>(USD)</t>
  </si>
  <si>
    <t>MOBILIZATION:</t>
  </si>
  <si>
    <t>MACHINERY &amp; EQUIPMENT</t>
  </si>
  <si>
    <t>Rent/Deppreciation</t>
  </si>
  <si>
    <t>Maintenance:</t>
  </si>
  <si>
    <t>Fuel:</t>
  </si>
  <si>
    <t>PERSONNEL:</t>
  </si>
  <si>
    <t>SUBCONTRACTOR:</t>
  </si>
  <si>
    <t>MATERIAL:</t>
  </si>
  <si>
    <t>GENERAL COST:</t>
  </si>
  <si>
    <r>
      <t>TOTAL COST</t>
    </r>
    <r>
      <rPr>
        <b/>
        <i/>
        <vertAlign val="subscript"/>
        <sz val="11"/>
        <rFont val="Arial"/>
        <family val="2"/>
        <charset val="162"/>
      </rPr>
      <t>ARAS</t>
    </r>
    <r>
      <rPr>
        <b/>
        <i/>
        <sz val="11"/>
        <rFont val="Arial"/>
        <family val="2"/>
        <charset val="162"/>
      </rPr>
      <t>:</t>
    </r>
  </si>
  <si>
    <t>K:</t>
  </si>
  <si>
    <t>FINAL PRICE:</t>
  </si>
  <si>
    <t>APPROVED BY:</t>
  </si>
  <si>
    <t>DATE:</t>
  </si>
  <si>
    <t>Sözleşme İmzalanması</t>
  </si>
  <si>
    <t>Mobilizasyon</t>
  </si>
  <si>
    <t>Makine&amp;Ekipman</t>
  </si>
  <si>
    <t>Formen</t>
  </si>
  <si>
    <t>Adet</t>
  </si>
  <si>
    <t>Günlük Kapasite</t>
  </si>
  <si>
    <t>Süre  (Makine / Adam.Ay)</t>
  </si>
  <si>
    <t>Makine / Adam.Ay</t>
  </si>
  <si>
    <t>Ad</t>
  </si>
  <si>
    <t>Kaptan</t>
  </si>
  <si>
    <t>Çarkçı</t>
  </si>
  <si>
    <t>Stamp Tax</t>
  </si>
  <si>
    <t>KİRA GETİRİSİ</t>
  </si>
  <si>
    <t>AMORTİSMAN &amp; YATIRIM</t>
  </si>
  <si>
    <t>Corporate Income Tax</t>
  </si>
  <si>
    <t>=</t>
  </si>
  <si>
    <t>PROJECT DURATION IN MONTHS</t>
  </si>
  <si>
    <t>NET PROFIT MARGIN AFTER TAXES</t>
  </si>
  <si>
    <t>TOPLAM</t>
  </si>
  <si>
    <t>Aras Amortisman</t>
  </si>
  <si>
    <t>Aras Kira Getiri</t>
  </si>
  <si>
    <t>Month-12</t>
  </si>
  <si>
    <t>Month-13</t>
  </si>
  <si>
    <t>Month-14</t>
  </si>
  <si>
    <t>Month-15</t>
  </si>
  <si>
    <t>Yağcı</t>
  </si>
  <si>
    <t>Total Working</t>
  </si>
  <si>
    <t>Total Stand-by</t>
  </si>
  <si>
    <t>Profit  brut</t>
  </si>
  <si>
    <t>Month-16</t>
  </si>
  <si>
    <t xml:space="preserve">Indirect </t>
  </si>
  <si>
    <t>Mini-bus</t>
  </si>
  <si>
    <t>Workshop Staff</t>
  </si>
  <si>
    <t>Machinery &amp; Equipment Mob. &amp; Demob.</t>
  </si>
  <si>
    <t xml:space="preserve">Consultant </t>
  </si>
  <si>
    <t xml:space="preserve">Kurtuluş Kara </t>
  </si>
  <si>
    <t>Hitachi 870 LCH</t>
  </si>
  <si>
    <t>Split Dump Barge - Midia 5</t>
  </si>
  <si>
    <t>Split Dump Barge - Midia 8</t>
  </si>
  <si>
    <t>Split Dump Barge - Midia 13</t>
  </si>
  <si>
    <t>Alpaslan Yüzer Vinci</t>
  </si>
  <si>
    <t>Uzaklık (Deniz Mili)</t>
  </si>
  <si>
    <t>Ortalama Hız (Knot)</t>
  </si>
  <si>
    <t>Seyir Süresi (saat)</t>
  </si>
  <si>
    <t>Seyir Süresi (Gün)</t>
  </si>
  <si>
    <t>Split Dump Barge - Akıncı</t>
  </si>
  <si>
    <t>Split Dump Barge - Paşa</t>
  </si>
  <si>
    <t>Flat Barge #1</t>
  </si>
  <si>
    <t>Month-17</t>
  </si>
  <si>
    <t>Month-18</t>
  </si>
  <si>
    <t>Verim  =</t>
  </si>
  <si>
    <t>Günlük Verimli Kapasite</t>
  </si>
  <si>
    <t>Month-19</t>
  </si>
  <si>
    <t>Month-20</t>
  </si>
  <si>
    <t>Month-21</t>
  </si>
  <si>
    <t>Month-22</t>
  </si>
  <si>
    <t>Month-23</t>
  </si>
  <si>
    <t>Month-24</t>
  </si>
  <si>
    <t>Month-25</t>
  </si>
  <si>
    <t xml:space="preserve"> </t>
  </si>
  <si>
    <t>Sema</t>
  </si>
  <si>
    <t>4 tane ırgat</t>
  </si>
  <si>
    <t>1 konteyner ufak</t>
  </si>
  <si>
    <t>2 tane tank</t>
  </si>
  <si>
    <t>1 jeneratör</t>
  </si>
  <si>
    <t>Mobilization</t>
  </si>
  <si>
    <t>Quantity</t>
  </si>
  <si>
    <t>Total Price</t>
  </si>
  <si>
    <t>m3</t>
  </si>
  <si>
    <t>Unit Price</t>
  </si>
  <si>
    <t>Clay Dredging max 13m</t>
  </si>
  <si>
    <t>Yozgat</t>
  </si>
  <si>
    <t>Technical Office Engineer</t>
  </si>
  <si>
    <t>İşçi</t>
  </si>
  <si>
    <t>Demobilizasyon</t>
  </si>
  <si>
    <t>Month-26</t>
  </si>
  <si>
    <t>Gemici</t>
  </si>
  <si>
    <t>Total Maintenance / Insurance Cost (USD)</t>
  </si>
  <si>
    <t>Vardiya Amiri</t>
  </si>
  <si>
    <t>Unpredictable Costs</t>
  </si>
  <si>
    <t>total</t>
  </si>
  <si>
    <t>FİLYOS LİMANI TAHKİMAT İŞİ</t>
  </si>
  <si>
    <t>Month-27</t>
  </si>
  <si>
    <t>Month-28</t>
  </si>
  <si>
    <t>Month-29</t>
  </si>
  <si>
    <t>Month-30</t>
  </si>
  <si>
    <t>Month-31</t>
  </si>
  <si>
    <t>Month-32</t>
  </si>
  <si>
    <t>Month-33</t>
  </si>
  <si>
    <t>Month-34</t>
  </si>
  <si>
    <t>Month-35</t>
  </si>
  <si>
    <t>Month-36</t>
  </si>
  <si>
    <t>Kurtuluş Kara</t>
  </si>
  <si>
    <t>Koparan</t>
  </si>
  <si>
    <t>Necem D-18</t>
  </si>
  <si>
    <t>Alpaslan - II</t>
  </si>
  <si>
    <t>Koca Seyit</t>
  </si>
  <si>
    <t>Floating Crane 3</t>
  </si>
  <si>
    <t>Midia 5</t>
  </si>
  <si>
    <t>Midia 8</t>
  </si>
  <si>
    <t>Midia 13</t>
  </si>
  <si>
    <t>Paşa</t>
  </si>
  <si>
    <t>Hila</t>
  </si>
  <si>
    <t>Daria</t>
  </si>
  <si>
    <t>Hadar</t>
  </si>
  <si>
    <t>Bozkurt</t>
  </si>
  <si>
    <t>Dalgıç</t>
  </si>
  <si>
    <t>Yunus - 6</t>
  </si>
  <si>
    <t>Split Barge (x5)</t>
  </si>
  <si>
    <t>Crawler Crane (x5)</t>
  </si>
  <si>
    <t>Excavator (x5)</t>
  </si>
  <si>
    <t>Loader (x3)</t>
  </si>
  <si>
    <t>Cylinder (x2)</t>
  </si>
  <si>
    <t>Dump Truck (x20)</t>
  </si>
  <si>
    <t>Deniz Ekipmanları Mob.+Demob.</t>
  </si>
  <si>
    <t>Kara Ekipmanları Mob.+Demob.</t>
  </si>
  <si>
    <t>Atmaca</t>
  </si>
  <si>
    <t>Tayfun</t>
  </si>
  <si>
    <t>1 ton ÖTVli</t>
  </si>
  <si>
    <t>1 ton ÖTVsiz</t>
  </si>
  <si>
    <t>0-0.25 ton</t>
  </si>
  <si>
    <t>0-0.4 ton</t>
  </si>
  <si>
    <t>0.4-2 ton</t>
  </si>
  <si>
    <t>2-4 ton</t>
  </si>
  <si>
    <t>4-6 ton</t>
  </si>
  <si>
    <t>6-8 ton</t>
  </si>
  <si>
    <t>8-10 ton</t>
  </si>
  <si>
    <t>10-12 ton</t>
  </si>
  <si>
    <t>12-15 ton</t>
  </si>
  <si>
    <t>KAT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</si>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</sst>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-* #,##0\ _₺_-;\-* #,##0\ _₺_-;_-* &quot;-&quot;\ _₺_-;_-@_-"/>
    <numFmt numFmtId="43" formatCode="_-* #,##0.00\ _₺_-;\-* #,##0.00\ _₺_-;_-* &quot;-&quot;??\ _₺_-;_-@_-"/>
    <numFmt numFmtId="164" formatCode="_-* #,##0.00\ _T_L_-;\-* #,##0.00\ _T_L_-;_-* &quot;-&quot;??\ _T_L_-;_-@_-"/>
    <numFmt numFmtId="165" formatCode="[$-41F]mmmm\ yy;@"/>
    <numFmt numFmtId="166" formatCode="#,##0.0"/>
    <numFmt numFmtId="167" formatCode="0.0"/>
    <numFmt numFmtId="168" formatCode="[$-41F]dd\ mmmm\ yyyy\ dddd"/>
    <numFmt numFmtId="169" formatCode="General_)"/>
    <numFmt numFmtId="170" formatCode="#,##0.000"/>
    <numFmt numFmtId="171" formatCode="0.0%"/>
    <numFmt numFmtId="172" formatCode="_(* #,##0.0000_);_(* \(#,##0.0000\);_(* &quot;-&quot;??_);_(@_)"/>
    <numFmt numFmtId="173" formatCode="#,##0.0000"/>
    <numFmt numFmtId="174" formatCode="_(* #,##0.00000_);_(* \(#,##0.00000\);_(* &quot;-&quot;??_);_(@_)"/>
    <numFmt numFmtId="175" formatCode="0.000%"/>
    <numFmt numFmtId="176" formatCode="_-* #,##0\ _₺_-;\-* #,##0\ _₺_-;_-* &quot;-&quot;??\ _₺_-;_-@_-"/>
    <numFmt numFmtId="177" formatCode="_-[$$-409]* #,##0_ ;_-[$$-409]* \-#,##0\ ;_-[$$-409]* &quot;-&quot;??_ ;_-@_ "/>
    <numFmt numFmtId="178" formatCode="_-[$$-409]* #,##0.00_ ;_-[$$-409]* \-#,##0.00\ ;_-[$$-409]* &quot;-&quot;??_ ;_-@_ "/>
    <numFmt numFmtId="179" formatCode="_-* #,##0.0\ _₺_-;\-* #,##0.0\ _₺_-;_-* &quot;-&quot;??\ _₺_-;_-@_-"/>
    <numFmt numFmtId="180" formatCode="_-* #,##0.00\ [$₺-41F]_-;\-* #,##0.00\ [$₺-41F]_-;_-* &quot;-&quot;??\ [$₺-41F]_-;_-@_-"/>
    <numFmt numFmtId="181" formatCode="_-* #,##0_-;\-* #,##0_-;_-* &quot;-&quot;_-;_-@_-"/>
    <numFmt numFmtId="182" formatCode="_ * #,##0_ ;_ * \-#,##0_ ;_ * &quot;-&quot;_ ;_ @_ "/>
  </numFmts>
  <fonts count="62"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sz val="11"/>
      <color theme="1"/>
      <name val="Comic Sans MS"/>
      <family val="4"/>
      <charset val="162"/>
    </font>
    <font>
      <b/>
      <sz val="12"/>
      <color theme="1"/>
      <name val="Comic Sans MS"/>
      <family val="4"/>
      <charset val="162"/>
    </font>
    <font>
      <sz val="11"/>
      <name val="Comic Sans MS"/>
      <family val="4"/>
      <charset val="162"/>
    </font>
    <font>
      <b/>
      <sz val="11"/>
      <color theme="1"/>
      <name val="Comic Sans MS"/>
      <family val="4"/>
      <charset val="162"/>
    </font>
    <font>
      <b/>
      <sz val="10"/>
      <color theme="1"/>
      <name val="Comic Sans MS"/>
      <family val="4"/>
      <charset val="162"/>
    </font>
    <font>
      <b/>
      <sz val="9"/>
      <color theme="1"/>
      <name val="Century Gothic"/>
      <family val="2"/>
      <charset val="162"/>
    </font>
    <font>
      <b/>
      <sz val="9"/>
      <color theme="1"/>
      <name val="Comic Sans MS"/>
      <family val="4"/>
      <charset val="162"/>
    </font>
    <font>
      <b/>
      <sz val="11"/>
      <name val="Comic Sans MS"/>
      <family val="4"/>
      <charset val="162"/>
    </font>
    <font>
      <b/>
      <sz val="11"/>
      <color rgb="FF0070C0"/>
      <name val="Comic Sans MS"/>
      <family val="4"/>
      <charset val="162"/>
    </font>
    <font>
      <sz val="11"/>
      <color rgb="FF0070C0"/>
      <name val="Comic Sans MS"/>
      <family val="4"/>
      <charset val="162"/>
    </font>
    <font>
      <b/>
      <sz val="13"/>
      <name val="Comic Sans MS"/>
      <family val="4"/>
      <charset val="162"/>
    </font>
    <font>
      <b/>
      <sz val="11"/>
      <color rgb="FFFF0000"/>
      <name val="Comic Sans MS"/>
      <family val="4"/>
      <charset val="162"/>
    </font>
    <font>
      <sz val="11"/>
      <color rgb="FFFF0000"/>
      <name val="Comic Sans MS"/>
      <family val="4"/>
      <charset val="162"/>
    </font>
    <font>
      <sz val="9"/>
      <color rgb="FFFF0000"/>
      <name val="Comic Sans MS"/>
      <family val="4"/>
      <charset val="162"/>
    </font>
    <font>
      <b/>
      <sz val="12"/>
      <name val="Comic Sans MS"/>
      <family val="4"/>
      <charset val="162"/>
    </font>
    <font>
      <sz val="10"/>
      <color rgb="FFFF0000"/>
      <name val="Comic Sans MS"/>
      <family val="4"/>
      <charset val="162"/>
    </font>
    <font>
      <b/>
      <i/>
      <sz val="11"/>
      <name val="Comic Sans MS"/>
      <family val="4"/>
      <charset val="162"/>
    </font>
    <font>
      <b/>
      <sz val="9"/>
      <name val="Comic Sans MS"/>
      <family val="4"/>
      <charset val="162"/>
    </font>
    <font>
      <b/>
      <i/>
      <sz val="9"/>
      <name val="Comic Sans MS"/>
      <family val="4"/>
      <charset val="162"/>
    </font>
    <font>
      <sz val="10"/>
      <name val="Arial"/>
      <family val="2"/>
      <charset val="162"/>
    </font>
    <font>
      <b/>
      <sz val="11"/>
      <name val="Century Gothic"/>
      <family val="2"/>
      <charset val="162"/>
    </font>
    <font>
      <sz val="11"/>
      <name val="Century Gothic"/>
      <family val="2"/>
      <charset val="162"/>
    </font>
    <font>
      <b/>
      <i/>
      <sz val="11"/>
      <name val="Century Gothic"/>
      <family val="2"/>
      <charset val="162"/>
    </font>
    <font>
      <i/>
      <sz val="10"/>
      <name val="Century Gothic"/>
      <family val="2"/>
      <charset val="162"/>
    </font>
    <font>
      <b/>
      <sz val="12"/>
      <name val="Century Gothic"/>
      <family val="2"/>
      <charset val="162"/>
    </font>
    <font>
      <sz val="12"/>
      <name val="Helv"/>
    </font>
    <font>
      <sz val="12"/>
      <name val="Century Gothic"/>
      <family val="2"/>
      <charset val="162"/>
    </font>
    <font>
      <i/>
      <sz val="12"/>
      <name val="Century Gothic"/>
      <family val="2"/>
      <charset val="162"/>
    </font>
    <font>
      <b/>
      <i/>
      <sz val="11"/>
      <color rgb="FFFF0000"/>
      <name val="Century Gothic"/>
      <family val="2"/>
      <charset val="162"/>
    </font>
    <font>
      <sz val="11"/>
      <color rgb="FFFF0000"/>
      <name val="Century Gothic"/>
      <family val="2"/>
      <charset val="162"/>
    </font>
    <font>
      <sz val="11"/>
      <name val="Century Gothic"/>
      <family val="2"/>
    </font>
    <font>
      <b/>
      <i/>
      <sz val="12"/>
      <name val="Century Gothic"/>
      <family val="2"/>
      <charset val="162"/>
    </font>
    <font>
      <sz val="10"/>
      <name val="Century Gothic"/>
      <family val="2"/>
      <charset val="162"/>
    </font>
    <font>
      <sz val="10"/>
      <name val="Arial"/>
      <family val="2"/>
      <charset val="162"/>
    </font>
    <font>
      <b/>
      <sz val="12"/>
      <color indexed="10"/>
      <name val="Century Gothic"/>
      <family val="2"/>
      <charset val="162"/>
    </font>
    <font>
      <b/>
      <sz val="10"/>
      <name val="Century Gothic"/>
      <family val="2"/>
      <charset val="162"/>
    </font>
    <font>
      <sz val="12"/>
      <color indexed="12"/>
      <name val="Century Gothic"/>
      <family val="2"/>
      <charset val="162"/>
    </font>
    <font>
      <b/>
      <sz val="12"/>
      <color indexed="8"/>
      <name val="Century Gothic"/>
      <family val="2"/>
      <charset val="162"/>
    </font>
    <font>
      <sz val="12"/>
      <color indexed="10"/>
      <name val="Century Gothic"/>
      <family val="2"/>
      <charset val="162"/>
    </font>
    <font>
      <b/>
      <sz val="11"/>
      <name val="Arial"/>
      <family val="2"/>
      <charset val="162"/>
    </font>
    <font>
      <sz val="11"/>
      <name val="Arial"/>
      <family val="2"/>
      <charset val="162"/>
    </font>
    <font>
      <b/>
      <i/>
      <sz val="11"/>
      <name val="Arial"/>
      <family val="2"/>
      <charset val="162"/>
    </font>
    <font>
      <b/>
      <i/>
      <vertAlign val="subscript"/>
      <sz val="11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2"/>
      <color theme="1"/>
      <name val="Comic Sans MS"/>
      <family val="4"/>
      <charset val="162"/>
    </font>
    <font>
      <sz val="11"/>
      <color theme="4" tint="-0.249977111117893"/>
      <name val="Comic Sans MS"/>
      <family val="4"/>
      <charset val="162"/>
    </font>
    <font>
      <b/>
      <sz val="11"/>
      <color theme="4" tint="-0.249977111117893"/>
      <name val="Comic Sans MS"/>
      <family val="4"/>
      <charset val="162"/>
    </font>
    <font>
      <b/>
      <sz val="10"/>
      <color rgb="FFFF0000"/>
      <name val="Century Gothic"/>
      <family val="2"/>
      <charset val="162"/>
    </font>
    <font>
      <b/>
      <sz val="12"/>
      <color rgb="FFC00000"/>
      <name val="Century Gothic"/>
      <family val="2"/>
      <charset val="162"/>
    </font>
    <font>
      <sz val="9"/>
      <name val="Century Gothic"/>
      <family val="2"/>
      <charset val="162"/>
    </font>
    <font>
      <b/>
      <sz val="9"/>
      <name val="Century Gothic"/>
      <family val="2"/>
      <charset val="162"/>
    </font>
    <font>
      <i/>
      <sz val="9"/>
      <name val="Century Gothic"/>
      <family val="2"/>
      <charset val="162"/>
    </font>
    <font>
      <b/>
      <sz val="16"/>
      <color theme="1"/>
      <name val="Comic Sans MS"/>
      <family val="4"/>
      <charset val="16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Arial"/>
      <family val="2"/>
    </font>
    <font>
      <sz val="11"/>
      <name val="돋움"/>
      <family val="3"/>
      <charset val="129"/>
    </font>
    <font>
      <sz val="14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hair">
        <color indexed="64"/>
      </bottom>
      <diagonal/>
    </border>
  </borders>
  <cellStyleXfs count="15">
    <xf numFmtId="0" fontId="0" fillId="0" borderId="0"/>
    <xf numFmtId="0" fontId="22" fillId="0" borderId="0"/>
    <xf numFmtId="168" fontId="28" fillId="0" borderId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56" fillId="0" borderId="0"/>
    <xf numFmtId="0" fontId="57" fillId="0" borderId="0"/>
    <xf numFmtId="0" fontId="58" fillId="0" borderId="0"/>
    <xf numFmtId="181" fontId="60" fillId="0" borderId="0" applyFont="0" applyFill="0" applyBorder="0" applyAlignment="0" applyProtection="0">
      <alignment vertical="center"/>
    </xf>
    <xf numFmtId="38" fontId="59" fillId="0" borderId="0" applyFont="0" applyFill="0" applyBorder="0" applyAlignment="0" applyProtection="0"/>
    <xf numFmtId="39" fontId="61" fillId="0" borderId="0"/>
    <xf numFmtId="182" fontId="58" fillId="0" borderId="0" applyFont="0" applyFill="0" applyBorder="0" applyAlignment="0" applyProtection="0"/>
    <xf numFmtId="43" fontId="56" fillId="0" borderId="0" applyFont="0" applyFill="0" applyBorder="0" applyAlignment="0" applyProtection="0"/>
  </cellStyleXfs>
  <cellXfs count="50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/>
    <xf numFmtId="0" fontId="6" fillId="0" borderId="5" xfId="0" applyFont="1" applyBorder="1" applyAlignment="1">
      <alignment horizontal="center" vertical="justify"/>
    </xf>
    <xf numFmtId="0" fontId="9" fillId="0" borderId="2" xfId="0" applyFont="1" applyBorder="1" applyAlignment="1">
      <alignment horizontal="center" vertical="justify"/>
    </xf>
    <xf numFmtId="0" fontId="3" fillId="0" borderId="0" xfId="0" applyFont="1" applyAlignment="1">
      <alignment vertical="justify"/>
    </xf>
    <xf numFmtId="166" fontId="11" fillId="0" borderId="18" xfId="0" applyNumberFormat="1" applyFont="1" applyFill="1" applyBorder="1"/>
    <xf numFmtId="166" fontId="11" fillId="0" borderId="19" xfId="0" applyNumberFormat="1" applyFont="1" applyFill="1" applyBorder="1"/>
    <xf numFmtId="166" fontId="10" fillId="0" borderId="1" xfId="0" applyNumberFormat="1" applyFont="1" applyFill="1" applyBorder="1" applyAlignment="1">
      <alignment horizontal="center"/>
    </xf>
    <xf numFmtId="3" fontId="10" fillId="0" borderId="1" xfId="0" applyNumberFormat="1" applyFont="1" applyFill="1" applyBorder="1" applyAlignment="1">
      <alignment horizontal="center"/>
    </xf>
    <xf numFmtId="0" fontId="12" fillId="0" borderId="21" xfId="0" applyFont="1" applyFill="1" applyBorder="1"/>
    <xf numFmtId="166" fontId="12" fillId="0" borderId="18" xfId="0" applyNumberFormat="1" applyFont="1" applyFill="1" applyBorder="1" applyAlignment="1">
      <alignment horizontal="center"/>
    </xf>
    <xf numFmtId="166" fontId="12" fillId="0" borderId="18" xfId="0" applyNumberFormat="1" applyFont="1" applyFill="1" applyBorder="1"/>
    <xf numFmtId="166" fontId="12" fillId="0" borderId="19" xfId="0" applyNumberFormat="1" applyFont="1" applyFill="1" applyBorder="1"/>
    <xf numFmtId="166" fontId="5" fillId="0" borderId="1" xfId="0" applyNumberFormat="1" applyFont="1" applyFill="1" applyBorder="1" applyAlignment="1">
      <alignment horizontal="center"/>
    </xf>
    <xf numFmtId="166" fontId="14" fillId="0" borderId="18" xfId="0" applyNumberFormat="1" applyFont="1" applyFill="1" applyBorder="1" applyAlignment="1">
      <alignment horizontal="center"/>
    </xf>
    <xf numFmtId="166" fontId="14" fillId="0" borderId="18" xfId="0" applyNumberFormat="1" applyFont="1" applyFill="1" applyBorder="1"/>
    <xf numFmtId="166" fontId="14" fillId="0" borderId="19" xfId="0" applyNumberFormat="1" applyFont="1" applyFill="1" applyBorder="1"/>
    <xf numFmtId="49" fontId="15" fillId="0" borderId="21" xfId="0" applyNumberFormat="1" applyFont="1" applyFill="1" applyBorder="1" applyAlignment="1">
      <alignment horizontal="center"/>
    </xf>
    <xf numFmtId="0" fontId="15" fillId="0" borderId="21" xfId="0" applyFont="1" applyFill="1" applyBorder="1"/>
    <xf numFmtId="3" fontId="15" fillId="0" borderId="18" xfId="0" applyNumberFormat="1" applyFont="1" applyFill="1" applyBorder="1"/>
    <xf numFmtId="166" fontId="15" fillId="0" borderId="18" xfId="0" applyNumberFormat="1" applyFont="1" applyFill="1" applyBorder="1"/>
    <xf numFmtId="166" fontId="15" fillId="0" borderId="19" xfId="0" applyNumberFormat="1" applyFont="1" applyFill="1" applyBorder="1"/>
    <xf numFmtId="0" fontId="15" fillId="0" borderId="16" xfId="0" applyFont="1" applyFill="1" applyBorder="1"/>
    <xf numFmtId="0" fontId="15" fillId="0" borderId="17" xfId="0" applyFont="1" applyFill="1" applyBorder="1"/>
    <xf numFmtId="0" fontId="15" fillId="0" borderId="15" xfId="0" applyFont="1" applyFill="1" applyBorder="1"/>
    <xf numFmtId="0" fontId="15" fillId="0" borderId="0" xfId="0" applyFont="1" applyFill="1"/>
    <xf numFmtId="166" fontId="15" fillId="0" borderId="23" xfId="0" applyNumberFormat="1" applyFont="1" applyFill="1" applyBorder="1" applyAlignment="1">
      <alignment horizontal="center"/>
    </xf>
    <xf numFmtId="0" fontId="15" fillId="0" borderId="24" xfId="0" applyFont="1" applyFill="1" applyBorder="1"/>
    <xf numFmtId="0" fontId="5" fillId="0" borderId="1" xfId="0" applyFont="1" applyBorder="1" applyAlignment="1">
      <alignment horizontal="center" vertical="justify"/>
    </xf>
    <xf numFmtId="49" fontId="10" fillId="0" borderId="25" xfId="0" applyNumberFormat="1" applyFont="1" applyFill="1" applyBorder="1" applyAlignment="1">
      <alignment horizontal="center"/>
    </xf>
    <xf numFmtId="166" fontId="10" fillId="0" borderId="18" xfId="0" applyNumberFormat="1" applyFont="1" applyFill="1" applyBorder="1" applyAlignment="1">
      <alignment horizontal="center"/>
    </xf>
    <xf numFmtId="3" fontId="10" fillId="0" borderId="18" xfId="0" applyNumberFormat="1" applyFont="1" applyFill="1" applyBorder="1"/>
    <xf numFmtId="166" fontId="10" fillId="0" borderId="18" xfId="0" applyNumberFormat="1" applyFont="1" applyFill="1" applyBorder="1"/>
    <xf numFmtId="166" fontId="10" fillId="0" borderId="19" xfId="0" applyNumberFormat="1" applyFont="1" applyFill="1" applyBorder="1"/>
    <xf numFmtId="0" fontId="14" fillId="0" borderId="26" xfId="0" applyFont="1" applyFill="1" applyBorder="1"/>
    <xf numFmtId="0" fontId="14" fillId="0" borderId="27" xfId="0" applyFont="1" applyFill="1" applyBorder="1"/>
    <xf numFmtId="0" fontId="14" fillId="0" borderId="28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/>
    <xf numFmtId="49" fontId="15" fillId="0" borderId="29" xfId="0" applyNumberFormat="1" applyFont="1" applyFill="1" applyBorder="1" applyAlignment="1">
      <alignment horizontal="center"/>
    </xf>
    <xf numFmtId="167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10" fillId="0" borderId="29" xfId="0" applyNumberFormat="1" applyFont="1" applyFill="1" applyBorder="1" applyAlignment="1">
      <alignment horizontal="center"/>
    </xf>
    <xf numFmtId="0" fontId="10" fillId="0" borderId="16" xfId="0" applyFont="1" applyFill="1" applyBorder="1"/>
    <xf numFmtId="0" fontId="10" fillId="0" borderId="17" xfId="0" applyFont="1" applyFill="1" applyBorder="1"/>
    <xf numFmtId="0" fontId="10" fillId="0" borderId="15" xfId="0" applyFont="1" applyFill="1" applyBorder="1"/>
    <xf numFmtId="0" fontId="10" fillId="0" borderId="22" xfId="0" applyFont="1" applyFill="1" applyBorder="1"/>
    <xf numFmtId="0" fontId="10" fillId="0" borderId="13" xfId="0" applyFont="1" applyFill="1" applyBorder="1"/>
    <xf numFmtId="0" fontId="10" fillId="0" borderId="14" xfId="0" applyFont="1" applyFill="1" applyBorder="1"/>
    <xf numFmtId="166" fontId="10" fillId="0" borderId="6" xfId="0" applyNumberFormat="1" applyFont="1" applyFill="1" applyBorder="1" applyAlignment="1">
      <alignment horizontal="center"/>
    </xf>
    <xf numFmtId="3" fontId="10" fillId="0" borderId="6" xfId="0" applyNumberFormat="1" applyFont="1" applyFill="1" applyBorder="1"/>
    <xf numFmtId="0" fontId="10" fillId="0" borderId="26" xfId="0" applyFont="1" applyFill="1" applyBorder="1"/>
    <xf numFmtId="0" fontId="10" fillId="0" borderId="27" xfId="0" applyFont="1" applyFill="1" applyBorder="1"/>
    <xf numFmtId="0" fontId="10" fillId="0" borderId="28" xfId="0" applyFont="1" applyFill="1" applyBorder="1"/>
    <xf numFmtId="49" fontId="15" fillId="0" borderId="35" xfId="0" applyNumberFormat="1" applyFont="1" applyFill="1" applyBorder="1" applyAlignment="1">
      <alignment horizontal="center"/>
    </xf>
    <xf numFmtId="0" fontId="15" fillId="0" borderId="36" xfId="0" applyFont="1" applyFill="1" applyBorder="1"/>
    <xf numFmtId="166" fontId="15" fillId="0" borderId="37" xfId="0" applyNumberFormat="1" applyFont="1" applyFill="1" applyBorder="1" applyAlignment="1">
      <alignment horizontal="center"/>
    </xf>
    <xf numFmtId="3" fontId="15" fillId="0" borderId="37" xfId="0" applyNumberFormat="1" applyFont="1" applyFill="1" applyBorder="1"/>
    <xf numFmtId="0" fontId="15" fillId="0" borderId="38" xfId="0" applyFont="1" applyFill="1" applyBorder="1"/>
    <xf numFmtId="0" fontId="15" fillId="0" borderId="39" xfId="0" applyFont="1" applyFill="1" applyBorder="1"/>
    <xf numFmtId="0" fontId="15" fillId="0" borderId="32" xfId="0" applyFont="1" applyFill="1" applyBorder="1"/>
    <xf numFmtId="0" fontId="5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1" fontId="7" fillId="0" borderId="0" xfId="0" applyNumberFormat="1" applyFont="1" applyAlignment="1"/>
    <xf numFmtId="0" fontId="5" fillId="0" borderId="0" xfId="0" applyFont="1" applyAlignment="1">
      <alignment vertical="justify"/>
    </xf>
    <xf numFmtId="49" fontId="10" fillId="0" borderId="21" xfId="0" applyNumberFormat="1" applyFont="1" applyFill="1" applyBorder="1" applyAlignment="1">
      <alignment horizontal="center"/>
    </xf>
    <xf numFmtId="0" fontId="10" fillId="0" borderId="25" xfId="0" applyFont="1" applyFill="1" applyBorder="1"/>
    <xf numFmtId="166" fontId="10" fillId="0" borderId="23" xfId="0" applyNumberFormat="1" applyFont="1" applyFill="1" applyBorder="1" applyAlignment="1">
      <alignment horizontal="center"/>
    </xf>
    <xf numFmtId="1" fontId="10" fillId="0" borderId="26" xfId="0" applyNumberFormat="1" applyFont="1" applyFill="1" applyBorder="1"/>
    <xf numFmtId="1" fontId="10" fillId="0" borderId="27" xfId="0" applyNumberFormat="1" applyFont="1" applyFill="1" applyBorder="1"/>
    <xf numFmtId="1" fontId="10" fillId="0" borderId="28" xfId="0" applyNumberFormat="1" applyFont="1" applyFill="1" applyBorder="1"/>
    <xf numFmtId="0" fontId="15" fillId="0" borderId="29" xfId="0" applyFont="1" applyFill="1" applyBorder="1"/>
    <xf numFmtId="1" fontId="15" fillId="0" borderId="16" xfId="0" applyNumberFormat="1" applyFont="1" applyFill="1" applyBorder="1"/>
    <xf numFmtId="1" fontId="15" fillId="0" borderId="17" xfId="0" applyNumberFormat="1" applyFont="1" applyFill="1" applyBorder="1"/>
    <xf numFmtId="1" fontId="15" fillId="0" borderId="15" xfId="0" applyNumberFormat="1" applyFont="1" applyFill="1" applyBorder="1"/>
    <xf numFmtId="1" fontId="5" fillId="0" borderId="0" xfId="0" applyNumberFormat="1" applyFont="1" applyFill="1"/>
    <xf numFmtId="49" fontId="20" fillId="0" borderId="21" xfId="0" applyNumberFormat="1" applyFont="1" applyFill="1" applyBorder="1" applyAlignment="1">
      <alignment horizontal="center"/>
    </xf>
    <xf numFmtId="0" fontId="21" fillId="0" borderId="29" xfId="0" applyFont="1" applyFill="1" applyBorder="1" applyAlignment="1"/>
    <xf numFmtId="1" fontId="20" fillId="0" borderId="5" xfId="0" applyNumberFormat="1" applyFont="1" applyFill="1" applyBorder="1"/>
    <xf numFmtId="1" fontId="17" fillId="0" borderId="0" xfId="0" applyNumberFormat="1" applyFont="1" applyFill="1"/>
    <xf numFmtId="0" fontId="20" fillId="0" borderId="0" xfId="0" applyFont="1" applyFill="1"/>
    <xf numFmtId="0" fontId="10" fillId="0" borderId="24" xfId="0" applyFont="1" applyFill="1" applyBorder="1"/>
    <xf numFmtId="166" fontId="10" fillId="0" borderId="21" xfId="0" applyNumberFormat="1" applyFont="1" applyFill="1" applyBorder="1" applyAlignment="1">
      <alignment horizontal="center"/>
    </xf>
    <xf numFmtId="0" fontId="10" fillId="0" borderId="12" xfId="0" applyFont="1" applyFill="1" applyBorder="1"/>
    <xf numFmtId="1" fontId="10" fillId="0" borderId="16" xfId="0" applyNumberFormat="1" applyFont="1" applyFill="1" applyBorder="1"/>
    <xf numFmtId="1" fontId="10" fillId="0" borderId="17" xfId="0" applyNumberFormat="1" applyFont="1" applyFill="1" applyBorder="1"/>
    <xf numFmtId="1" fontId="10" fillId="0" borderId="15" xfId="0" applyNumberFormat="1" applyFont="1" applyFill="1" applyBorder="1"/>
    <xf numFmtId="0" fontId="18" fillId="0" borderId="24" xfId="0" applyFont="1" applyBorder="1"/>
    <xf numFmtId="166" fontId="15" fillId="0" borderId="21" xfId="0" applyNumberFormat="1" applyFont="1" applyFill="1" applyBorder="1" applyAlignment="1">
      <alignment horizontal="center"/>
    </xf>
    <xf numFmtId="4" fontId="17" fillId="0" borderId="0" xfId="0" applyNumberFormat="1" applyFont="1" applyFill="1"/>
    <xf numFmtId="49" fontId="20" fillId="0" borderId="36" xfId="0" applyNumberFormat="1" applyFont="1" applyFill="1" applyBorder="1" applyAlignment="1">
      <alignment horizontal="center"/>
    </xf>
    <xf numFmtId="0" fontId="21" fillId="0" borderId="35" xfId="0" applyFont="1" applyFill="1" applyBorder="1" applyAlignment="1"/>
    <xf numFmtId="1" fontId="1" fillId="0" borderId="0" xfId="0" applyNumberFormat="1" applyFont="1"/>
    <xf numFmtId="4" fontId="5" fillId="0" borderId="0" xfId="0" applyNumberFormat="1" applyFont="1"/>
    <xf numFmtId="0" fontId="23" fillId="0" borderId="0" xfId="1" applyFont="1"/>
    <xf numFmtId="0" fontId="23" fillId="0" borderId="0" xfId="1" applyFont="1" applyAlignment="1"/>
    <xf numFmtId="0" fontId="24" fillId="0" borderId="0" xfId="1" applyFont="1"/>
    <xf numFmtId="0" fontId="25" fillId="0" borderId="1" xfId="1" applyFont="1" applyBorder="1"/>
    <xf numFmtId="0" fontId="23" fillId="0" borderId="1" xfId="1" applyFont="1" applyBorder="1"/>
    <xf numFmtId="0" fontId="26" fillId="0" borderId="1" xfId="1" applyFont="1" applyBorder="1"/>
    <xf numFmtId="3" fontId="26" fillId="0" borderId="1" xfId="1" applyNumberFormat="1" applyFont="1" applyBorder="1"/>
    <xf numFmtId="0" fontId="26" fillId="0" borderId="0" xfId="1" applyFont="1"/>
    <xf numFmtId="3" fontId="26" fillId="0" borderId="0" xfId="1" applyNumberFormat="1" applyFont="1"/>
    <xf numFmtId="0" fontId="24" fillId="0" borderId="1" xfId="1" applyFont="1" applyBorder="1"/>
    <xf numFmtId="3" fontId="24" fillId="0" borderId="1" xfId="1" applyNumberFormat="1" applyFont="1" applyBorder="1"/>
    <xf numFmtId="0" fontId="23" fillId="0" borderId="1" xfId="1" applyFont="1" applyBorder="1" applyAlignment="1">
      <alignment horizontal="right"/>
    </xf>
    <xf numFmtId="0" fontId="23" fillId="0" borderId="1" xfId="1" applyFont="1" applyBorder="1" applyAlignment="1">
      <alignment horizontal="left"/>
    </xf>
    <xf numFmtId="3" fontId="23" fillId="0" borderId="1" xfId="1" applyNumberFormat="1" applyFont="1" applyBorder="1" applyAlignment="1">
      <alignment horizontal="right"/>
    </xf>
    <xf numFmtId="169" fontId="29" fillId="0" borderId="0" xfId="2" applyNumberFormat="1" applyFont="1" applyAlignment="1"/>
    <xf numFmtId="0" fontId="29" fillId="0" borderId="0" xfId="1" applyFont="1" applyAlignment="1"/>
    <xf numFmtId="0" fontId="29" fillId="0" borderId="0" xfId="1" applyFont="1" applyAlignment="1">
      <alignment horizontal="center"/>
    </xf>
    <xf numFmtId="0" fontId="30" fillId="0" borderId="0" xfId="1" applyFont="1" applyAlignment="1"/>
    <xf numFmtId="0" fontId="29" fillId="0" borderId="0" xfId="1" applyFont="1" applyFill="1" applyAlignment="1">
      <alignment horizontal="center"/>
    </xf>
    <xf numFmtId="0" fontId="27" fillId="0" borderId="1" xfId="1" applyFont="1" applyBorder="1" applyAlignment="1">
      <alignment horizontal="center" vertical="justify"/>
    </xf>
    <xf numFmtId="0" fontId="27" fillId="0" borderId="0" xfId="1" applyFont="1" applyAlignment="1">
      <alignment horizontal="center" vertical="justify"/>
    </xf>
    <xf numFmtId="0" fontId="29" fillId="0" borderId="1" xfId="1" applyFont="1" applyFill="1" applyBorder="1"/>
    <xf numFmtId="3" fontId="29" fillId="0" borderId="1" xfId="2" applyNumberFormat="1" applyFont="1" applyFill="1" applyBorder="1" applyAlignment="1">
      <alignment horizontal="center"/>
    </xf>
    <xf numFmtId="3" fontId="29" fillId="0" borderId="0" xfId="2" applyNumberFormat="1" applyFont="1" applyFill="1" applyAlignment="1"/>
    <xf numFmtId="169" fontId="29" fillId="0" borderId="0" xfId="2" applyNumberFormat="1" applyFont="1" applyFill="1" applyAlignment="1"/>
    <xf numFmtId="169" fontId="27" fillId="0" borderId="1" xfId="2" applyNumberFormat="1" applyFont="1" applyBorder="1" applyAlignment="1">
      <alignment horizontal="right"/>
    </xf>
    <xf numFmtId="169" fontId="27" fillId="0" borderId="0" xfId="2" applyNumberFormat="1" applyFont="1" applyAlignment="1"/>
    <xf numFmtId="3" fontId="29" fillId="0" borderId="0" xfId="2" applyNumberFormat="1" applyFont="1" applyAlignment="1"/>
    <xf numFmtId="0" fontId="24" fillId="0" borderId="41" xfId="1" applyFont="1" applyBorder="1" applyAlignment="1"/>
    <xf numFmtId="0" fontId="24" fillId="0" borderId="0" xfId="1" applyFont="1" applyBorder="1" applyAlignment="1"/>
    <xf numFmtId="0" fontId="23" fillId="0" borderId="1" xfId="1" applyFont="1" applyBorder="1" applyAlignment="1">
      <alignment horizontal="center" vertical="justify"/>
    </xf>
    <xf numFmtId="0" fontId="23" fillId="0" borderId="1" xfId="1" applyFont="1" applyBorder="1" applyAlignment="1">
      <alignment horizontal="center" vertical="justify" wrapText="1"/>
    </xf>
    <xf numFmtId="0" fontId="23" fillId="0" borderId="0" xfId="1" applyFont="1" applyAlignment="1">
      <alignment horizontal="center" vertical="justify"/>
    </xf>
    <xf numFmtId="3" fontId="24" fillId="0" borderId="1" xfId="1" applyNumberFormat="1" applyFont="1" applyBorder="1" applyAlignment="1">
      <alignment horizontal="right"/>
    </xf>
    <xf numFmtId="0" fontId="24" fillId="0" borderId="1" xfId="1" applyFont="1" applyFill="1" applyBorder="1"/>
    <xf numFmtId="166" fontId="24" fillId="0" borderId="1" xfId="1" applyNumberFormat="1" applyFont="1" applyBorder="1"/>
    <xf numFmtId="3" fontId="24" fillId="0" borderId="0" xfId="1" applyNumberFormat="1" applyFont="1"/>
    <xf numFmtId="3" fontId="25" fillId="0" borderId="1" xfId="1" applyNumberFormat="1" applyFont="1" applyBorder="1" applyAlignment="1">
      <alignment horizontal="right"/>
    </xf>
    <xf numFmtId="166" fontId="25" fillId="0" borderId="1" xfId="1" applyNumberFormat="1" applyFont="1" applyBorder="1" applyAlignment="1">
      <alignment horizontal="right"/>
    </xf>
    <xf numFmtId="3" fontId="25" fillId="0" borderId="0" xfId="1" applyNumberFormat="1" applyFont="1" applyAlignment="1">
      <alignment horizontal="right"/>
    </xf>
    <xf numFmtId="3" fontId="25" fillId="0" borderId="1" xfId="1" applyNumberFormat="1" applyFont="1" applyBorder="1" applyAlignment="1">
      <alignment horizontal="center"/>
    </xf>
    <xf numFmtId="4" fontId="25" fillId="0" borderId="1" xfId="1" applyNumberFormat="1" applyFont="1" applyBorder="1" applyAlignment="1">
      <alignment horizontal="right"/>
    </xf>
    <xf numFmtId="0" fontId="25" fillId="0" borderId="0" xfId="1" applyFont="1"/>
    <xf numFmtId="4" fontId="24" fillId="0" borderId="0" xfId="1" applyNumberFormat="1" applyFont="1"/>
    <xf numFmtId="166" fontId="24" fillId="0" borderId="0" xfId="1" applyNumberFormat="1" applyFont="1"/>
    <xf numFmtId="10" fontId="24" fillId="0" borderId="0" xfId="1" applyNumberFormat="1" applyFont="1"/>
    <xf numFmtId="171" fontId="24" fillId="0" borderId="0" xfId="1" applyNumberFormat="1" applyFont="1"/>
    <xf numFmtId="0" fontId="23" fillId="0" borderId="0" xfId="1" applyFont="1" applyFill="1"/>
    <xf numFmtId="0" fontId="23" fillId="0" borderId="0" xfId="1" applyFont="1" applyFill="1" applyAlignment="1"/>
    <xf numFmtId="0" fontId="24" fillId="0" borderId="0" xfId="1" applyFont="1" applyFill="1"/>
    <xf numFmtId="0" fontId="23" fillId="0" borderId="1" xfId="1" applyFont="1" applyFill="1" applyBorder="1" applyAlignment="1">
      <alignment horizontal="center" vertical="justify"/>
    </xf>
    <xf numFmtId="3" fontId="23" fillId="0" borderId="1" xfId="1" applyNumberFormat="1" applyFont="1" applyFill="1" applyBorder="1" applyAlignment="1">
      <alignment horizontal="center" vertical="justify"/>
    </xf>
    <xf numFmtId="0" fontId="23" fillId="0" borderId="0" xfId="1" applyFont="1" applyFill="1" applyAlignment="1">
      <alignment horizontal="center" vertical="justify"/>
    </xf>
    <xf numFmtId="0" fontId="25" fillId="0" borderId="1" xfId="1" applyFont="1" applyFill="1" applyBorder="1"/>
    <xf numFmtId="3" fontId="31" fillId="0" borderId="1" xfId="1" applyNumberFormat="1" applyFont="1" applyFill="1" applyBorder="1" applyAlignment="1">
      <alignment horizontal="right"/>
    </xf>
    <xf numFmtId="3" fontId="32" fillId="0" borderId="1" xfId="1" applyNumberFormat="1" applyFont="1" applyFill="1" applyBorder="1" applyAlignment="1">
      <alignment horizontal="right"/>
    </xf>
    <xf numFmtId="0" fontId="25" fillId="0" borderId="0" xfId="1" applyFont="1" applyFill="1"/>
    <xf numFmtId="0" fontId="24" fillId="0" borderId="1" xfId="1" applyFont="1" applyFill="1" applyBorder="1" applyAlignment="1">
      <alignment horizontal="center"/>
    </xf>
    <xf numFmtId="3" fontId="24" fillId="0" borderId="0" xfId="1" applyNumberFormat="1" applyFont="1" applyFill="1"/>
    <xf numFmtId="0" fontId="33" fillId="0" borderId="1" xfId="1" applyFont="1" applyFill="1" applyBorder="1" applyAlignment="1">
      <alignment horizontal="center"/>
    </xf>
    <xf numFmtId="0" fontId="34" fillId="0" borderId="0" xfId="1" applyFont="1" applyFill="1" applyAlignment="1">
      <alignment horizontal="right"/>
    </xf>
    <xf numFmtId="3" fontId="34" fillId="0" borderId="0" xfId="1" applyNumberFormat="1" applyFont="1" applyFill="1" applyAlignment="1">
      <alignment horizontal="right"/>
    </xf>
    <xf numFmtId="3" fontId="24" fillId="0" borderId="1" xfId="1" applyNumberFormat="1" applyFont="1" applyFill="1" applyBorder="1"/>
    <xf numFmtId="3" fontId="25" fillId="0" borderId="1" xfId="1" applyNumberFormat="1" applyFont="1" applyFill="1" applyBorder="1" applyAlignment="1">
      <alignment horizontal="right"/>
    </xf>
    <xf numFmtId="3" fontId="23" fillId="0" borderId="1" xfId="1" applyNumberFormat="1" applyFont="1" applyBorder="1" applyAlignment="1">
      <alignment horizontal="center" vertical="justify"/>
    </xf>
    <xf numFmtId="0" fontId="33" fillId="0" borderId="1" xfId="1" applyFont="1" applyBorder="1" applyAlignment="1">
      <alignment horizontal="center"/>
    </xf>
    <xf numFmtId="0" fontId="33" fillId="0" borderId="1" xfId="1" applyFont="1" applyBorder="1" applyAlignment="1"/>
    <xf numFmtId="0" fontId="24" fillId="0" borderId="1" xfId="1" applyFont="1" applyBorder="1" applyAlignment="1">
      <alignment horizontal="center"/>
    </xf>
    <xf numFmtId="0" fontId="27" fillId="0" borderId="0" xfId="1" applyFont="1" applyAlignment="1"/>
    <xf numFmtId="3" fontId="24" fillId="0" borderId="1" xfId="1" applyNumberFormat="1" applyFont="1" applyBorder="1" applyAlignment="1">
      <alignment horizontal="center"/>
    </xf>
    <xf numFmtId="3" fontId="27" fillId="0" borderId="1" xfId="1" applyNumberFormat="1" applyFont="1" applyBorder="1" applyAlignment="1">
      <alignment horizontal="right"/>
    </xf>
    <xf numFmtId="0" fontId="24" fillId="0" borderId="0" xfId="1" applyFont="1" applyAlignment="1">
      <alignment horizontal="center"/>
    </xf>
    <xf numFmtId="0" fontId="27" fillId="0" borderId="45" xfId="1" applyFont="1" applyFill="1" applyBorder="1" applyAlignment="1">
      <alignment horizontal="centerContinuous"/>
    </xf>
    <xf numFmtId="0" fontId="35" fillId="0" borderId="46" xfId="1" applyFont="1" applyFill="1" applyBorder="1" applyAlignment="1">
      <alignment horizontal="centerContinuous"/>
    </xf>
    <xf numFmtId="0" fontId="35" fillId="0" borderId="47" xfId="1" applyFont="1" applyFill="1" applyBorder="1" applyAlignment="1">
      <alignment horizontal="center"/>
    </xf>
    <xf numFmtId="0" fontId="35" fillId="0" borderId="48" xfId="1" applyFont="1" applyFill="1" applyBorder="1"/>
    <xf numFmtId="3" fontId="35" fillId="3" borderId="49" xfId="1" applyNumberFormat="1" applyFont="1" applyFill="1" applyBorder="1" applyAlignment="1">
      <alignment horizontal="center"/>
    </xf>
    <xf numFmtId="3" fontId="35" fillId="3" borderId="0" xfId="1" applyNumberFormat="1" applyFont="1" applyFill="1" applyAlignment="1">
      <alignment horizontal="center"/>
    </xf>
    <xf numFmtId="3" fontId="35" fillId="3" borderId="0" xfId="1" applyNumberFormat="1" applyFont="1" applyFill="1"/>
    <xf numFmtId="0" fontId="35" fillId="0" borderId="50" xfId="1" applyFont="1" applyFill="1" applyBorder="1"/>
    <xf numFmtId="0" fontId="35" fillId="0" borderId="41" xfId="1" applyFont="1" applyFill="1" applyBorder="1"/>
    <xf numFmtId="0" fontId="35" fillId="0" borderId="51" xfId="1" applyFont="1" applyFill="1" applyBorder="1"/>
    <xf numFmtId="3" fontId="35" fillId="3" borderId="52" xfId="1" applyNumberFormat="1" applyFont="1" applyFill="1" applyBorder="1"/>
    <xf numFmtId="0" fontId="29" fillId="0" borderId="40" xfId="1" applyFont="1" applyFill="1" applyBorder="1" applyAlignment="1">
      <alignment horizontal="left"/>
    </xf>
    <xf numFmtId="0" fontId="29" fillId="0" borderId="53" xfId="1" applyFont="1" applyFill="1" applyBorder="1" applyAlignment="1">
      <alignment horizontal="centerContinuous"/>
    </xf>
    <xf numFmtId="171" fontId="37" fillId="0" borderId="53" xfId="4" applyNumberFormat="1" applyFont="1" applyFill="1" applyBorder="1" applyAlignment="1">
      <alignment horizontal="right"/>
    </xf>
    <xf numFmtId="172" fontId="29" fillId="0" borderId="13" xfId="3" applyNumberFormat="1" applyFont="1" applyFill="1" applyBorder="1" applyAlignment="1">
      <alignment horizontal="center"/>
    </xf>
    <xf numFmtId="3" fontId="35" fillId="0" borderId="18" xfId="1" applyNumberFormat="1" applyFont="1" applyFill="1" applyBorder="1" applyAlignment="1">
      <alignment horizontal="center"/>
    </xf>
    <xf numFmtId="0" fontId="29" fillId="0" borderId="40" xfId="1" applyFont="1" applyFill="1" applyBorder="1"/>
    <xf numFmtId="9" fontId="29" fillId="0" borderId="53" xfId="4" applyFont="1" applyFill="1" applyBorder="1"/>
    <xf numFmtId="0" fontId="29" fillId="0" borderId="22" xfId="1" applyFont="1" applyFill="1" applyBorder="1"/>
    <xf numFmtId="0" fontId="29" fillId="0" borderId="53" xfId="1" applyFont="1" applyFill="1" applyBorder="1" applyAlignment="1">
      <alignment horizontal="center"/>
    </xf>
    <xf numFmtId="3" fontId="35" fillId="3" borderId="18" xfId="1" applyNumberFormat="1" applyFont="1" applyFill="1" applyBorder="1" applyAlignment="1">
      <alignment horizontal="center"/>
    </xf>
    <xf numFmtId="0" fontId="29" fillId="0" borderId="55" xfId="1" applyFont="1" applyFill="1" applyBorder="1"/>
    <xf numFmtId="0" fontId="29" fillId="0" borderId="56" xfId="1" applyFont="1" applyFill="1" applyBorder="1"/>
    <xf numFmtId="172" fontId="29" fillId="0" borderId="56" xfId="3" applyNumberFormat="1" applyFont="1" applyFill="1" applyBorder="1" applyAlignment="1">
      <alignment horizontal="center"/>
    </xf>
    <xf numFmtId="0" fontId="29" fillId="0" borderId="41" xfId="1" applyFont="1" applyFill="1" applyBorder="1" applyAlignment="1">
      <alignment horizontal="center"/>
    </xf>
    <xf numFmtId="3" fontId="38" fillId="3" borderId="37" xfId="1" applyNumberFormat="1" applyFont="1" applyFill="1" applyBorder="1" applyAlignment="1">
      <alignment horizontal="center"/>
    </xf>
    <xf numFmtId="0" fontId="29" fillId="0" borderId="57" xfId="1" applyFont="1" applyFill="1" applyBorder="1" applyAlignment="1">
      <alignment horizontal="centerContinuous"/>
    </xf>
    <xf numFmtId="0" fontId="27" fillId="0" borderId="58" xfId="1" quotePrefix="1" applyFont="1" applyFill="1" applyBorder="1" applyAlignment="1">
      <alignment horizontal="centerContinuous"/>
    </xf>
    <xf numFmtId="172" fontId="39" fillId="0" borderId="58" xfId="3" applyNumberFormat="1" applyFont="1" applyFill="1" applyBorder="1" applyAlignment="1">
      <alignment horizontal="center"/>
    </xf>
    <xf numFmtId="172" fontId="39" fillId="0" borderId="59" xfId="3" applyNumberFormat="1" applyFont="1" applyFill="1" applyBorder="1" applyAlignment="1">
      <alignment horizontal="center"/>
    </xf>
    <xf numFmtId="3" fontId="38" fillId="3" borderId="6" xfId="1" applyNumberFormat="1" applyFont="1" applyFill="1" applyBorder="1" applyAlignment="1">
      <alignment horizontal="center"/>
    </xf>
    <xf numFmtId="0" fontId="40" fillId="0" borderId="30" xfId="1" applyFont="1" applyFill="1" applyBorder="1" applyAlignment="1">
      <alignment horizontal="right"/>
    </xf>
    <xf numFmtId="172" fontId="41" fillId="0" borderId="39" xfId="3" applyNumberFormat="1" applyFont="1" applyFill="1" applyBorder="1" applyAlignment="1">
      <alignment horizontal="center"/>
    </xf>
    <xf numFmtId="172" fontId="41" fillId="0" borderId="31" xfId="3" applyNumberFormat="1" applyFont="1" applyFill="1" applyBorder="1" applyAlignment="1">
      <alignment horizontal="center"/>
    </xf>
    <xf numFmtId="0" fontId="43" fillId="0" borderId="0" xfId="1" applyFont="1"/>
    <xf numFmtId="0" fontId="42" fillId="0" borderId="1" xfId="1" applyFont="1" applyBorder="1" applyAlignment="1">
      <alignment horizontal="center"/>
    </xf>
    <xf numFmtId="3" fontId="42" fillId="0" borderId="1" xfId="1" applyNumberFormat="1" applyFont="1" applyBorder="1" applyAlignment="1">
      <alignment horizontal="center"/>
    </xf>
    <xf numFmtId="171" fontId="43" fillId="0" borderId="0" xfId="1" applyNumberFormat="1" applyFont="1" applyAlignment="1">
      <alignment horizontal="center"/>
    </xf>
    <xf numFmtId="0" fontId="43" fillId="0" borderId="0" xfId="1" applyFont="1" applyAlignment="1">
      <alignment horizontal="center"/>
    </xf>
    <xf numFmtId="0" fontId="42" fillId="0" borderId="1" xfId="1" applyFont="1" applyBorder="1"/>
    <xf numFmtId="3" fontId="42" fillId="0" borderId="1" xfId="1" applyNumberFormat="1" applyFont="1" applyBorder="1"/>
    <xf numFmtId="0" fontId="43" fillId="0" borderId="1" xfId="1" applyFont="1" applyBorder="1"/>
    <xf numFmtId="3" fontId="43" fillId="0" borderId="1" xfId="1" applyNumberFormat="1" applyFont="1" applyBorder="1"/>
    <xf numFmtId="0" fontId="43" fillId="0" borderId="1" xfId="1" applyFont="1" applyBorder="1" applyAlignment="1">
      <alignment horizontal="left"/>
    </xf>
    <xf numFmtId="3" fontId="43" fillId="0" borderId="1" xfId="1" applyNumberFormat="1" applyFont="1" applyBorder="1" applyAlignment="1">
      <alignment horizontal="right"/>
    </xf>
    <xf numFmtId="0" fontId="44" fillId="0" borderId="1" xfId="1" applyFont="1" applyBorder="1" applyAlignment="1">
      <alignment horizontal="right"/>
    </xf>
    <xf numFmtId="3" fontId="44" fillId="0" borderId="1" xfId="1" applyNumberFormat="1" applyFont="1" applyBorder="1" applyAlignment="1">
      <alignment horizontal="right"/>
    </xf>
    <xf numFmtId="3" fontId="43" fillId="0" borderId="0" xfId="1" applyNumberFormat="1" applyFont="1"/>
    <xf numFmtId="3" fontId="44" fillId="0" borderId="1" xfId="1" applyNumberFormat="1" applyFont="1" applyBorder="1"/>
    <xf numFmtId="173" fontId="44" fillId="0" borderId="1" xfId="1" applyNumberFormat="1" applyFont="1" applyBorder="1"/>
    <xf numFmtId="4" fontId="43" fillId="0" borderId="0" xfId="1" applyNumberFormat="1" applyFont="1"/>
    <xf numFmtId="170" fontId="43" fillId="0" borderId="0" xfId="1" applyNumberFormat="1" applyFont="1"/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6" fillId="0" borderId="40" xfId="0" applyNumberFormat="1" applyFont="1" applyFill="1" applyBorder="1" applyAlignment="1">
      <alignment horizontal="center" vertical="center"/>
    </xf>
    <xf numFmtId="166" fontId="3" fillId="0" borderId="60" xfId="0" applyNumberFormat="1" applyFont="1" applyFill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166" fontId="3" fillId="0" borderId="6" xfId="0" applyNumberFormat="1" applyFont="1" applyFill="1" applyBorder="1" applyAlignment="1">
      <alignment horizontal="center" vertical="center"/>
    </xf>
    <xf numFmtId="166" fontId="3" fillId="0" borderId="7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166" fontId="3" fillId="0" borderId="18" xfId="0" applyNumberFormat="1" applyFont="1" applyFill="1" applyBorder="1" applyAlignment="1">
      <alignment horizontal="center" vertical="center"/>
    </xf>
    <xf numFmtId="166" fontId="3" fillId="0" borderId="19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49" fontId="11" fillId="0" borderId="24" xfId="0" applyNumberFormat="1" applyFont="1" applyFill="1" applyBorder="1" applyAlignment="1">
      <alignment horizontal="center" vertical="center"/>
    </xf>
    <xf numFmtId="166" fontId="11" fillId="0" borderId="18" xfId="0" applyNumberFormat="1" applyFont="1" applyFill="1" applyBorder="1" applyAlignment="1">
      <alignment horizontal="center" vertical="center"/>
    </xf>
    <xf numFmtId="3" fontId="11" fillId="0" borderId="18" xfId="0" applyNumberFormat="1" applyFont="1" applyFill="1" applyBorder="1" applyAlignment="1">
      <alignment horizontal="center" vertical="center"/>
    </xf>
    <xf numFmtId="166" fontId="11" fillId="0" borderId="19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49" fontId="12" fillId="0" borderId="24" xfId="0" applyNumberFormat="1" applyFont="1" applyFill="1" applyBorder="1" applyAlignment="1">
      <alignment horizontal="center" vertical="center"/>
    </xf>
    <xf numFmtId="166" fontId="12" fillId="0" borderId="18" xfId="0" applyNumberFormat="1" applyFont="1" applyFill="1" applyBorder="1" applyAlignment="1">
      <alignment horizontal="center" vertical="center"/>
    </xf>
    <xf numFmtId="166" fontId="12" fillId="0" borderId="19" xfId="0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166" fontId="5" fillId="0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66" fontId="14" fillId="0" borderId="18" xfId="0" applyNumberFormat="1" applyFont="1" applyFill="1" applyBorder="1" applyAlignment="1">
      <alignment horizontal="center" vertical="center"/>
    </xf>
    <xf numFmtId="3" fontId="14" fillId="0" borderId="18" xfId="0" applyNumberFormat="1" applyFont="1" applyFill="1" applyBorder="1" applyAlignment="1">
      <alignment horizontal="center" vertical="center"/>
    </xf>
    <xf numFmtId="166" fontId="14" fillId="0" borderId="19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49" fontId="15" fillId="0" borderId="24" xfId="0" applyNumberFormat="1" applyFont="1" applyFill="1" applyBorder="1" applyAlignment="1">
      <alignment horizontal="center" vertical="center"/>
    </xf>
    <xf numFmtId="166" fontId="15" fillId="0" borderId="18" xfId="0" applyNumberFormat="1" applyFont="1" applyFill="1" applyBorder="1" applyAlignment="1">
      <alignment horizontal="center" vertical="center"/>
    </xf>
    <xf numFmtId="3" fontId="15" fillId="0" borderId="18" xfId="0" applyNumberFormat="1" applyFont="1" applyFill="1" applyBorder="1" applyAlignment="1">
      <alignment horizontal="center" vertical="center"/>
    </xf>
    <xf numFmtId="166" fontId="15" fillId="0" borderId="19" xfId="0" applyNumberFormat="1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center" vertical="center"/>
    </xf>
    <xf numFmtId="49" fontId="14" fillId="0" borderId="21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66" fontId="15" fillId="0" borderId="0" xfId="0" applyNumberFormat="1" applyFont="1" applyFill="1" applyBorder="1" applyAlignment="1">
      <alignment horizontal="center" vertical="center"/>
    </xf>
    <xf numFmtId="3" fontId="15" fillId="0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5" fillId="0" borderId="24" xfId="0" applyFont="1" applyFill="1" applyBorder="1" applyAlignment="1">
      <alignment horizontal="left" vertical="center"/>
    </xf>
    <xf numFmtId="0" fontId="47" fillId="0" borderId="61" xfId="0" applyFont="1" applyBorder="1" applyAlignment="1">
      <alignment horizontal="left" vertical="center"/>
    </xf>
    <xf numFmtId="0" fontId="47" fillId="0" borderId="24" xfId="0" applyFont="1" applyBorder="1" applyAlignment="1">
      <alignment horizontal="left" vertical="center"/>
    </xf>
    <xf numFmtId="0" fontId="11" fillId="0" borderId="2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7" fontId="4" fillId="0" borderId="19" xfId="0" applyNumberFormat="1" applyFont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41" fontId="4" fillId="0" borderId="18" xfId="5" applyNumberFormat="1" applyFont="1" applyBorder="1" applyAlignment="1">
      <alignment horizontal="center" vertical="center"/>
    </xf>
    <xf numFmtId="166" fontId="48" fillId="0" borderId="18" xfId="0" applyNumberFormat="1" applyFont="1" applyFill="1" applyBorder="1" applyAlignment="1">
      <alignment horizontal="center" vertical="center"/>
    </xf>
    <xf numFmtId="3" fontId="48" fillId="0" borderId="18" xfId="0" applyNumberFormat="1" applyFont="1" applyFill="1" applyBorder="1" applyAlignment="1">
      <alignment horizontal="center" vertical="center"/>
    </xf>
    <xf numFmtId="3" fontId="15" fillId="0" borderId="6" xfId="0" applyNumberFormat="1" applyFont="1" applyFill="1" applyBorder="1" applyAlignment="1">
      <alignment horizontal="center" vertical="center"/>
    </xf>
    <xf numFmtId="166" fontId="48" fillId="0" borderId="18" xfId="0" applyNumberFormat="1" applyFont="1" applyFill="1" applyBorder="1" applyAlignment="1">
      <alignment horizontal="center"/>
    </xf>
    <xf numFmtId="0" fontId="48" fillId="0" borderId="16" xfId="0" applyFont="1" applyFill="1" applyBorder="1"/>
    <xf numFmtId="0" fontId="48" fillId="0" borderId="17" xfId="0" applyFont="1" applyFill="1" applyBorder="1"/>
    <xf numFmtId="0" fontId="48" fillId="0" borderId="15" xfId="0" applyFont="1" applyFill="1" applyBorder="1"/>
    <xf numFmtId="0" fontId="49" fillId="0" borderId="16" xfId="0" applyFont="1" applyFill="1" applyBorder="1"/>
    <xf numFmtId="0" fontId="49" fillId="0" borderId="17" xfId="0" applyFont="1" applyFill="1" applyBorder="1"/>
    <xf numFmtId="0" fontId="49" fillId="0" borderId="15" xfId="0" applyFont="1" applyFill="1" applyBorder="1"/>
    <xf numFmtId="0" fontId="49" fillId="0" borderId="22" xfId="0" applyFont="1" applyFill="1" applyBorder="1"/>
    <xf numFmtId="0" fontId="49" fillId="0" borderId="13" xfId="0" applyFont="1" applyFill="1" applyBorder="1"/>
    <xf numFmtId="0" fontId="49" fillId="0" borderId="14" xfId="0" applyFont="1" applyFill="1" applyBorder="1"/>
    <xf numFmtId="170" fontId="29" fillId="0" borderId="1" xfId="2" applyNumberFormat="1" applyFont="1" applyFill="1" applyBorder="1" applyAlignment="1">
      <alignment horizontal="center"/>
    </xf>
    <xf numFmtId="167" fontId="29" fillId="2" borderId="1" xfId="2" applyNumberFormat="1" applyFont="1" applyFill="1" applyBorder="1" applyAlignment="1">
      <alignment horizontal="center"/>
    </xf>
    <xf numFmtId="166" fontId="29" fillId="2" borderId="1" xfId="2" applyNumberFormat="1" applyFont="1" applyFill="1" applyBorder="1" applyAlignment="1">
      <alignment horizontal="center"/>
    </xf>
    <xf numFmtId="166" fontId="29" fillId="0" borderId="1" xfId="2" applyNumberFormat="1" applyFont="1" applyBorder="1" applyAlignment="1">
      <alignment horizontal="center"/>
    </xf>
    <xf numFmtId="4" fontId="27" fillId="0" borderId="1" xfId="2" applyNumberFormat="1" applyFont="1" applyBorder="1" applyAlignment="1">
      <alignment horizontal="center"/>
    </xf>
    <xf numFmtId="0" fontId="24" fillId="0" borderId="1" xfId="1" applyFont="1" applyFill="1" applyBorder="1" applyAlignment="1">
      <alignment horizontal="left"/>
    </xf>
    <xf numFmtId="3" fontId="24" fillId="0" borderId="1" xfId="1" applyNumberFormat="1" applyFont="1" applyFill="1" applyBorder="1" applyAlignment="1">
      <alignment horizontal="center"/>
    </xf>
    <xf numFmtId="3" fontId="33" fillId="0" borderId="1" xfId="1" applyNumberFormat="1" applyFont="1" applyBorder="1" applyAlignment="1">
      <alignment horizontal="center"/>
    </xf>
    <xf numFmtId="4" fontId="24" fillId="0" borderId="1" xfId="1" applyNumberFormat="1" applyFont="1" applyBorder="1" applyAlignment="1">
      <alignment horizontal="center"/>
    </xf>
    <xf numFmtId="3" fontId="48" fillId="0" borderId="18" xfId="0" applyNumberFormat="1" applyFont="1" applyFill="1" applyBorder="1" applyAlignment="1">
      <alignment horizontal="center"/>
    </xf>
    <xf numFmtId="0" fontId="48" fillId="0" borderId="17" xfId="0" applyFont="1" applyFill="1" applyBorder="1" applyAlignment="1">
      <alignment horizontal="center" vertical="center"/>
    </xf>
    <xf numFmtId="0" fontId="48" fillId="0" borderId="15" xfId="0" applyFont="1" applyFill="1" applyBorder="1" applyAlignment="1">
      <alignment horizontal="center" vertical="center"/>
    </xf>
    <xf numFmtId="0" fontId="48" fillId="0" borderId="20" xfId="0" applyFont="1" applyFill="1" applyBorder="1" applyAlignment="1">
      <alignment horizontal="center" vertical="center"/>
    </xf>
    <xf numFmtId="3" fontId="12" fillId="0" borderId="16" xfId="0" applyNumberFormat="1" applyFont="1" applyFill="1" applyBorder="1" applyAlignment="1">
      <alignment horizontal="center" vertical="center"/>
    </xf>
    <xf numFmtId="1" fontId="15" fillId="0" borderId="62" xfId="0" applyNumberFormat="1" applyFont="1" applyFill="1" applyBorder="1"/>
    <xf numFmtId="1" fontId="20" fillId="0" borderId="0" xfId="0" applyNumberFormat="1" applyFont="1" applyFill="1"/>
    <xf numFmtId="174" fontId="29" fillId="0" borderId="13" xfId="3" applyNumberFormat="1" applyFont="1" applyFill="1" applyBorder="1" applyAlignment="1">
      <alignment horizontal="center"/>
    </xf>
    <xf numFmtId="3" fontId="35" fillId="3" borderId="0" xfId="1" applyNumberFormat="1" applyFont="1" applyFill="1" applyAlignment="1"/>
    <xf numFmtId="10" fontId="29" fillId="0" borderId="54" xfId="6" applyNumberFormat="1" applyFont="1" applyFill="1" applyBorder="1" applyAlignment="1">
      <alignment horizontal="center"/>
    </xf>
    <xf numFmtId="10" fontId="29" fillId="0" borderId="22" xfId="6" applyNumberFormat="1" applyFont="1" applyFill="1" applyBorder="1" applyAlignment="1">
      <alignment horizontal="center"/>
    </xf>
    <xf numFmtId="170" fontId="35" fillId="3" borderId="0" xfId="1" applyNumberFormat="1" applyFont="1" applyFill="1" applyAlignment="1">
      <alignment horizontal="center"/>
    </xf>
    <xf numFmtId="10" fontId="39" fillId="0" borderId="58" xfId="6" applyNumberFormat="1" applyFont="1" applyFill="1" applyBorder="1" applyAlignment="1">
      <alignment horizontal="center"/>
    </xf>
    <xf numFmtId="49" fontId="29" fillId="0" borderId="39" xfId="1" applyNumberFormat="1" applyFont="1" applyFill="1" applyBorder="1" applyAlignment="1">
      <alignment horizontal="center"/>
    </xf>
    <xf numFmtId="175" fontId="29" fillId="0" borderId="22" xfId="6" applyNumberFormat="1" applyFont="1" applyFill="1" applyBorder="1" applyAlignment="1">
      <alignment horizontal="center"/>
    </xf>
    <xf numFmtId="10" fontId="29" fillId="0" borderId="56" xfId="6" applyNumberFormat="1" applyFont="1" applyFill="1" applyBorder="1" applyAlignment="1">
      <alignment horizontal="center"/>
    </xf>
    <xf numFmtId="3" fontId="35" fillId="0" borderId="63" xfId="1" applyNumberFormat="1" applyFont="1" applyFill="1" applyBorder="1" applyAlignment="1">
      <alignment horizontal="center"/>
    </xf>
    <xf numFmtId="0" fontId="29" fillId="0" borderId="64" xfId="1" applyFont="1" applyFill="1" applyBorder="1" applyAlignment="1">
      <alignment horizontal="left"/>
    </xf>
    <xf numFmtId="0" fontId="29" fillId="0" borderId="43" xfId="1" applyFont="1" applyFill="1" applyBorder="1" applyAlignment="1">
      <alignment horizontal="centerContinuous"/>
    </xf>
    <xf numFmtId="172" fontId="29" fillId="0" borderId="66" xfId="3" applyNumberFormat="1" applyFont="1" applyFill="1" applyBorder="1" applyAlignment="1">
      <alignment horizontal="center"/>
    </xf>
    <xf numFmtId="171" fontId="37" fillId="0" borderId="43" xfId="4" applyNumberFormat="1" applyFont="1" applyFill="1" applyBorder="1" applyAlignment="1">
      <alignment horizontal="right"/>
    </xf>
    <xf numFmtId="3" fontId="35" fillId="0" borderId="1" xfId="1" applyNumberFormat="1" applyFont="1" applyFill="1" applyBorder="1" applyAlignment="1">
      <alignment horizontal="center"/>
    </xf>
    <xf numFmtId="49" fontId="29" fillId="0" borderId="3" xfId="1" applyNumberFormat="1" applyFont="1" applyFill="1" applyBorder="1" applyAlignment="1">
      <alignment horizontal="center"/>
    </xf>
    <xf numFmtId="172" fontId="41" fillId="0" borderId="3" xfId="3" applyNumberFormat="1" applyFont="1" applyFill="1" applyBorder="1" applyAlignment="1">
      <alignment horizontal="center"/>
    </xf>
    <xf numFmtId="171" fontId="35" fillId="3" borderId="37" xfId="6" applyNumberFormat="1" applyFont="1" applyFill="1" applyBorder="1"/>
    <xf numFmtId="10" fontId="23" fillId="3" borderId="4" xfId="6" applyNumberFormat="1" applyFont="1" applyFill="1" applyBorder="1" applyAlignment="1">
      <alignment horizontal="center"/>
    </xf>
    <xf numFmtId="173" fontId="50" fillId="3" borderId="0" xfId="1" applyNumberFormat="1" applyFont="1" applyFill="1" applyAlignment="1">
      <alignment horizontal="center"/>
    </xf>
    <xf numFmtId="176" fontId="51" fillId="0" borderId="65" xfId="5" applyNumberFormat="1" applyFont="1" applyFill="1" applyBorder="1" applyAlignment="1">
      <alignment horizontal="center"/>
    </xf>
    <xf numFmtId="171" fontId="51" fillId="0" borderId="53" xfId="4" applyNumberFormat="1" applyFont="1" applyFill="1" applyBorder="1" applyAlignment="1">
      <alignment horizontal="right"/>
    </xf>
    <xf numFmtId="0" fontId="40" fillId="0" borderId="2" xfId="1" applyFont="1" applyFill="1" applyBorder="1" applyAlignment="1">
      <alignment horizontal="left" indent="2"/>
    </xf>
    <xf numFmtId="3" fontId="38" fillId="3" borderId="0" xfId="1" applyNumberFormat="1" applyFont="1" applyFill="1"/>
    <xf numFmtId="0" fontId="4" fillId="0" borderId="24" xfId="0" applyFont="1" applyBorder="1" applyAlignment="1">
      <alignment horizontal="center" vertical="center"/>
    </xf>
    <xf numFmtId="3" fontId="15" fillId="0" borderId="16" xfId="0" applyNumberFormat="1" applyFont="1" applyFill="1" applyBorder="1" applyAlignment="1">
      <alignment horizontal="center" vertical="center"/>
    </xf>
    <xf numFmtId="3" fontId="12" fillId="0" borderId="18" xfId="0" applyNumberFormat="1" applyFont="1" applyFill="1" applyBorder="1" applyAlignment="1">
      <alignment horizontal="center"/>
    </xf>
    <xf numFmtId="3" fontId="14" fillId="0" borderId="18" xfId="0" applyNumberFormat="1" applyFont="1" applyFill="1" applyBorder="1" applyAlignment="1">
      <alignment horizontal="center"/>
    </xf>
    <xf numFmtId="3" fontId="5" fillId="0" borderId="16" xfId="0" applyNumberFormat="1" applyFont="1" applyFill="1" applyBorder="1" applyAlignment="1">
      <alignment horizontal="center" vertical="center"/>
    </xf>
    <xf numFmtId="166" fontId="10" fillId="0" borderId="18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166" fontId="5" fillId="0" borderId="18" xfId="0" applyNumberFormat="1" applyFont="1" applyFill="1" applyBorder="1" applyAlignment="1">
      <alignment horizontal="center" vertical="center"/>
    </xf>
    <xf numFmtId="166" fontId="5" fillId="0" borderId="19" xfId="0" applyNumberFormat="1" applyFont="1" applyFill="1" applyBorder="1" applyAlignment="1">
      <alignment horizontal="center" vertical="center"/>
    </xf>
    <xf numFmtId="0" fontId="5" fillId="0" borderId="21" xfId="0" applyFont="1" applyFill="1" applyBorder="1"/>
    <xf numFmtId="166" fontId="10" fillId="0" borderId="19" xfId="0" applyNumberFormat="1" applyFont="1" applyFill="1" applyBorder="1" applyAlignment="1">
      <alignment horizontal="center" vertical="center"/>
    </xf>
    <xf numFmtId="3" fontId="48" fillId="0" borderId="16" xfId="0" applyNumberFormat="1" applyFont="1" applyFill="1" applyBorder="1"/>
    <xf numFmtId="176" fontId="29" fillId="0" borderId="0" xfId="5" applyNumberFormat="1" applyFont="1" applyAlignment="1"/>
    <xf numFmtId="176" fontId="24" fillId="0" borderId="1" xfId="5" applyNumberFormat="1" applyFont="1" applyBorder="1" applyAlignment="1">
      <alignment horizontal="center"/>
    </xf>
    <xf numFmtId="3" fontId="48" fillId="0" borderId="17" xfId="0" applyNumberFormat="1" applyFont="1" applyFill="1" applyBorder="1"/>
    <xf numFmtId="0" fontId="4" fillId="0" borderId="0" xfId="0" applyFont="1" applyAlignment="1"/>
    <xf numFmtId="173" fontId="29" fillId="0" borderId="0" xfId="2" applyNumberFormat="1" applyFont="1" applyFill="1" applyAlignment="1"/>
    <xf numFmtId="41" fontId="43" fillId="0" borderId="0" xfId="1" applyNumberFormat="1" applyFont="1"/>
    <xf numFmtId="177" fontId="43" fillId="0" borderId="0" xfId="1" applyNumberFormat="1" applyFont="1"/>
    <xf numFmtId="9" fontId="35" fillId="3" borderId="0" xfId="6" applyFont="1" applyFill="1"/>
    <xf numFmtId="176" fontId="43" fillId="0" borderId="0" xfId="5" applyNumberFormat="1" applyFont="1"/>
    <xf numFmtId="0" fontId="14" fillId="0" borderId="21" xfId="0" applyFont="1" applyFill="1" applyBorder="1"/>
    <xf numFmtId="0" fontId="18" fillId="0" borderId="21" xfId="0" applyFont="1" applyBorder="1"/>
    <xf numFmtId="3" fontId="48" fillId="0" borderId="6" xfId="0" applyNumberFormat="1" applyFont="1" applyFill="1" applyBorder="1" applyAlignment="1">
      <alignment horizontal="center" vertical="center"/>
    </xf>
    <xf numFmtId="0" fontId="10" fillId="0" borderId="23" xfId="0" applyFont="1" applyFill="1" applyBorder="1"/>
    <xf numFmtId="166" fontId="48" fillId="0" borderId="23" xfId="0" applyNumberFormat="1" applyFont="1" applyFill="1" applyBorder="1" applyAlignment="1">
      <alignment horizontal="left"/>
    </xf>
    <xf numFmtId="0" fontId="10" fillId="0" borderId="67" xfId="0" applyFont="1" applyFill="1" applyBorder="1"/>
    <xf numFmtId="0" fontId="49" fillId="0" borderId="67" xfId="0" applyFont="1" applyFill="1" applyBorder="1"/>
    <xf numFmtId="3" fontId="48" fillId="0" borderId="6" xfId="0" applyNumberFormat="1" applyFont="1" applyFill="1" applyBorder="1" applyAlignment="1">
      <alignment horizontal="center"/>
    </xf>
    <xf numFmtId="3" fontId="49" fillId="0" borderId="12" xfId="0" applyNumberFormat="1" applyFont="1" applyFill="1" applyBorder="1"/>
    <xf numFmtId="0" fontId="49" fillId="0" borderId="12" xfId="0" applyFont="1" applyFill="1" applyBorder="1"/>
    <xf numFmtId="0" fontId="49" fillId="0" borderId="53" xfId="0" applyFont="1" applyFill="1" applyBorder="1"/>
    <xf numFmtId="166" fontId="48" fillId="0" borderId="33" xfId="0" applyNumberFormat="1" applyFont="1" applyFill="1" applyBorder="1" applyAlignment="1">
      <alignment horizontal="center"/>
    </xf>
    <xf numFmtId="3" fontId="48" fillId="0" borderId="53" xfId="0" applyNumberFormat="1" applyFont="1" applyFill="1" applyBorder="1" applyAlignment="1">
      <alignment horizontal="center"/>
    </xf>
    <xf numFmtId="1" fontId="15" fillId="0" borderId="68" xfId="0" applyNumberFormat="1" applyFont="1" applyFill="1" applyBorder="1"/>
    <xf numFmtId="1" fontId="15" fillId="0" borderId="0" xfId="0" applyNumberFormat="1" applyFont="1" applyFill="1" applyBorder="1"/>
    <xf numFmtId="1" fontId="15" fillId="0" borderId="69" xfId="0" applyNumberFormat="1" applyFont="1" applyFill="1" applyBorder="1"/>
    <xf numFmtId="0" fontId="52" fillId="0" borderId="0" xfId="1" applyFont="1"/>
    <xf numFmtId="0" fontId="53" fillId="0" borderId="0" xfId="1" applyFont="1"/>
    <xf numFmtId="0" fontId="54" fillId="0" borderId="0" xfId="1" applyFont="1"/>
    <xf numFmtId="0" fontId="52" fillId="0" borderId="0" xfId="1" applyFont="1" applyAlignment="1">
      <alignment horizontal="center"/>
    </xf>
    <xf numFmtId="1" fontId="52" fillId="0" borderId="0" xfId="1" applyNumberFormat="1" applyFont="1" applyAlignment="1">
      <alignment horizontal="center"/>
    </xf>
    <xf numFmtId="176" fontId="24" fillId="0" borderId="0" xfId="5" applyNumberFormat="1" applyFont="1"/>
    <xf numFmtId="43" fontId="42" fillId="0" borderId="0" xfId="5" applyFont="1"/>
    <xf numFmtId="43" fontId="43" fillId="0" borderId="0" xfId="1" applyNumberFormat="1" applyFont="1"/>
    <xf numFmtId="43" fontId="42" fillId="0" borderId="0" xfId="1" applyNumberFormat="1" applyFont="1"/>
    <xf numFmtId="0" fontId="3" fillId="0" borderId="0" xfId="0" applyFont="1" applyFill="1" applyAlignment="1">
      <alignment horizontal="center" vertical="center"/>
    </xf>
    <xf numFmtId="16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9" fontId="55" fillId="0" borderId="0" xfId="0" applyNumberFormat="1" applyFont="1" applyAlignment="1">
      <alignment horizontal="center" vertical="center"/>
    </xf>
    <xf numFmtId="166" fontId="3" fillId="0" borderId="71" xfId="0" applyNumberFormat="1" applyFont="1" applyFill="1" applyBorder="1" applyAlignment="1">
      <alignment horizontal="center" vertical="center"/>
    </xf>
    <xf numFmtId="166" fontId="11" fillId="0" borderId="72" xfId="0" applyNumberFormat="1" applyFont="1" applyFill="1" applyBorder="1" applyAlignment="1">
      <alignment horizontal="center" vertical="center"/>
    </xf>
    <xf numFmtId="166" fontId="11" fillId="0" borderId="72" xfId="0" applyNumberFormat="1" applyFont="1" applyFill="1" applyBorder="1"/>
    <xf numFmtId="166" fontId="12" fillId="0" borderId="72" xfId="0" applyNumberFormat="1" applyFont="1" applyFill="1" applyBorder="1"/>
    <xf numFmtId="166" fontId="12" fillId="0" borderId="72" xfId="0" applyNumberFormat="1" applyFont="1" applyFill="1" applyBorder="1" applyAlignment="1">
      <alignment horizontal="center" vertical="center"/>
    </xf>
    <xf numFmtId="166" fontId="14" fillId="0" borderId="72" xfId="0" applyNumberFormat="1" applyFont="1" applyFill="1" applyBorder="1"/>
    <xf numFmtId="166" fontId="14" fillId="0" borderId="72" xfId="0" applyNumberFormat="1" applyFont="1" applyFill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166" fontId="5" fillId="0" borderId="72" xfId="0" applyNumberFormat="1" applyFont="1" applyFill="1" applyBorder="1" applyAlignment="1">
      <alignment horizontal="center" vertical="center"/>
    </xf>
    <xf numFmtId="166" fontId="10" fillId="0" borderId="72" xfId="0" applyNumberFormat="1" applyFont="1" applyFill="1" applyBorder="1" applyAlignment="1">
      <alignment horizontal="center" vertical="center"/>
    </xf>
    <xf numFmtId="166" fontId="15" fillId="0" borderId="72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3" fontId="43" fillId="0" borderId="0" xfId="5" applyFont="1"/>
    <xf numFmtId="41" fontId="43" fillId="0" borderId="1" xfId="1" applyNumberFormat="1" applyFont="1" applyBorder="1"/>
    <xf numFmtId="177" fontId="43" fillId="0" borderId="1" xfId="1" applyNumberFormat="1" applyFont="1" applyBorder="1"/>
    <xf numFmtId="41" fontId="43" fillId="0" borderId="1" xfId="1" applyNumberFormat="1" applyFont="1" applyBorder="1" applyAlignment="1">
      <alignment horizontal="center" vertical="center"/>
    </xf>
    <xf numFmtId="179" fontId="43" fillId="0" borderId="1" xfId="5" applyNumberFormat="1" applyFont="1" applyBorder="1"/>
    <xf numFmtId="176" fontId="43" fillId="0" borderId="1" xfId="5" applyNumberFormat="1" applyFont="1" applyBorder="1"/>
    <xf numFmtId="178" fontId="43" fillId="0" borderId="0" xfId="1" applyNumberFormat="1" applyFont="1"/>
    <xf numFmtId="178" fontId="43" fillId="0" borderId="1" xfId="1" applyNumberFormat="1" applyFont="1" applyBorder="1"/>
    <xf numFmtId="180" fontId="43" fillId="0" borderId="1" xfId="1" applyNumberFormat="1" applyFont="1" applyBorder="1"/>
    <xf numFmtId="3" fontId="12" fillId="0" borderId="17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0" fontId="24" fillId="2" borderId="1" xfId="1" applyFont="1" applyFill="1" applyBorder="1" applyAlignment="1">
      <alignment horizontal="left"/>
    </xf>
    <xf numFmtId="3" fontId="24" fillId="2" borderId="1" xfId="1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16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" fontId="48" fillId="0" borderId="15" xfId="0" applyNumberFormat="1" applyFont="1" applyFill="1" applyBorder="1"/>
    <xf numFmtId="3" fontId="48" fillId="0" borderId="12" xfId="0" applyNumberFormat="1" applyFont="1" applyFill="1" applyBorder="1"/>
    <xf numFmtId="3" fontId="48" fillId="0" borderId="13" xfId="0" applyNumberFormat="1" applyFont="1" applyFill="1" applyBorder="1"/>
    <xf numFmtId="3" fontId="48" fillId="0" borderId="14" xfId="0" applyNumberFormat="1" applyFont="1" applyFill="1" applyBorder="1"/>
    <xf numFmtId="3" fontId="15" fillId="0" borderId="21" xfId="0" applyNumberFormat="1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 vertical="center"/>
    </xf>
    <xf numFmtId="3" fontId="26" fillId="0" borderId="1" xfId="1" applyNumberFormat="1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16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5" fontId="8" fillId="0" borderId="2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5" fillId="0" borderId="70" xfId="0" applyFont="1" applyBorder="1" applyAlignment="1">
      <alignment horizontal="right" vertical="center"/>
    </xf>
    <xf numFmtId="0" fontId="19" fillId="0" borderId="24" xfId="0" applyFont="1" applyFill="1" applyBorder="1" applyAlignment="1">
      <alignment horizontal="right"/>
    </xf>
    <xf numFmtId="0" fontId="19" fillId="0" borderId="33" xfId="0" applyFont="1" applyFill="1" applyBorder="1" applyAlignment="1">
      <alignment horizontal="right"/>
    </xf>
    <xf numFmtId="0" fontId="19" fillId="0" borderId="31" xfId="0" applyFont="1" applyFill="1" applyBorder="1" applyAlignment="1">
      <alignment horizontal="right"/>
    </xf>
    <xf numFmtId="165" fontId="8" fillId="0" borderId="2" xfId="0" applyNumberFormat="1" applyFont="1" applyBorder="1" applyAlignment="1">
      <alignment horizontal="center" vertical="justify"/>
    </xf>
    <xf numFmtId="165" fontId="8" fillId="0" borderId="3" xfId="0" applyNumberFormat="1" applyFont="1" applyBorder="1" applyAlignment="1">
      <alignment horizontal="center" vertical="justify"/>
    </xf>
    <xf numFmtId="165" fontId="8" fillId="0" borderId="4" xfId="0" applyNumberFormat="1" applyFont="1" applyBorder="1" applyAlignment="1">
      <alignment horizontal="center" vertical="justify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1" fillId="0" borderId="33" xfId="0" applyFont="1" applyFill="1" applyBorder="1" applyAlignment="1">
      <alignment horizontal="right"/>
    </xf>
    <xf numFmtId="0" fontId="21" fillId="0" borderId="34" xfId="0" applyFont="1" applyFill="1" applyBorder="1" applyAlignment="1">
      <alignment horizontal="right"/>
    </xf>
    <xf numFmtId="0" fontId="21" fillId="0" borderId="31" xfId="0" applyFont="1" applyFill="1" applyBorder="1" applyAlignment="1">
      <alignment horizontal="right"/>
    </xf>
    <xf numFmtId="0" fontId="21" fillId="0" borderId="32" xfId="0" applyFont="1" applyFill="1" applyBorder="1" applyAlignment="1">
      <alignment horizontal="right"/>
    </xf>
    <xf numFmtId="0" fontId="23" fillId="0" borderId="0" xfId="1" applyFont="1" applyAlignment="1">
      <alignment horizontal="center"/>
    </xf>
    <xf numFmtId="0" fontId="27" fillId="0" borderId="0" xfId="1" applyFont="1" applyBorder="1" applyAlignment="1">
      <alignment horizontal="center"/>
    </xf>
    <xf numFmtId="0" fontId="23" fillId="0" borderId="0" xfId="1" applyFont="1" applyFill="1" applyAlignment="1">
      <alignment horizontal="center"/>
    </xf>
    <xf numFmtId="0" fontId="25" fillId="0" borderId="42" xfId="1" applyFont="1" applyFill="1" applyBorder="1" applyAlignment="1">
      <alignment horizontal="right"/>
    </xf>
    <xf numFmtId="0" fontId="25" fillId="0" borderId="43" xfId="1" applyFont="1" applyFill="1" applyBorder="1" applyAlignment="1">
      <alignment horizontal="right"/>
    </xf>
    <xf numFmtId="0" fontId="25" fillId="0" borderId="44" xfId="1" applyFont="1" applyFill="1" applyBorder="1" applyAlignment="1">
      <alignment horizontal="right"/>
    </xf>
    <xf numFmtId="0" fontId="25" fillId="0" borderId="42" xfId="1" applyFont="1" applyBorder="1" applyAlignment="1">
      <alignment horizontal="right"/>
    </xf>
    <xf numFmtId="0" fontId="25" fillId="0" borderId="43" xfId="1" applyFont="1" applyBorder="1" applyAlignment="1">
      <alignment horizontal="right"/>
    </xf>
    <xf numFmtId="0" fontId="25" fillId="0" borderId="44" xfId="1" applyFont="1" applyBorder="1" applyAlignment="1">
      <alignment horizontal="right"/>
    </xf>
    <xf numFmtId="0" fontId="27" fillId="0" borderId="0" xfId="1" applyFont="1" applyAlignment="1">
      <alignment horizontal="center"/>
    </xf>
    <xf numFmtId="0" fontId="34" fillId="0" borderId="1" xfId="1" applyFont="1" applyBorder="1" applyAlignment="1">
      <alignment horizontal="right"/>
    </xf>
    <xf numFmtId="0" fontId="42" fillId="0" borderId="0" xfId="1" applyFont="1" applyAlignment="1">
      <alignment horizontal="center"/>
    </xf>
    <xf numFmtId="0" fontId="43" fillId="0" borderId="1" xfId="1" applyFont="1" applyBorder="1" applyAlignment="1">
      <alignment horizontal="center"/>
    </xf>
    <xf numFmtId="0" fontId="42" fillId="0" borderId="0" xfId="1" applyFont="1" applyAlignment="1">
      <alignment horizontal="center" wrapText="1"/>
    </xf>
    <xf numFmtId="0" fontId="43" fillId="0" borderId="0" xfId="1" applyFont="1" applyAlignment="1">
      <alignment horizontal="center"/>
    </xf>
    <xf numFmtId="165" fontId="8" fillId="0" borderId="73" xfId="0" applyNumberFormat="1" applyFont="1" applyBorder="1" applyAlignment="1">
      <alignment horizontal="center" vertical="center"/>
    </xf>
    <xf numFmtId="165" fontId="8" fillId="0" borderId="70" xfId="0" applyNumberFormat="1" applyFont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49" fontId="10" fillId="0" borderId="74" xfId="0" applyNumberFormat="1" applyFont="1" applyFill="1" applyBorder="1" applyAlignment="1">
      <alignment horizontal="center"/>
    </xf>
    <xf numFmtId="3" fontId="10" fillId="0" borderId="18" xfId="0" applyNumberFormat="1" applyFont="1" applyFill="1" applyBorder="1" applyAlignment="1">
      <alignment horizontal="center"/>
    </xf>
    <xf numFmtId="165" fontId="8" fillId="0" borderId="0" xfId="0" applyNumberFormat="1" applyFont="1" applyBorder="1" applyAlignment="1">
      <alignment horizontal="center" vertical="justify"/>
    </xf>
    <xf numFmtId="4" fontId="24" fillId="0" borderId="1" xfId="1" applyNumberFormat="1" applyFont="1" applyFill="1" applyBorder="1" applyAlignment="1">
      <alignment horizontal="center"/>
    </xf>
    <xf numFmtId="4" fontId="24" fillId="2" borderId="1" xfId="1" applyNumberFormat="1" applyFont="1" applyFill="1" applyBorder="1" applyAlignment="1">
      <alignment horizontal="center"/>
    </xf>
  </cellXfs>
  <cellStyles count="15">
    <cellStyle name="Binlik Ayracı [0] 2" xfId="13"/>
    <cellStyle name="Comma [0]_Specification for Civil Design" xfId="11"/>
    <cellStyle name="Normal" xfId="0" builtinId="0"/>
    <cellStyle name="Normal 2" xfId="1"/>
    <cellStyle name="Normal 3" xfId="7"/>
    <cellStyle name="normal 4" xfId="9"/>
    <cellStyle name="Normal_MAKINA" xfId="2"/>
    <cellStyle name="Virgül" xfId="5" builtinId="3"/>
    <cellStyle name="Virgül 2" xfId="3"/>
    <cellStyle name="Virgül 3" xfId="14"/>
    <cellStyle name="Yüzde" xfId="6" builtinId="5"/>
    <cellStyle name="Yüzde 2" xfId="4"/>
    <cellStyle name="쉼표 [0]_표준내역서(토건)" xfId="10"/>
    <cellStyle name="표준_Bill of Quantities (R2)" xfId="8"/>
    <cellStyle name="標準_ORIG精算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381058425741192E-2"/>
          <c:y val="1.9163030685744761E-2"/>
          <c:w val="0.86746942351295053"/>
          <c:h val="0.94813305459012664"/>
        </c:manualLayout>
      </c:layout>
      <c:barChart>
        <c:barDir val="col"/>
        <c:grouping val="clustered"/>
        <c:varyColors val="0"/>
        <c:ser>
          <c:idx val="0"/>
          <c:order val="0"/>
          <c:tx>
            <c:v>DIRECT PERSONNEL</c:v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'Manpower Histogram'!$H$5:$DC$5</c:f>
              <c:strCache>
                <c:ptCount val="97"/>
                <c:pt idx="0">
                  <c:v>Month-1</c:v>
                </c:pt>
                <c:pt idx="4">
                  <c:v>Month-2</c:v>
                </c:pt>
                <c:pt idx="8">
                  <c:v>Month-3</c:v>
                </c:pt>
                <c:pt idx="12">
                  <c:v>Month-4</c:v>
                </c:pt>
                <c:pt idx="16">
                  <c:v>Month-5</c:v>
                </c:pt>
                <c:pt idx="20">
                  <c:v>Month-6</c:v>
                </c:pt>
                <c:pt idx="24">
                  <c:v>Month-7</c:v>
                </c:pt>
                <c:pt idx="28">
                  <c:v>Month-8</c:v>
                </c:pt>
                <c:pt idx="32">
                  <c:v>Month-9</c:v>
                </c:pt>
                <c:pt idx="36">
                  <c:v>Month-10</c:v>
                </c:pt>
                <c:pt idx="40">
                  <c:v>Month-11</c:v>
                </c:pt>
                <c:pt idx="44">
                  <c:v>Month-12</c:v>
                </c:pt>
                <c:pt idx="48">
                  <c:v>Month-13</c:v>
                </c:pt>
                <c:pt idx="52">
                  <c:v>Month-14</c:v>
                </c:pt>
                <c:pt idx="56">
                  <c:v>Month-15</c:v>
                </c:pt>
                <c:pt idx="60">
                  <c:v>Month-16</c:v>
                </c:pt>
                <c:pt idx="64">
                  <c:v>Month-17</c:v>
                </c:pt>
                <c:pt idx="68">
                  <c:v>Month-18</c:v>
                </c:pt>
                <c:pt idx="72">
                  <c:v>Month-19</c:v>
                </c:pt>
                <c:pt idx="76">
                  <c:v>Month-20</c:v>
                </c:pt>
                <c:pt idx="80">
                  <c:v>Month-21</c:v>
                </c:pt>
                <c:pt idx="84">
                  <c:v>Month-22</c:v>
                </c:pt>
                <c:pt idx="88">
                  <c:v>Month-23</c:v>
                </c:pt>
                <c:pt idx="92">
                  <c:v>Month-24</c:v>
                </c:pt>
                <c:pt idx="96">
                  <c:v>Month-25</c:v>
                </c:pt>
              </c:strCache>
            </c:strRef>
          </c:cat>
          <c:val>
            <c:numRef>
              <c:f>'Manpower Histogram'!$H$16:$DC$16</c:f>
              <c:numCache>
                <c:formatCode>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137</c:v>
                </c:pt>
                <c:pt idx="25">
                  <c:v>137</c:v>
                </c:pt>
                <c:pt idx="26">
                  <c:v>137</c:v>
                </c:pt>
                <c:pt idx="27">
                  <c:v>137</c:v>
                </c:pt>
                <c:pt idx="28">
                  <c:v>137</c:v>
                </c:pt>
                <c:pt idx="29">
                  <c:v>137</c:v>
                </c:pt>
                <c:pt idx="30">
                  <c:v>137</c:v>
                </c:pt>
                <c:pt idx="31">
                  <c:v>137</c:v>
                </c:pt>
                <c:pt idx="32">
                  <c:v>137</c:v>
                </c:pt>
                <c:pt idx="33">
                  <c:v>137</c:v>
                </c:pt>
                <c:pt idx="34">
                  <c:v>137</c:v>
                </c:pt>
                <c:pt idx="35">
                  <c:v>137</c:v>
                </c:pt>
                <c:pt idx="36">
                  <c:v>137</c:v>
                </c:pt>
                <c:pt idx="37">
                  <c:v>137</c:v>
                </c:pt>
                <c:pt idx="38">
                  <c:v>137</c:v>
                </c:pt>
                <c:pt idx="39">
                  <c:v>137</c:v>
                </c:pt>
                <c:pt idx="40">
                  <c:v>137</c:v>
                </c:pt>
                <c:pt idx="41">
                  <c:v>137</c:v>
                </c:pt>
                <c:pt idx="42">
                  <c:v>137</c:v>
                </c:pt>
                <c:pt idx="43">
                  <c:v>137</c:v>
                </c:pt>
                <c:pt idx="44">
                  <c:v>137</c:v>
                </c:pt>
                <c:pt idx="45">
                  <c:v>137</c:v>
                </c:pt>
                <c:pt idx="46">
                  <c:v>137</c:v>
                </c:pt>
                <c:pt idx="47">
                  <c:v>137</c:v>
                </c:pt>
                <c:pt idx="48">
                  <c:v>137</c:v>
                </c:pt>
                <c:pt idx="49">
                  <c:v>137</c:v>
                </c:pt>
                <c:pt idx="50">
                  <c:v>137</c:v>
                </c:pt>
                <c:pt idx="51">
                  <c:v>137</c:v>
                </c:pt>
                <c:pt idx="52">
                  <c:v>137</c:v>
                </c:pt>
                <c:pt idx="53">
                  <c:v>137</c:v>
                </c:pt>
                <c:pt idx="54">
                  <c:v>137</c:v>
                </c:pt>
                <c:pt idx="55">
                  <c:v>137</c:v>
                </c:pt>
                <c:pt idx="56">
                  <c:v>137</c:v>
                </c:pt>
                <c:pt idx="57">
                  <c:v>137</c:v>
                </c:pt>
                <c:pt idx="58">
                  <c:v>137</c:v>
                </c:pt>
                <c:pt idx="59">
                  <c:v>137</c:v>
                </c:pt>
                <c:pt idx="60">
                  <c:v>137</c:v>
                </c:pt>
                <c:pt idx="61">
                  <c:v>137</c:v>
                </c:pt>
                <c:pt idx="62">
                  <c:v>137</c:v>
                </c:pt>
                <c:pt idx="63">
                  <c:v>137</c:v>
                </c:pt>
                <c:pt idx="64">
                  <c:v>137</c:v>
                </c:pt>
                <c:pt idx="65">
                  <c:v>137</c:v>
                </c:pt>
                <c:pt idx="66">
                  <c:v>137</c:v>
                </c:pt>
                <c:pt idx="67">
                  <c:v>137</c:v>
                </c:pt>
                <c:pt idx="68">
                  <c:v>137</c:v>
                </c:pt>
                <c:pt idx="69">
                  <c:v>137</c:v>
                </c:pt>
                <c:pt idx="70">
                  <c:v>137</c:v>
                </c:pt>
                <c:pt idx="71">
                  <c:v>137</c:v>
                </c:pt>
                <c:pt idx="72">
                  <c:v>137</c:v>
                </c:pt>
                <c:pt idx="73">
                  <c:v>137</c:v>
                </c:pt>
                <c:pt idx="74">
                  <c:v>137</c:v>
                </c:pt>
                <c:pt idx="75">
                  <c:v>137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137</c:v>
                </c:pt>
                <c:pt idx="80">
                  <c:v>137</c:v>
                </c:pt>
                <c:pt idx="81">
                  <c:v>137</c:v>
                </c:pt>
                <c:pt idx="82">
                  <c:v>137</c:v>
                </c:pt>
                <c:pt idx="83">
                  <c:v>137</c:v>
                </c:pt>
                <c:pt idx="84">
                  <c:v>137</c:v>
                </c:pt>
                <c:pt idx="85">
                  <c:v>137</c:v>
                </c:pt>
                <c:pt idx="86">
                  <c:v>137</c:v>
                </c:pt>
                <c:pt idx="87">
                  <c:v>137</c:v>
                </c:pt>
                <c:pt idx="88">
                  <c:v>137</c:v>
                </c:pt>
                <c:pt idx="89">
                  <c:v>137</c:v>
                </c:pt>
                <c:pt idx="90">
                  <c:v>137</c:v>
                </c:pt>
                <c:pt idx="91">
                  <c:v>137</c:v>
                </c:pt>
                <c:pt idx="92">
                  <c:v>137</c:v>
                </c:pt>
                <c:pt idx="93">
                  <c:v>137</c:v>
                </c:pt>
                <c:pt idx="94">
                  <c:v>137</c:v>
                </c:pt>
                <c:pt idx="95">
                  <c:v>137</c:v>
                </c:pt>
                <c:pt idx="96">
                  <c:v>137</c:v>
                </c:pt>
                <c:pt idx="97">
                  <c:v>137</c:v>
                </c:pt>
                <c:pt idx="98">
                  <c:v>137</c:v>
                </c:pt>
                <c:pt idx="99">
                  <c:v>137</c:v>
                </c:pt>
              </c:numCache>
            </c:numRef>
          </c:val>
        </c:ser>
        <c:ser>
          <c:idx val="1"/>
          <c:order val="1"/>
          <c:tx>
            <c:v>INDIRECT PERSONNEL</c:v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'Manpower Histogram'!$H$5:$DC$5</c:f>
              <c:strCache>
                <c:ptCount val="97"/>
                <c:pt idx="0">
                  <c:v>Month-1</c:v>
                </c:pt>
                <c:pt idx="4">
                  <c:v>Month-2</c:v>
                </c:pt>
                <c:pt idx="8">
                  <c:v>Month-3</c:v>
                </c:pt>
                <c:pt idx="12">
                  <c:v>Month-4</c:v>
                </c:pt>
                <c:pt idx="16">
                  <c:v>Month-5</c:v>
                </c:pt>
                <c:pt idx="20">
                  <c:v>Month-6</c:v>
                </c:pt>
                <c:pt idx="24">
                  <c:v>Month-7</c:v>
                </c:pt>
                <c:pt idx="28">
                  <c:v>Month-8</c:v>
                </c:pt>
                <c:pt idx="32">
                  <c:v>Month-9</c:v>
                </c:pt>
                <c:pt idx="36">
                  <c:v>Month-10</c:v>
                </c:pt>
                <c:pt idx="40">
                  <c:v>Month-11</c:v>
                </c:pt>
                <c:pt idx="44">
                  <c:v>Month-12</c:v>
                </c:pt>
                <c:pt idx="48">
                  <c:v>Month-13</c:v>
                </c:pt>
                <c:pt idx="52">
                  <c:v>Month-14</c:v>
                </c:pt>
                <c:pt idx="56">
                  <c:v>Month-15</c:v>
                </c:pt>
                <c:pt idx="60">
                  <c:v>Month-16</c:v>
                </c:pt>
                <c:pt idx="64">
                  <c:v>Month-17</c:v>
                </c:pt>
                <c:pt idx="68">
                  <c:v>Month-18</c:v>
                </c:pt>
                <c:pt idx="72">
                  <c:v>Month-19</c:v>
                </c:pt>
                <c:pt idx="76">
                  <c:v>Month-20</c:v>
                </c:pt>
                <c:pt idx="80">
                  <c:v>Month-21</c:v>
                </c:pt>
                <c:pt idx="84">
                  <c:v>Month-22</c:v>
                </c:pt>
                <c:pt idx="88">
                  <c:v>Month-23</c:v>
                </c:pt>
                <c:pt idx="92">
                  <c:v>Month-24</c:v>
                </c:pt>
                <c:pt idx="96">
                  <c:v>Month-25</c:v>
                </c:pt>
              </c:strCache>
            </c:strRef>
          </c:cat>
          <c:val>
            <c:numRef>
              <c:f>'Manpower Histogram'!$H$34:$DC$34</c:f>
              <c:numCache>
                <c:formatCode>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</c:numCache>
            </c:numRef>
          </c:val>
        </c:ser>
        <c:ser>
          <c:idx val="2"/>
          <c:order val="2"/>
          <c:tx>
            <c:v>TOTAL PERSONNEL</c:v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'Manpower Histogram'!$H$5:$DC$5</c:f>
              <c:strCache>
                <c:ptCount val="97"/>
                <c:pt idx="0">
                  <c:v>Month-1</c:v>
                </c:pt>
                <c:pt idx="4">
                  <c:v>Month-2</c:v>
                </c:pt>
                <c:pt idx="8">
                  <c:v>Month-3</c:v>
                </c:pt>
                <c:pt idx="12">
                  <c:v>Month-4</c:v>
                </c:pt>
                <c:pt idx="16">
                  <c:v>Month-5</c:v>
                </c:pt>
                <c:pt idx="20">
                  <c:v>Month-6</c:v>
                </c:pt>
                <c:pt idx="24">
                  <c:v>Month-7</c:v>
                </c:pt>
                <c:pt idx="28">
                  <c:v>Month-8</c:v>
                </c:pt>
                <c:pt idx="32">
                  <c:v>Month-9</c:v>
                </c:pt>
                <c:pt idx="36">
                  <c:v>Month-10</c:v>
                </c:pt>
                <c:pt idx="40">
                  <c:v>Month-11</c:v>
                </c:pt>
                <c:pt idx="44">
                  <c:v>Month-12</c:v>
                </c:pt>
                <c:pt idx="48">
                  <c:v>Month-13</c:v>
                </c:pt>
                <c:pt idx="52">
                  <c:v>Month-14</c:v>
                </c:pt>
                <c:pt idx="56">
                  <c:v>Month-15</c:v>
                </c:pt>
                <c:pt idx="60">
                  <c:v>Month-16</c:v>
                </c:pt>
                <c:pt idx="64">
                  <c:v>Month-17</c:v>
                </c:pt>
                <c:pt idx="68">
                  <c:v>Month-18</c:v>
                </c:pt>
                <c:pt idx="72">
                  <c:v>Month-19</c:v>
                </c:pt>
                <c:pt idx="76">
                  <c:v>Month-20</c:v>
                </c:pt>
                <c:pt idx="80">
                  <c:v>Month-21</c:v>
                </c:pt>
                <c:pt idx="84">
                  <c:v>Month-22</c:v>
                </c:pt>
                <c:pt idx="88">
                  <c:v>Month-23</c:v>
                </c:pt>
                <c:pt idx="92">
                  <c:v>Month-24</c:v>
                </c:pt>
                <c:pt idx="96">
                  <c:v>Month-25</c:v>
                </c:pt>
              </c:strCache>
            </c:strRef>
          </c:cat>
          <c:val>
            <c:numRef>
              <c:f>'Manpower Histogram'!$H$35:$DC$35</c:f>
              <c:numCache>
                <c:formatCode>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165</c:v>
                </c:pt>
                <c:pt idx="25">
                  <c:v>165</c:v>
                </c:pt>
                <c:pt idx="26">
                  <c:v>165</c:v>
                </c:pt>
                <c:pt idx="27">
                  <c:v>165</c:v>
                </c:pt>
                <c:pt idx="28">
                  <c:v>165</c:v>
                </c:pt>
                <c:pt idx="29">
                  <c:v>165</c:v>
                </c:pt>
                <c:pt idx="30">
                  <c:v>165</c:v>
                </c:pt>
                <c:pt idx="31">
                  <c:v>165</c:v>
                </c:pt>
                <c:pt idx="32">
                  <c:v>165</c:v>
                </c:pt>
                <c:pt idx="33">
                  <c:v>165</c:v>
                </c:pt>
                <c:pt idx="34">
                  <c:v>165</c:v>
                </c:pt>
                <c:pt idx="35">
                  <c:v>165</c:v>
                </c:pt>
                <c:pt idx="36">
                  <c:v>163</c:v>
                </c:pt>
                <c:pt idx="37">
                  <c:v>163</c:v>
                </c:pt>
                <c:pt idx="38">
                  <c:v>163</c:v>
                </c:pt>
                <c:pt idx="39">
                  <c:v>163</c:v>
                </c:pt>
                <c:pt idx="40">
                  <c:v>163</c:v>
                </c:pt>
                <c:pt idx="41">
                  <c:v>163</c:v>
                </c:pt>
                <c:pt idx="42">
                  <c:v>163</c:v>
                </c:pt>
                <c:pt idx="43">
                  <c:v>163</c:v>
                </c:pt>
                <c:pt idx="44">
                  <c:v>165</c:v>
                </c:pt>
                <c:pt idx="45">
                  <c:v>165</c:v>
                </c:pt>
                <c:pt idx="46">
                  <c:v>165</c:v>
                </c:pt>
                <c:pt idx="47">
                  <c:v>165</c:v>
                </c:pt>
                <c:pt idx="48">
                  <c:v>165</c:v>
                </c:pt>
                <c:pt idx="49">
                  <c:v>165</c:v>
                </c:pt>
                <c:pt idx="50">
                  <c:v>165</c:v>
                </c:pt>
                <c:pt idx="51">
                  <c:v>165</c:v>
                </c:pt>
                <c:pt idx="52">
                  <c:v>165</c:v>
                </c:pt>
                <c:pt idx="53">
                  <c:v>165</c:v>
                </c:pt>
                <c:pt idx="54">
                  <c:v>165</c:v>
                </c:pt>
                <c:pt idx="55">
                  <c:v>165</c:v>
                </c:pt>
                <c:pt idx="56">
                  <c:v>165</c:v>
                </c:pt>
                <c:pt idx="57">
                  <c:v>165</c:v>
                </c:pt>
                <c:pt idx="58">
                  <c:v>165</c:v>
                </c:pt>
                <c:pt idx="59">
                  <c:v>165</c:v>
                </c:pt>
                <c:pt idx="60">
                  <c:v>165</c:v>
                </c:pt>
                <c:pt idx="61">
                  <c:v>165</c:v>
                </c:pt>
                <c:pt idx="62">
                  <c:v>165</c:v>
                </c:pt>
                <c:pt idx="63">
                  <c:v>165</c:v>
                </c:pt>
                <c:pt idx="64">
                  <c:v>165</c:v>
                </c:pt>
                <c:pt idx="65">
                  <c:v>165</c:v>
                </c:pt>
                <c:pt idx="66">
                  <c:v>165</c:v>
                </c:pt>
                <c:pt idx="67">
                  <c:v>165</c:v>
                </c:pt>
                <c:pt idx="68">
                  <c:v>165</c:v>
                </c:pt>
                <c:pt idx="69">
                  <c:v>165</c:v>
                </c:pt>
                <c:pt idx="70">
                  <c:v>165</c:v>
                </c:pt>
                <c:pt idx="71">
                  <c:v>165</c:v>
                </c:pt>
                <c:pt idx="72">
                  <c:v>165</c:v>
                </c:pt>
                <c:pt idx="73">
                  <c:v>165</c:v>
                </c:pt>
                <c:pt idx="74">
                  <c:v>165</c:v>
                </c:pt>
                <c:pt idx="75">
                  <c:v>165</c:v>
                </c:pt>
                <c:pt idx="76">
                  <c:v>165</c:v>
                </c:pt>
                <c:pt idx="77">
                  <c:v>165</c:v>
                </c:pt>
                <c:pt idx="78">
                  <c:v>165</c:v>
                </c:pt>
                <c:pt idx="79">
                  <c:v>165</c:v>
                </c:pt>
                <c:pt idx="80">
                  <c:v>165</c:v>
                </c:pt>
                <c:pt idx="81">
                  <c:v>165</c:v>
                </c:pt>
                <c:pt idx="82">
                  <c:v>165</c:v>
                </c:pt>
                <c:pt idx="83">
                  <c:v>165</c:v>
                </c:pt>
                <c:pt idx="84">
                  <c:v>165</c:v>
                </c:pt>
                <c:pt idx="85">
                  <c:v>165</c:v>
                </c:pt>
                <c:pt idx="86">
                  <c:v>165</c:v>
                </c:pt>
                <c:pt idx="87">
                  <c:v>165</c:v>
                </c:pt>
                <c:pt idx="88">
                  <c:v>165</c:v>
                </c:pt>
                <c:pt idx="89">
                  <c:v>165</c:v>
                </c:pt>
                <c:pt idx="90">
                  <c:v>165</c:v>
                </c:pt>
                <c:pt idx="91">
                  <c:v>165</c:v>
                </c:pt>
                <c:pt idx="92">
                  <c:v>165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163</c:v>
                </c:pt>
                <c:pt idx="97">
                  <c:v>163</c:v>
                </c:pt>
                <c:pt idx="98">
                  <c:v>163</c:v>
                </c:pt>
                <c:pt idx="99">
                  <c:v>163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914952"/>
        <c:axId val="393909072"/>
      </c:barChart>
      <c:catAx>
        <c:axId val="393914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93909072"/>
        <c:crosses val="autoZero"/>
        <c:auto val="1"/>
        <c:lblAlgn val="ctr"/>
        <c:lblOffset val="100"/>
        <c:noMultiLvlLbl val="0"/>
      </c:catAx>
      <c:valAx>
        <c:axId val="3939090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93914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1288" l="0.70000000000000062" r="0.70000000000000062" t="0.75000000000001288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65313</xdr:colOff>
      <xdr:row>6</xdr:row>
      <xdr:rowOff>78713</xdr:rowOff>
    </xdr:from>
    <xdr:to>
      <xdr:col>31</xdr:col>
      <xdr:colOff>195943</xdr:colOff>
      <xdr:row>6</xdr:row>
      <xdr:rowOff>304801</xdr:rowOff>
    </xdr:to>
    <xdr:sp macro="" textlink="">
      <xdr:nvSpPr>
        <xdr:cNvPr id="2" name="Rounded Rectangle 1"/>
        <xdr:cNvSpPr/>
      </xdr:nvSpPr>
      <xdr:spPr>
        <a:xfrm>
          <a:off x="9459684" y="2811027"/>
          <a:ext cx="5388430" cy="226088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24726</xdr:colOff>
      <xdr:row>5</xdr:row>
      <xdr:rowOff>101126</xdr:rowOff>
    </xdr:from>
    <xdr:to>
      <xdr:col>8</xdr:col>
      <xdr:colOff>119743</xdr:colOff>
      <xdr:row>5</xdr:row>
      <xdr:rowOff>272144</xdr:rowOff>
    </xdr:to>
    <xdr:sp macro="" textlink="">
      <xdr:nvSpPr>
        <xdr:cNvPr id="3" name="Rounded Rectangle 15"/>
        <xdr:cNvSpPr/>
      </xdr:nvSpPr>
      <xdr:spPr>
        <a:xfrm>
          <a:off x="9419097" y="2463326"/>
          <a:ext cx="95017" cy="171018"/>
        </a:xfrm>
        <a:prstGeom prst="roundRect">
          <a:avLst/>
        </a:prstGeom>
        <a:solidFill>
          <a:srgbClr val="00B0F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17318</xdr:colOff>
      <xdr:row>36</xdr:row>
      <xdr:rowOff>294409</xdr:rowOff>
    </xdr:from>
    <xdr:to>
      <xdr:col>150</xdr:col>
      <xdr:colOff>221673</xdr:colOff>
      <xdr:row>69</xdr:row>
      <xdr:rowOff>13855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91</xdr:col>
      <xdr:colOff>203200</xdr:colOff>
      <xdr:row>0</xdr:row>
      <xdr:rowOff>63501</xdr:rowOff>
    </xdr:from>
    <xdr:to>
      <xdr:col>106</xdr:col>
      <xdr:colOff>165100</xdr:colOff>
      <xdr:row>2</xdr:row>
      <xdr:rowOff>145967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1900" y="63501"/>
          <a:ext cx="4152900" cy="7936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123825</xdr:rowOff>
    </xdr:from>
    <xdr:to>
      <xdr:col>2</xdr:col>
      <xdr:colOff>0</xdr:colOff>
      <xdr:row>8</xdr:row>
      <xdr:rowOff>123825</xdr:rowOff>
    </xdr:to>
    <xdr:sp macro="" textlink="">
      <xdr:nvSpPr>
        <xdr:cNvPr id="19" name="Line 18"/>
        <xdr:cNvSpPr>
          <a:spLocks noChangeShapeType="1"/>
        </xdr:cNvSpPr>
      </xdr:nvSpPr>
      <xdr:spPr bwMode="auto">
        <a:xfrm>
          <a:off x="2762250" y="183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9</xdr:row>
      <xdr:rowOff>123825</xdr:rowOff>
    </xdr:from>
    <xdr:to>
      <xdr:col>2</xdr:col>
      <xdr:colOff>0</xdr:colOff>
      <xdr:row>9</xdr:row>
      <xdr:rowOff>123825</xdr:rowOff>
    </xdr:to>
    <xdr:sp macro="" textlink="">
      <xdr:nvSpPr>
        <xdr:cNvPr id="21" name="Line 20"/>
        <xdr:cNvSpPr>
          <a:spLocks noChangeShapeType="1"/>
        </xdr:cNvSpPr>
      </xdr:nvSpPr>
      <xdr:spPr bwMode="auto">
        <a:xfrm>
          <a:off x="2762250" y="2276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10</xdr:row>
      <xdr:rowOff>123825</xdr:rowOff>
    </xdr:from>
    <xdr:to>
      <xdr:col>2</xdr:col>
      <xdr:colOff>0</xdr:colOff>
      <xdr:row>10</xdr:row>
      <xdr:rowOff>123825</xdr:rowOff>
    </xdr:to>
    <xdr:sp macro="" textlink="">
      <xdr:nvSpPr>
        <xdr:cNvPr id="22" name="Line 21"/>
        <xdr:cNvSpPr>
          <a:spLocks noChangeShapeType="1"/>
        </xdr:cNvSpPr>
      </xdr:nvSpPr>
      <xdr:spPr bwMode="auto">
        <a:xfrm>
          <a:off x="2762250" y="2495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11</xdr:row>
      <xdr:rowOff>123825</xdr:rowOff>
    </xdr:from>
    <xdr:to>
      <xdr:col>2</xdr:col>
      <xdr:colOff>0</xdr:colOff>
      <xdr:row>11</xdr:row>
      <xdr:rowOff>123825</xdr:rowOff>
    </xdr:to>
    <xdr:sp macro="" textlink="">
      <xdr:nvSpPr>
        <xdr:cNvPr id="23" name="Line 22"/>
        <xdr:cNvSpPr>
          <a:spLocks noChangeShapeType="1"/>
        </xdr:cNvSpPr>
      </xdr:nvSpPr>
      <xdr:spPr bwMode="auto">
        <a:xfrm>
          <a:off x="2762250" y="2714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12</xdr:row>
      <xdr:rowOff>123825</xdr:rowOff>
    </xdr:from>
    <xdr:to>
      <xdr:col>2</xdr:col>
      <xdr:colOff>0</xdr:colOff>
      <xdr:row>12</xdr:row>
      <xdr:rowOff>123825</xdr:rowOff>
    </xdr:to>
    <xdr:sp macro="" textlink="">
      <xdr:nvSpPr>
        <xdr:cNvPr id="24" name="Line 23"/>
        <xdr:cNvSpPr>
          <a:spLocks noChangeShapeType="1"/>
        </xdr:cNvSpPr>
      </xdr:nvSpPr>
      <xdr:spPr bwMode="auto">
        <a:xfrm>
          <a:off x="2762250" y="2933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13</xdr:row>
      <xdr:rowOff>114300</xdr:rowOff>
    </xdr:from>
    <xdr:to>
      <xdr:col>2</xdr:col>
      <xdr:colOff>0</xdr:colOff>
      <xdr:row>13</xdr:row>
      <xdr:rowOff>114300</xdr:rowOff>
    </xdr:to>
    <xdr:sp macro="" textlink="">
      <xdr:nvSpPr>
        <xdr:cNvPr id="25" name="Line 24"/>
        <xdr:cNvSpPr>
          <a:spLocks noChangeShapeType="1"/>
        </xdr:cNvSpPr>
      </xdr:nvSpPr>
      <xdr:spPr bwMode="auto">
        <a:xfrm>
          <a:off x="2762250" y="3143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8</xdr:row>
      <xdr:rowOff>123825</xdr:rowOff>
    </xdr:from>
    <xdr:to>
      <xdr:col>2</xdr:col>
      <xdr:colOff>0</xdr:colOff>
      <xdr:row>8</xdr:row>
      <xdr:rowOff>123825</xdr:rowOff>
    </xdr:to>
    <xdr:sp macro="" textlink="">
      <xdr:nvSpPr>
        <xdr:cNvPr id="82" name="Line 81"/>
        <xdr:cNvSpPr>
          <a:spLocks noChangeShapeType="1"/>
        </xdr:cNvSpPr>
      </xdr:nvSpPr>
      <xdr:spPr bwMode="auto">
        <a:xfrm>
          <a:off x="2762250" y="183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9</xdr:row>
      <xdr:rowOff>123825</xdr:rowOff>
    </xdr:from>
    <xdr:to>
      <xdr:col>2</xdr:col>
      <xdr:colOff>0</xdr:colOff>
      <xdr:row>9</xdr:row>
      <xdr:rowOff>123825</xdr:rowOff>
    </xdr:to>
    <xdr:sp macro="" textlink="">
      <xdr:nvSpPr>
        <xdr:cNvPr id="84" name="Line 83"/>
        <xdr:cNvSpPr>
          <a:spLocks noChangeShapeType="1"/>
        </xdr:cNvSpPr>
      </xdr:nvSpPr>
      <xdr:spPr bwMode="auto">
        <a:xfrm>
          <a:off x="2762250" y="2276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10</xdr:row>
      <xdr:rowOff>123825</xdr:rowOff>
    </xdr:from>
    <xdr:to>
      <xdr:col>2</xdr:col>
      <xdr:colOff>0</xdr:colOff>
      <xdr:row>10</xdr:row>
      <xdr:rowOff>123825</xdr:rowOff>
    </xdr:to>
    <xdr:sp macro="" textlink="">
      <xdr:nvSpPr>
        <xdr:cNvPr id="85" name="Line 84"/>
        <xdr:cNvSpPr>
          <a:spLocks noChangeShapeType="1"/>
        </xdr:cNvSpPr>
      </xdr:nvSpPr>
      <xdr:spPr bwMode="auto">
        <a:xfrm>
          <a:off x="2762250" y="2495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11</xdr:row>
      <xdr:rowOff>123825</xdr:rowOff>
    </xdr:from>
    <xdr:to>
      <xdr:col>2</xdr:col>
      <xdr:colOff>0</xdr:colOff>
      <xdr:row>11</xdr:row>
      <xdr:rowOff>123825</xdr:rowOff>
    </xdr:to>
    <xdr:sp macro="" textlink="">
      <xdr:nvSpPr>
        <xdr:cNvPr id="86" name="Line 85"/>
        <xdr:cNvSpPr>
          <a:spLocks noChangeShapeType="1"/>
        </xdr:cNvSpPr>
      </xdr:nvSpPr>
      <xdr:spPr bwMode="auto">
        <a:xfrm>
          <a:off x="2762250" y="2714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12</xdr:row>
      <xdr:rowOff>123825</xdr:rowOff>
    </xdr:from>
    <xdr:to>
      <xdr:col>2</xdr:col>
      <xdr:colOff>0</xdr:colOff>
      <xdr:row>12</xdr:row>
      <xdr:rowOff>123825</xdr:rowOff>
    </xdr:to>
    <xdr:sp macro="" textlink="">
      <xdr:nvSpPr>
        <xdr:cNvPr id="87" name="Line 86"/>
        <xdr:cNvSpPr>
          <a:spLocks noChangeShapeType="1"/>
        </xdr:cNvSpPr>
      </xdr:nvSpPr>
      <xdr:spPr bwMode="auto">
        <a:xfrm>
          <a:off x="2762250" y="2933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13</xdr:row>
      <xdr:rowOff>114300</xdr:rowOff>
    </xdr:from>
    <xdr:to>
      <xdr:col>2</xdr:col>
      <xdr:colOff>0</xdr:colOff>
      <xdr:row>13</xdr:row>
      <xdr:rowOff>114300</xdr:rowOff>
    </xdr:to>
    <xdr:sp macro="" textlink="">
      <xdr:nvSpPr>
        <xdr:cNvPr id="88" name="Line 87"/>
        <xdr:cNvSpPr>
          <a:spLocks noChangeShapeType="1"/>
        </xdr:cNvSpPr>
      </xdr:nvSpPr>
      <xdr:spPr bwMode="auto">
        <a:xfrm>
          <a:off x="2762250" y="3143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128" name="Rectangle 127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129" name="Rectangle 128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533400</xdr:colOff>
      <xdr:row>22</xdr:row>
      <xdr:rowOff>0</xdr:rowOff>
    </xdr:from>
    <xdr:to>
      <xdr:col>3</xdr:col>
      <xdr:colOff>533400</xdr:colOff>
      <xdr:row>22</xdr:row>
      <xdr:rowOff>0</xdr:rowOff>
    </xdr:to>
    <xdr:sp macro="" textlink="">
      <xdr:nvSpPr>
        <xdr:cNvPr id="130" name="Line 129"/>
        <xdr:cNvSpPr>
          <a:spLocks noChangeShapeType="1"/>
        </xdr:cNvSpPr>
      </xdr:nvSpPr>
      <xdr:spPr bwMode="auto">
        <a:xfrm flipH="1">
          <a:off x="4400550" y="4581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131" name="Rectangle 130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132" name="Rectangle 131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457200</xdr:colOff>
      <xdr:row>22</xdr:row>
      <xdr:rowOff>0</xdr:rowOff>
    </xdr:from>
    <xdr:to>
      <xdr:col>3</xdr:col>
      <xdr:colOff>457200</xdr:colOff>
      <xdr:row>22</xdr:row>
      <xdr:rowOff>0</xdr:rowOff>
    </xdr:to>
    <xdr:sp macro="" textlink="">
      <xdr:nvSpPr>
        <xdr:cNvPr id="133" name="Line 139"/>
        <xdr:cNvSpPr>
          <a:spLocks noChangeShapeType="1"/>
        </xdr:cNvSpPr>
      </xdr:nvSpPr>
      <xdr:spPr bwMode="auto">
        <a:xfrm flipH="1">
          <a:off x="4324350" y="4581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</xdr:row>
      <xdr:rowOff>123825</xdr:rowOff>
    </xdr:from>
    <xdr:to>
      <xdr:col>2</xdr:col>
      <xdr:colOff>0</xdr:colOff>
      <xdr:row>8</xdr:row>
      <xdr:rowOff>123825</xdr:rowOff>
    </xdr:to>
    <xdr:sp macro="" textlink="">
      <xdr:nvSpPr>
        <xdr:cNvPr id="151" name="Line 18"/>
        <xdr:cNvSpPr>
          <a:spLocks noChangeShapeType="1"/>
        </xdr:cNvSpPr>
      </xdr:nvSpPr>
      <xdr:spPr bwMode="auto">
        <a:xfrm>
          <a:off x="2762250" y="183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9</xdr:row>
      <xdr:rowOff>123825</xdr:rowOff>
    </xdr:from>
    <xdr:to>
      <xdr:col>2</xdr:col>
      <xdr:colOff>0</xdr:colOff>
      <xdr:row>9</xdr:row>
      <xdr:rowOff>123825</xdr:rowOff>
    </xdr:to>
    <xdr:sp macro="" textlink="">
      <xdr:nvSpPr>
        <xdr:cNvPr id="153" name="Line 20"/>
        <xdr:cNvSpPr>
          <a:spLocks noChangeShapeType="1"/>
        </xdr:cNvSpPr>
      </xdr:nvSpPr>
      <xdr:spPr bwMode="auto">
        <a:xfrm>
          <a:off x="2762250" y="2276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10</xdr:row>
      <xdr:rowOff>123825</xdr:rowOff>
    </xdr:from>
    <xdr:to>
      <xdr:col>2</xdr:col>
      <xdr:colOff>0</xdr:colOff>
      <xdr:row>10</xdr:row>
      <xdr:rowOff>123825</xdr:rowOff>
    </xdr:to>
    <xdr:sp macro="" textlink="">
      <xdr:nvSpPr>
        <xdr:cNvPr id="154" name="Line 21"/>
        <xdr:cNvSpPr>
          <a:spLocks noChangeShapeType="1"/>
        </xdr:cNvSpPr>
      </xdr:nvSpPr>
      <xdr:spPr bwMode="auto">
        <a:xfrm>
          <a:off x="2762250" y="2495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11</xdr:row>
      <xdr:rowOff>123825</xdr:rowOff>
    </xdr:from>
    <xdr:to>
      <xdr:col>2</xdr:col>
      <xdr:colOff>0</xdr:colOff>
      <xdr:row>11</xdr:row>
      <xdr:rowOff>123825</xdr:rowOff>
    </xdr:to>
    <xdr:sp macro="" textlink="">
      <xdr:nvSpPr>
        <xdr:cNvPr id="155" name="Line 22"/>
        <xdr:cNvSpPr>
          <a:spLocks noChangeShapeType="1"/>
        </xdr:cNvSpPr>
      </xdr:nvSpPr>
      <xdr:spPr bwMode="auto">
        <a:xfrm>
          <a:off x="2762250" y="2714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12</xdr:row>
      <xdr:rowOff>123825</xdr:rowOff>
    </xdr:from>
    <xdr:to>
      <xdr:col>2</xdr:col>
      <xdr:colOff>0</xdr:colOff>
      <xdr:row>12</xdr:row>
      <xdr:rowOff>123825</xdr:rowOff>
    </xdr:to>
    <xdr:sp macro="" textlink="">
      <xdr:nvSpPr>
        <xdr:cNvPr id="156" name="Line 23"/>
        <xdr:cNvSpPr>
          <a:spLocks noChangeShapeType="1"/>
        </xdr:cNvSpPr>
      </xdr:nvSpPr>
      <xdr:spPr bwMode="auto">
        <a:xfrm>
          <a:off x="2762250" y="2933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13</xdr:row>
      <xdr:rowOff>114300</xdr:rowOff>
    </xdr:from>
    <xdr:to>
      <xdr:col>2</xdr:col>
      <xdr:colOff>0</xdr:colOff>
      <xdr:row>13</xdr:row>
      <xdr:rowOff>114300</xdr:rowOff>
    </xdr:to>
    <xdr:sp macro="" textlink="">
      <xdr:nvSpPr>
        <xdr:cNvPr id="157" name="Line 24"/>
        <xdr:cNvSpPr>
          <a:spLocks noChangeShapeType="1"/>
        </xdr:cNvSpPr>
      </xdr:nvSpPr>
      <xdr:spPr bwMode="auto">
        <a:xfrm>
          <a:off x="2762250" y="3143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8</xdr:row>
      <xdr:rowOff>123825</xdr:rowOff>
    </xdr:from>
    <xdr:to>
      <xdr:col>2</xdr:col>
      <xdr:colOff>0</xdr:colOff>
      <xdr:row>8</xdr:row>
      <xdr:rowOff>123825</xdr:rowOff>
    </xdr:to>
    <xdr:sp macro="" textlink="">
      <xdr:nvSpPr>
        <xdr:cNvPr id="214" name="Line 81"/>
        <xdr:cNvSpPr>
          <a:spLocks noChangeShapeType="1"/>
        </xdr:cNvSpPr>
      </xdr:nvSpPr>
      <xdr:spPr bwMode="auto">
        <a:xfrm>
          <a:off x="2762250" y="183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9</xdr:row>
      <xdr:rowOff>123825</xdr:rowOff>
    </xdr:from>
    <xdr:to>
      <xdr:col>2</xdr:col>
      <xdr:colOff>0</xdr:colOff>
      <xdr:row>9</xdr:row>
      <xdr:rowOff>123825</xdr:rowOff>
    </xdr:to>
    <xdr:sp macro="" textlink="">
      <xdr:nvSpPr>
        <xdr:cNvPr id="216" name="Line 83"/>
        <xdr:cNvSpPr>
          <a:spLocks noChangeShapeType="1"/>
        </xdr:cNvSpPr>
      </xdr:nvSpPr>
      <xdr:spPr bwMode="auto">
        <a:xfrm>
          <a:off x="2762250" y="22764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10</xdr:row>
      <xdr:rowOff>123825</xdr:rowOff>
    </xdr:from>
    <xdr:to>
      <xdr:col>2</xdr:col>
      <xdr:colOff>0</xdr:colOff>
      <xdr:row>10</xdr:row>
      <xdr:rowOff>123825</xdr:rowOff>
    </xdr:to>
    <xdr:sp macro="" textlink="">
      <xdr:nvSpPr>
        <xdr:cNvPr id="217" name="Line 84"/>
        <xdr:cNvSpPr>
          <a:spLocks noChangeShapeType="1"/>
        </xdr:cNvSpPr>
      </xdr:nvSpPr>
      <xdr:spPr bwMode="auto">
        <a:xfrm>
          <a:off x="2762250" y="2495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11</xdr:row>
      <xdr:rowOff>123825</xdr:rowOff>
    </xdr:from>
    <xdr:to>
      <xdr:col>2</xdr:col>
      <xdr:colOff>0</xdr:colOff>
      <xdr:row>11</xdr:row>
      <xdr:rowOff>123825</xdr:rowOff>
    </xdr:to>
    <xdr:sp macro="" textlink="">
      <xdr:nvSpPr>
        <xdr:cNvPr id="218" name="Line 85"/>
        <xdr:cNvSpPr>
          <a:spLocks noChangeShapeType="1"/>
        </xdr:cNvSpPr>
      </xdr:nvSpPr>
      <xdr:spPr bwMode="auto">
        <a:xfrm>
          <a:off x="2762250" y="2714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12</xdr:row>
      <xdr:rowOff>123825</xdr:rowOff>
    </xdr:from>
    <xdr:to>
      <xdr:col>2</xdr:col>
      <xdr:colOff>0</xdr:colOff>
      <xdr:row>12</xdr:row>
      <xdr:rowOff>123825</xdr:rowOff>
    </xdr:to>
    <xdr:sp macro="" textlink="">
      <xdr:nvSpPr>
        <xdr:cNvPr id="219" name="Line 86"/>
        <xdr:cNvSpPr>
          <a:spLocks noChangeShapeType="1"/>
        </xdr:cNvSpPr>
      </xdr:nvSpPr>
      <xdr:spPr bwMode="auto">
        <a:xfrm>
          <a:off x="2762250" y="2933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0</xdr:colOff>
      <xdr:row>13</xdr:row>
      <xdr:rowOff>114300</xdr:rowOff>
    </xdr:from>
    <xdr:to>
      <xdr:col>2</xdr:col>
      <xdr:colOff>0</xdr:colOff>
      <xdr:row>13</xdr:row>
      <xdr:rowOff>114300</xdr:rowOff>
    </xdr:to>
    <xdr:sp macro="" textlink="">
      <xdr:nvSpPr>
        <xdr:cNvPr id="220" name="Line 87"/>
        <xdr:cNvSpPr>
          <a:spLocks noChangeShapeType="1"/>
        </xdr:cNvSpPr>
      </xdr:nvSpPr>
      <xdr:spPr bwMode="auto">
        <a:xfrm>
          <a:off x="2762250" y="3143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260" name="Rectangle 127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261" name="Rectangle 128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533400</xdr:colOff>
      <xdr:row>22</xdr:row>
      <xdr:rowOff>0</xdr:rowOff>
    </xdr:from>
    <xdr:to>
      <xdr:col>4</xdr:col>
      <xdr:colOff>533400</xdr:colOff>
      <xdr:row>22</xdr:row>
      <xdr:rowOff>0</xdr:rowOff>
    </xdr:to>
    <xdr:sp macro="" textlink="">
      <xdr:nvSpPr>
        <xdr:cNvPr id="262" name="Line 129"/>
        <xdr:cNvSpPr>
          <a:spLocks noChangeShapeType="1"/>
        </xdr:cNvSpPr>
      </xdr:nvSpPr>
      <xdr:spPr bwMode="auto">
        <a:xfrm flipH="1">
          <a:off x="5505450" y="4581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263" name="Rectangle 130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0</xdr:rowOff>
    </xdr:from>
    <xdr:to>
      <xdr:col>2</xdr:col>
      <xdr:colOff>0</xdr:colOff>
      <xdr:row>22</xdr:row>
      <xdr:rowOff>0</xdr:rowOff>
    </xdr:to>
    <xdr:sp macro="" textlink="">
      <xdr:nvSpPr>
        <xdr:cNvPr id="264" name="Rectangle 131"/>
        <xdr:cNvSpPr>
          <a:spLocks noChangeArrowheads="1"/>
        </xdr:cNvSpPr>
      </xdr:nvSpPr>
      <xdr:spPr bwMode="auto">
        <a:xfrm>
          <a:off x="0" y="4581525"/>
          <a:ext cx="27622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457200</xdr:colOff>
      <xdr:row>22</xdr:row>
      <xdr:rowOff>0</xdr:rowOff>
    </xdr:from>
    <xdr:to>
      <xdr:col>4</xdr:col>
      <xdr:colOff>457200</xdr:colOff>
      <xdr:row>22</xdr:row>
      <xdr:rowOff>0</xdr:rowOff>
    </xdr:to>
    <xdr:sp macro="" textlink="">
      <xdr:nvSpPr>
        <xdr:cNvPr id="265" name="Line 139"/>
        <xdr:cNvSpPr>
          <a:spLocks noChangeShapeType="1"/>
        </xdr:cNvSpPr>
      </xdr:nvSpPr>
      <xdr:spPr bwMode="auto">
        <a:xfrm flipH="1">
          <a:off x="5429250" y="4581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anasekar\tender%20submi\Backup\DMRC%20IT%20park\project%20documents\Kuwait%20Audit%20Bureau\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ivil%20&amp;%20Arch\Standard&amp;Procedure\Civil\I-SOFTWA\PGM\Rev\My%20Documents\SKKIM\Work1999\&#54840;&#45224;&#49437;&#50976;\&#49892;&#54665;BM\YUKONG\PROPOSAL\SEOUL\PROPOS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hchoi\PROJECT\Form\cost\cost%20Fo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ivil%20&amp;%20Arch\Standard&amp;Procedure\Civil\I-SOFTWA\PGM\Rev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  <sheetName val="Rate Analysis"/>
      <sheetName val="TTL"/>
      <sheetName val="자재단가"/>
      <sheetName val="수량 총괄표"/>
      <sheetName val="품질관리비 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갑지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00"/>
      <sheetName val=" Summary(Rev.)"/>
      <sheetName val="Summary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A91"/>
  <sheetViews>
    <sheetView showZeros="0" view="pageBreakPreview" zoomScale="70" zoomScaleNormal="55" zoomScaleSheetLayoutView="70" workbookViewId="0">
      <pane xSplit="8" ySplit="5" topLeftCell="I6" activePane="bottomRight" state="frozen"/>
      <selection pane="topRight" activeCell="J1" sqref="J1"/>
      <selection pane="bottomLeft" activeCell="A6" sqref="A6"/>
      <selection pane="bottomRight" activeCell="M13" sqref="M13"/>
    </sheetView>
  </sheetViews>
  <sheetFormatPr defaultColWidth="9.109375" defaultRowHeight="28.5" customHeight="1"/>
  <cols>
    <col min="1" max="1" width="2.109375" style="224" customWidth="1"/>
    <col min="2" max="2" width="9.109375" style="224"/>
    <col min="3" max="3" width="62" style="224" bestFit="1" customWidth="1"/>
    <col min="4" max="4" width="11" style="224" customWidth="1"/>
    <col min="5" max="5" width="19.88671875" style="224" customWidth="1"/>
    <col min="6" max="7" width="11" style="224" customWidth="1"/>
    <col min="8" max="8" width="11.109375" style="224" customWidth="1"/>
    <col min="9" max="20" width="3.33203125" style="293" customWidth="1"/>
    <col min="21" max="21" width="3.33203125" style="408" customWidth="1"/>
    <col min="22" max="22" width="3.33203125" style="438" customWidth="1"/>
    <col min="23" max="108" width="3.33203125" style="408" customWidth="1"/>
    <col min="109" max="112" width="3.33203125" style="438" customWidth="1"/>
    <col min="113" max="152" width="3.33203125" style="451" customWidth="1"/>
    <col min="153" max="154" width="16" style="226" customWidth="1"/>
    <col min="155" max="155" width="15.44140625" style="226" customWidth="1"/>
    <col min="156" max="156" width="18.5546875" style="226" customWidth="1"/>
    <col min="157" max="157" width="18.44140625" style="226" customWidth="1"/>
    <col min="158" max="16384" width="9.109375" style="224"/>
  </cols>
  <sheetData>
    <row r="1" spans="2:157" ht="28.5" customHeight="1">
      <c r="C1" s="463" t="s">
        <v>0</v>
      </c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225"/>
      <c r="AP1" s="225"/>
      <c r="AQ1" s="225"/>
      <c r="AR1" s="225"/>
      <c r="AS1" s="225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6"/>
      <c r="BE1" s="406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406"/>
      <c r="BS1" s="406"/>
      <c r="BT1" s="406"/>
      <c r="BU1" s="406"/>
      <c r="BV1" s="406"/>
      <c r="BW1" s="406"/>
      <c r="BX1" s="406"/>
      <c r="BY1" s="406"/>
      <c r="BZ1" s="406"/>
      <c r="CA1" s="406"/>
      <c r="CB1" s="406"/>
      <c r="CC1" s="406"/>
      <c r="CD1" s="406"/>
      <c r="CE1" s="406"/>
      <c r="CF1" s="406"/>
      <c r="CG1" s="406"/>
      <c r="CH1" s="406"/>
      <c r="CI1" s="406"/>
      <c r="CJ1" s="406"/>
      <c r="CK1" s="406"/>
      <c r="CL1" s="406"/>
      <c r="CM1" s="406"/>
      <c r="CN1" s="406"/>
      <c r="CO1" s="406"/>
      <c r="CP1" s="406"/>
      <c r="CQ1" s="406"/>
      <c r="CR1" s="406"/>
      <c r="CS1" s="406"/>
      <c r="CT1" s="406"/>
      <c r="CU1" s="406"/>
      <c r="CV1" s="406"/>
      <c r="CW1" s="406"/>
      <c r="CX1" s="406"/>
      <c r="CY1" s="406"/>
      <c r="CZ1" s="406"/>
      <c r="DA1" s="406"/>
      <c r="DB1" s="406"/>
      <c r="DC1" s="406"/>
      <c r="DD1" s="406"/>
      <c r="DE1" s="436"/>
      <c r="DF1" s="436"/>
      <c r="DG1" s="436"/>
      <c r="DH1" s="436"/>
      <c r="DI1" s="449"/>
      <c r="DJ1" s="449"/>
      <c r="DK1" s="449"/>
      <c r="DL1" s="449"/>
      <c r="DM1" s="449"/>
      <c r="DN1" s="449"/>
      <c r="DO1" s="449"/>
      <c r="DP1" s="449"/>
      <c r="DQ1" s="449"/>
      <c r="DR1" s="449"/>
      <c r="DS1" s="449"/>
      <c r="DT1" s="449"/>
      <c r="DU1" s="449"/>
      <c r="DV1" s="449"/>
      <c r="DW1" s="449"/>
      <c r="DX1" s="449"/>
      <c r="DY1" s="449"/>
      <c r="DZ1" s="449"/>
      <c r="EA1" s="449"/>
      <c r="EB1" s="449"/>
      <c r="EC1" s="449"/>
      <c r="ED1" s="449"/>
      <c r="EE1" s="449"/>
      <c r="EF1" s="449"/>
      <c r="EG1" s="449"/>
      <c r="EH1" s="449"/>
      <c r="EI1" s="449"/>
      <c r="EJ1" s="449"/>
      <c r="EK1" s="449"/>
      <c r="EL1" s="449"/>
      <c r="EM1" s="449"/>
      <c r="EN1" s="449"/>
      <c r="EO1" s="449"/>
      <c r="EP1" s="449"/>
      <c r="EQ1" s="449"/>
      <c r="ER1" s="449"/>
      <c r="ES1" s="449"/>
      <c r="ET1" s="449"/>
      <c r="EU1" s="449"/>
      <c r="EV1" s="449"/>
    </row>
    <row r="2" spans="2:157" ht="28.5" customHeight="1">
      <c r="C2" s="227" t="s">
        <v>1</v>
      </c>
      <c r="D2" s="463" t="s">
        <v>226</v>
      </c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225"/>
      <c r="AP2" s="225"/>
      <c r="AQ2" s="225"/>
      <c r="AR2" s="225"/>
      <c r="AS2" s="225"/>
      <c r="AT2" s="406"/>
      <c r="AU2" s="406"/>
      <c r="AV2" s="406"/>
      <c r="AW2" s="406"/>
      <c r="AX2" s="406"/>
      <c r="AY2" s="406"/>
      <c r="AZ2" s="406"/>
      <c r="BA2" s="406"/>
      <c r="BB2" s="406"/>
      <c r="BC2" s="406"/>
      <c r="BD2" s="406"/>
      <c r="BE2" s="406"/>
      <c r="BF2" s="406"/>
      <c r="BG2" s="406"/>
      <c r="BH2" s="406"/>
      <c r="BI2" s="406"/>
      <c r="BJ2" s="406"/>
      <c r="BK2" s="406"/>
      <c r="BL2" s="406"/>
      <c r="BM2" s="406"/>
      <c r="BN2" s="406"/>
      <c r="BO2" s="406"/>
      <c r="BP2" s="406"/>
      <c r="BQ2" s="406"/>
      <c r="BR2" s="406"/>
      <c r="BS2" s="406"/>
      <c r="BT2" s="406"/>
      <c r="BU2" s="406"/>
      <c r="BV2" s="406"/>
      <c r="BW2" s="406"/>
      <c r="BX2" s="406"/>
      <c r="BY2" s="406"/>
      <c r="BZ2" s="406"/>
      <c r="CA2" s="406"/>
      <c r="CB2" s="406"/>
      <c r="CC2" s="406"/>
      <c r="CD2" s="406"/>
      <c r="CE2" s="406"/>
      <c r="CF2" s="406"/>
      <c r="CG2" s="406"/>
      <c r="CH2" s="406"/>
      <c r="CI2" s="406"/>
      <c r="CJ2" s="406"/>
      <c r="CK2" s="406"/>
      <c r="CL2" s="406"/>
      <c r="CM2" s="406"/>
      <c r="CN2" s="406"/>
      <c r="CO2" s="406"/>
      <c r="CP2" s="406"/>
      <c r="CQ2" s="406"/>
      <c r="CR2" s="406"/>
      <c r="CS2" s="406"/>
      <c r="CT2" s="406"/>
      <c r="CU2" s="406"/>
      <c r="CV2" s="406"/>
      <c r="CW2" s="406"/>
      <c r="CX2" s="406"/>
      <c r="CY2" s="406"/>
      <c r="CZ2" s="406"/>
      <c r="DA2" s="406"/>
      <c r="DB2" s="406"/>
      <c r="DC2" s="406"/>
      <c r="DD2" s="406"/>
      <c r="DE2" s="436"/>
      <c r="DF2" s="436"/>
      <c r="DG2" s="436"/>
      <c r="DH2" s="436"/>
      <c r="DI2" s="449"/>
      <c r="DJ2" s="449"/>
      <c r="DK2" s="449"/>
      <c r="DL2" s="449"/>
      <c r="DM2" s="449"/>
      <c r="DN2" s="449"/>
      <c r="DO2" s="449"/>
      <c r="DP2" s="449"/>
      <c r="DQ2" s="449"/>
      <c r="DR2" s="449"/>
      <c r="DS2" s="449"/>
      <c r="DT2" s="449"/>
      <c r="DU2" s="449"/>
      <c r="DV2" s="449"/>
      <c r="DW2" s="449"/>
      <c r="DX2" s="449"/>
      <c r="DY2" s="449"/>
      <c r="DZ2" s="449"/>
      <c r="EA2" s="449"/>
      <c r="EB2" s="449"/>
      <c r="EC2" s="449"/>
      <c r="ED2" s="449"/>
      <c r="EE2" s="449"/>
      <c r="EF2" s="449"/>
      <c r="EG2" s="449"/>
      <c r="EH2" s="449"/>
      <c r="EI2" s="449"/>
      <c r="EJ2" s="449"/>
      <c r="EK2" s="449"/>
      <c r="EL2" s="449"/>
      <c r="EM2" s="449"/>
      <c r="EN2" s="449"/>
      <c r="EO2" s="449"/>
      <c r="EP2" s="449"/>
      <c r="EQ2" s="449"/>
      <c r="ER2" s="449"/>
      <c r="ES2" s="449"/>
      <c r="ET2" s="449"/>
      <c r="EU2" s="449"/>
      <c r="EV2" s="449"/>
    </row>
    <row r="3" spans="2:157" ht="17.399999999999999" thickBot="1">
      <c r="C3" s="227" t="s">
        <v>2</v>
      </c>
      <c r="D3" s="228">
        <v>36</v>
      </c>
      <c r="E3" s="228" t="s">
        <v>3</v>
      </c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  <c r="DA3" s="229"/>
      <c r="DB3" s="229"/>
      <c r="DC3" s="229"/>
      <c r="DD3" s="229"/>
      <c r="DE3" s="229"/>
      <c r="DF3" s="229"/>
      <c r="DG3" s="229"/>
      <c r="DH3" s="229"/>
      <c r="DI3" s="229"/>
      <c r="DJ3" s="229"/>
      <c r="DK3" s="229"/>
      <c r="DL3" s="229"/>
      <c r="DM3" s="229"/>
      <c r="DN3" s="229"/>
      <c r="DO3" s="229"/>
      <c r="DP3" s="229"/>
      <c r="DQ3" s="229"/>
      <c r="DR3" s="229"/>
      <c r="DS3" s="229"/>
      <c r="DT3" s="229"/>
      <c r="DU3" s="229"/>
      <c r="DV3" s="229"/>
      <c r="DW3" s="229"/>
      <c r="DX3" s="229"/>
      <c r="DY3" s="229"/>
      <c r="DZ3" s="229"/>
      <c r="EA3" s="229"/>
      <c r="EB3" s="229"/>
      <c r="EC3" s="229"/>
      <c r="ED3" s="229"/>
      <c r="EE3" s="229"/>
      <c r="EF3" s="229"/>
      <c r="EG3" s="229"/>
      <c r="EH3" s="229"/>
      <c r="EI3" s="229"/>
      <c r="EJ3" s="229"/>
      <c r="EK3" s="229"/>
      <c r="EL3" s="229"/>
      <c r="EM3" s="229"/>
      <c r="EN3" s="229"/>
      <c r="EO3" s="229"/>
      <c r="EP3" s="229"/>
      <c r="EQ3" s="229"/>
      <c r="ER3" s="229"/>
      <c r="ES3" s="229"/>
      <c r="ET3" s="229"/>
      <c r="EU3" s="229"/>
      <c r="EV3" s="229"/>
    </row>
    <row r="4" spans="2:157" ht="47.25" customHeight="1" thickBot="1">
      <c r="E4" s="464" t="s">
        <v>195</v>
      </c>
      <c r="F4" s="464"/>
      <c r="G4" s="410"/>
      <c r="I4" s="455">
        <v>42217</v>
      </c>
      <c r="J4" s="456"/>
      <c r="K4" s="456"/>
      <c r="L4" s="457"/>
      <c r="M4" s="455">
        <v>42248</v>
      </c>
      <c r="N4" s="456"/>
      <c r="O4" s="456"/>
      <c r="P4" s="457"/>
      <c r="Q4" s="455">
        <f>+M4+31</f>
        <v>42279</v>
      </c>
      <c r="R4" s="456"/>
      <c r="S4" s="456"/>
      <c r="T4" s="457"/>
      <c r="U4" s="455">
        <f>+Q4+31</f>
        <v>42310</v>
      </c>
      <c r="V4" s="456"/>
      <c r="W4" s="456"/>
      <c r="X4" s="457"/>
      <c r="Y4" s="455">
        <f>+U4+31</f>
        <v>42341</v>
      </c>
      <c r="Z4" s="456"/>
      <c r="AA4" s="456"/>
      <c r="AB4" s="457"/>
      <c r="AC4" s="455">
        <f>+Y4+31</f>
        <v>42372</v>
      </c>
      <c r="AD4" s="456"/>
      <c r="AE4" s="456"/>
      <c r="AF4" s="457"/>
      <c r="AG4" s="455">
        <f>+AC4+31</f>
        <v>42403</v>
      </c>
      <c r="AH4" s="456"/>
      <c r="AI4" s="456"/>
      <c r="AJ4" s="457"/>
      <c r="AK4" s="455">
        <f>+AG4+31</f>
        <v>42434</v>
      </c>
      <c r="AL4" s="456"/>
      <c r="AM4" s="456"/>
      <c r="AN4" s="457"/>
      <c r="AO4" s="455">
        <f>+AK4+31</f>
        <v>42465</v>
      </c>
      <c r="AP4" s="456"/>
      <c r="AQ4" s="456"/>
      <c r="AR4" s="457"/>
      <c r="AS4" s="455">
        <f>+AO4+31</f>
        <v>42496</v>
      </c>
      <c r="AT4" s="456"/>
      <c r="AU4" s="456"/>
      <c r="AV4" s="457"/>
      <c r="AW4" s="455">
        <f>+AS4+31</f>
        <v>42527</v>
      </c>
      <c r="AX4" s="456"/>
      <c r="AY4" s="456"/>
      <c r="AZ4" s="457"/>
      <c r="BA4" s="455">
        <f>+AW4+31</f>
        <v>42558</v>
      </c>
      <c r="BB4" s="456"/>
      <c r="BC4" s="456"/>
      <c r="BD4" s="457"/>
      <c r="BE4" s="455">
        <f>+BA4+31</f>
        <v>42589</v>
      </c>
      <c r="BF4" s="456"/>
      <c r="BG4" s="456"/>
      <c r="BH4" s="457"/>
      <c r="BI4" s="455">
        <f>+BE4+31</f>
        <v>42620</v>
      </c>
      <c r="BJ4" s="456"/>
      <c r="BK4" s="456"/>
      <c r="BL4" s="457"/>
      <c r="BM4" s="455">
        <f>+BI4+31</f>
        <v>42651</v>
      </c>
      <c r="BN4" s="456"/>
      <c r="BO4" s="456"/>
      <c r="BP4" s="457"/>
      <c r="BQ4" s="455">
        <f>+BM4+31</f>
        <v>42682</v>
      </c>
      <c r="BR4" s="456"/>
      <c r="BS4" s="456"/>
      <c r="BT4" s="457"/>
      <c r="BU4" s="455">
        <f>+BQ4+31</f>
        <v>42713</v>
      </c>
      <c r="BV4" s="456"/>
      <c r="BW4" s="456"/>
      <c r="BX4" s="457"/>
      <c r="BY4" s="455">
        <f>+BU4+31</f>
        <v>42744</v>
      </c>
      <c r="BZ4" s="456"/>
      <c r="CA4" s="456"/>
      <c r="CB4" s="457"/>
      <c r="CC4" s="455">
        <f>+BY4+31</f>
        <v>42775</v>
      </c>
      <c r="CD4" s="456"/>
      <c r="CE4" s="456"/>
      <c r="CF4" s="457"/>
      <c r="CG4" s="455">
        <f>+CC4+31</f>
        <v>42806</v>
      </c>
      <c r="CH4" s="456"/>
      <c r="CI4" s="456"/>
      <c r="CJ4" s="457"/>
      <c r="CK4" s="455">
        <f>+CG4+31</f>
        <v>42837</v>
      </c>
      <c r="CL4" s="456"/>
      <c r="CM4" s="456"/>
      <c r="CN4" s="457"/>
      <c r="CO4" s="455">
        <f>+CK4+31</f>
        <v>42868</v>
      </c>
      <c r="CP4" s="456"/>
      <c r="CQ4" s="456"/>
      <c r="CR4" s="457"/>
      <c r="CS4" s="455">
        <f>+CO4+31</f>
        <v>42899</v>
      </c>
      <c r="CT4" s="456"/>
      <c r="CU4" s="456"/>
      <c r="CV4" s="457"/>
      <c r="CW4" s="455">
        <f>+CS4+31</f>
        <v>42930</v>
      </c>
      <c r="CX4" s="456"/>
      <c r="CY4" s="456"/>
      <c r="CZ4" s="457"/>
      <c r="DA4" s="455">
        <f>+CW4+31</f>
        <v>42961</v>
      </c>
      <c r="DB4" s="456"/>
      <c r="DC4" s="456"/>
      <c r="DD4" s="457"/>
      <c r="DE4" s="455">
        <f>+DA4+31</f>
        <v>42992</v>
      </c>
      <c r="DF4" s="456"/>
      <c r="DG4" s="456"/>
      <c r="DH4" s="457"/>
      <c r="DI4" s="492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</row>
    <row r="5" spans="2:157" ht="65.25" customHeight="1" thickBot="1">
      <c r="B5" s="230" t="s">
        <v>4</v>
      </c>
      <c r="C5" s="230" t="s">
        <v>5</v>
      </c>
      <c r="D5" s="231" t="s">
        <v>6</v>
      </c>
      <c r="E5" s="231" t="s">
        <v>7</v>
      </c>
      <c r="F5" s="300" t="s">
        <v>150</v>
      </c>
      <c r="G5" s="300" t="s">
        <v>196</v>
      </c>
      <c r="H5" s="300" t="s">
        <v>151</v>
      </c>
      <c r="I5" s="455" t="s">
        <v>10</v>
      </c>
      <c r="J5" s="456"/>
      <c r="K5" s="456"/>
      <c r="L5" s="457"/>
      <c r="M5" s="455" t="s">
        <v>11</v>
      </c>
      <c r="N5" s="456"/>
      <c r="O5" s="456"/>
      <c r="P5" s="457"/>
      <c r="Q5" s="455" t="s">
        <v>12</v>
      </c>
      <c r="R5" s="456"/>
      <c r="S5" s="456"/>
      <c r="T5" s="457"/>
      <c r="U5" s="455" t="s">
        <v>13</v>
      </c>
      <c r="V5" s="456"/>
      <c r="W5" s="456"/>
      <c r="X5" s="457"/>
      <c r="Y5" s="455" t="s">
        <v>14</v>
      </c>
      <c r="Z5" s="456"/>
      <c r="AA5" s="456"/>
      <c r="AB5" s="457"/>
      <c r="AC5" s="455" t="s">
        <v>15</v>
      </c>
      <c r="AD5" s="456"/>
      <c r="AE5" s="456"/>
      <c r="AF5" s="457"/>
      <c r="AG5" s="455" t="s">
        <v>16</v>
      </c>
      <c r="AH5" s="456"/>
      <c r="AI5" s="456"/>
      <c r="AJ5" s="457"/>
      <c r="AK5" s="455" t="s">
        <v>17</v>
      </c>
      <c r="AL5" s="456"/>
      <c r="AM5" s="456"/>
      <c r="AN5" s="457"/>
      <c r="AO5" s="455" t="s">
        <v>18</v>
      </c>
      <c r="AP5" s="456"/>
      <c r="AQ5" s="456"/>
      <c r="AR5" s="457"/>
      <c r="AS5" s="455" t="s">
        <v>19</v>
      </c>
      <c r="AT5" s="456"/>
      <c r="AU5" s="456"/>
      <c r="AV5" s="457"/>
      <c r="AW5" s="455" t="s">
        <v>20</v>
      </c>
      <c r="AX5" s="456"/>
      <c r="AY5" s="456"/>
      <c r="AZ5" s="457"/>
      <c r="BA5" s="455" t="s">
        <v>166</v>
      </c>
      <c r="BB5" s="456"/>
      <c r="BC5" s="456"/>
      <c r="BD5" s="457"/>
      <c r="BE5" s="455" t="s">
        <v>167</v>
      </c>
      <c r="BF5" s="456"/>
      <c r="BG5" s="456"/>
      <c r="BH5" s="457"/>
      <c r="BI5" s="455" t="s">
        <v>168</v>
      </c>
      <c r="BJ5" s="456"/>
      <c r="BK5" s="456"/>
      <c r="BL5" s="457"/>
      <c r="BM5" s="455" t="s">
        <v>169</v>
      </c>
      <c r="BN5" s="456"/>
      <c r="BO5" s="456"/>
      <c r="BP5" s="457"/>
      <c r="BQ5" s="455" t="s">
        <v>174</v>
      </c>
      <c r="BR5" s="456"/>
      <c r="BS5" s="456"/>
      <c r="BT5" s="457"/>
      <c r="BU5" s="455" t="s">
        <v>193</v>
      </c>
      <c r="BV5" s="456"/>
      <c r="BW5" s="456"/>
      <c r="BX5" s="457"/>
      <c r="BY5" s="455" t="s">
        <v>194</v>
      </c>
      <c r="BZ5" s="456"/>
      <c r="CA5" s="456"/>
      <c r="CB5" s="457"/>
      <c r="CC5" s="455" t="s">
        <v>197</v>
      </c>
      <c r="CD5" s="456"/>
      <c r="CE5" s="456"/>
      <c r="CF5" s="457"/>
      <c r="CG5" s="455" t="s">
        <v>198</v>
      </c>
      <c r="CH5" s="456"/>
      <c r="CI5" s="456"/>
      <c r="CJ5" s="457"/>
      <c r="CK5" s="455" t="s">
        <v>199</v>
      </c>
      <c r="CL5" s="456"/>
      <c r="CM5" s="456"/>
      <c r="CN5" s="457"/>
      <c r="CO5" s="455" t="s">
        <v>200</v>
      </c>
      <c r="CP5" s="456"/>
      <c r="CQ5" s="456"/>
      <c r="CR5" s="457"/>
      <c r="CS5" s="455" t="s">
        <v>201</v>
      </c>
      <c r="CT5" s="456"/>
      <c r="CU5" s="456"/>
      <c r="CV5" s="457"/>
      <c r="CW5" s="455" t="s">
        <v>202</v>
      </c>
      <c r="CX5" s="456"/>
      <c r="CY5" s="456"/>
      <c r="CZ5" s="457"/>
      <c r="DA5" s="455" t="s">
        <v>203</v>
      </c>
      <c r="DB5" s="456"/>
      <c r="DC5" s="456"/>
      <c r="DD5" s="457"/>
      <c r="DE5" s="455" t="s">
        <v>220</v>
      </c>
      <c r="DF5" s="456"/>
      <c r="DG5" s="456"/>
      <c r="DH5" s="457"/>
      <c r="DI5" s="455" t="s">
        <v>227</v>
      </c>
      <c r="DJ5" s="456"/>
      <c r="DK5" s="456"/>
      <c r="DL5" s="457"/>
      <c r="DM5" s="455" t="s">
        <v>228</v>
      </c>
      <c r="DN5" s="456"/>
      <c r="DO5" s="456"/>
      <c r="DP5" s="457"/>
      <c r="DQ5" s="455" t="s">
        <v>229</v>
      </c>
      <c r="DR5" s="456"/>
      <c r="DS5" s="456"/>
      <c r="DT5" s="457"/>
      <c r="DU5" s="455" t="s">
        <v>230</v>
      </c>
      <c r="DV5" s="456"/>
      <c r="DW5" s="456"/>
      <c r="DX5" s="457"/>
      <c r="DY5" s="455" t="s">
        <v>231</v>
      </c>
      <c r="DZ5" s="456"/>
      <c r="EA5" s="456"/>
      <c r="EB5" s="457"/>
      <c r="EC5" s="455" t="s">
        <v>232</v>
      </c>
      <c r="ED5" s="456"/>
      <c r="EE5" s="456"/>
      <c r="EF5" s="457"/>
      <c r="EG5" s="455" t="s">
        <v>233</v>
      </c>
      <c r="EH5" s="456"/>
      <c r="EI5" s="456"/>
      <c r="EJ5" s="457"/>
      <c r="EK5" s="455" t="s">
        <v>234</v>
      </c>
      <c r="EL5" s="456"/>
      <c r="EM5" s="456"/>
      <c r="EN5" s="457"/>
      <c r="EO5" s="455" t="s">
        <v>235</v>
      </c>
      <c r="EP5" s="456"/>
      <c r="EQ5" s="456"/>
      <c r="ER5" s="457"/>
      <c r="ES5" s="455" t="s">
        <v>236</v>
      </c>
      <c r="ET5" s="456"/>
      <c r="EU5" s="456"/>
      <c r="EV5" s="457"/>
      <c r="EW5" s="300" t="s">
        <v>152</v>
      </c>
      <c r="EX5" s="422" t="s">
        <v>21</v>
      </c>
      <c r="EY5" s="422" t="s">
        <v>22</v>
      </c>
      <c r="EZ5" s="422" t="s">
        <v>171</v>
      </c>
      <c r="FA5" s="422" t="s">
        <v>172</v>
      </c>
    </row>
    <row r="6" spans="2:157" s="406" customFormat="1" ht="29.25" customHeight="1">
      <c r="B6" s="232"/>
      <c r="C6" s="297" t="s">
        <v>145</v>
      </c>
      <c r="D6" s="233"/>
      <c r="E6" s="234"/>
      <c r="F6" s="235"/>
      <c r="G6" s="411"/>
      <c r="H6" s="236"/>
      <c r="I6" s="237"/>
      <c r="J6" s="238"/>
      <c r="K6" s="238"/>
      <c r="L6" s="239"/>
      <c r="M6" s="237"/>
      <c r="N6" s="238"/>
      <c r="O6" s="238"/>
      <c r="P6" s="239"/>
      <c r="Q6" s="237"/>
      <c r="R6" s="238"/>
      <c r="S6" s="238"/>
      <c r="T6" s="239"/>
      <c r="U6" s="240"/>
      <c r="V6" s="238"/>
      <c r="W6" s="238"/>
      <c r="X6" s="239"/>
      <c r="Y6" s="241"/>
      <c r="Z6" s="242"/>
      <c r="AA6" s="242"/>
      <c r="AB6" s="243"/>
      <c r="AC6" s="240"/>
      <c r="AD6" s="238"/>
      <c r="AE6" s="238"/>
      <c r="AF6" s="239"/>
      <c r="AG6" s="240"/>
      <c r="AH6" s="238"/>
      <c r="AI6" s="238"/>
      <c r="AJ6" s="239"/>
      <c r="AK6" s="240"/>
      <c r="AL6" s="238"/>
      <c r="AM6" s="238"/>
      <c r="AN6" s="239"/>
      <c r="AO6" s="240"/>
      <c r="AP6" s="238"/>
      <c r="AQ6" s="238"/>
      <c r="AR6" s="239"/>
      <c r="AS6" s="237"/>
      <c r="AT6" s="238"/>
      <c r="AU6" s="238"/>
      <c r="AV6" s="244"/>
      <c r="AW6" s="245"/>
      <c r="AX6" s="246"/>
      <c r="AY6" s="246"/>
      <c r="AZ6" s="244"/>
      <c r="BA6" s="245"/>
      <c r="BB6" s="246"/>
      <c r="BC6" s="246"/>
      <c r="BD6" s="244"/>
      <c r="BE6" s="245"/>
      <c r="BF6" s="246"/>
      <c r="BG6" s="246"/>
      <c r="BH6" s="244"/>
      <c r="BI6" s="245"/>
      <c r="BJ6" s="246"/>
      <c r="BK6" s="246"/>
      <c r="BL6" s="244"/>
      <c r="BM6" s="245"/>
      <c r="BN6" s="246"/>
      <c r="BO6" s="246"/>
      <c r="BP6" s="244"/>
      <c r="BQ6" s="245"/>
      <c r="BR6" s="246"/>
      <c r="BS6" s="246"/>
      <c r="BT6" s="244"/>
      <c r="BU6" s="245"/>
      <c r="BV6" s="246"/>
      <c r="BW6" s="246"/>
      <c r="BX6" s="244"/>
      <c r="BY6" s="245"/>
      <c r="BZ6" s="246"/>
      <c r="CA6" s="246"/>
      <c r="CB6" s="244"/>
      <c r="CC6" s="245"/>
      <c r="CD6" s="246"/>
      <c r="CE6" s="246"/>
      <c r="CF6" s="244"/>
      <c r="CG6" s="245"/>
      <c r="CH6" s="246"/>
      <c r="CI6" s="246"/>
      <c r="CJ6" s="244"/>
      <c r="CK6" s="245"/>
      <c r="CL6" s="246"/>
      <c r="CM6" s="246"/>
      <c r="CN6" s="244"/>
      <c r="CO6" s="245"/>
      <c r="CP6" s="246"/>
      <c r="CQ6" s="246"/>
      <c r="CR6" s="244"/>
      <c r="CS6" s="245"/>
      <c r="CT6" s="246"/>
      <c r="CU6" s="246"/>
      <c r="CV6" s="244"/>
      <c r="CW6" s="245"/>
      <c r="CX6" s="246"/>
      <c r="CY6" s="246"/>
      <c r="CZ6" s="244"/>
      <c r="DA6" s="245"/>
      <c r="DB6" s="246"/>
      <c r="DC6" s="246"/>
      <c r="DD6" s="244"/>
      <c r="DE6" s="245"/>
      <c r="DF6" s="246"/>
      <c r="DG6" s="246"/>
      <c r="DH6" s="244"/>
      <c r="DI6" s="245"/>
      <c r="DJ6" s="246"/>
      <c r="DK6" s="246"/>
      <c r="DL6" s="244"/>
      <c r="DM6" s="245"/>
      <c r="DN6" s="246"/>
      <c r="DO6" s="246"/>
      <c r="DP6" s="244"/>
      <c r="DQ6" s="245"/>
      <c r="DR6" s="246"/>
      <c r="DS6" s="246"/>
      <c r="DT6" s="244"/>
      <c r="DU6" s="245"/>
      <c r="DV6" s="246"/>
      <c r="DW6" s="246"/>
      <c r="DX6" s="244"/>
      <c r="DY6" s="245"/>
      <c r="DZ6" s="246"/>
      <c r="EA6" s="246"/>
      <c r="EB6" s="244"/>
      <c r="EC6" s="245"/>
      <c r="ED6" s="246"/>
      <c r="EE6" s="246"/>
      <c r="EF6" s="244"/>
      <c r="EG6" s="245"/>
      <c r="EH6" s="246"/>
      <c r="EI6" s="246"/>
      <c r="EJ6" s="244"/>
      <c r="EK6" s="245"/>
      <c r="EL6" s="246"/>
      <c r="EM6" s="246"/>
      <c r="EN6" s="244"/>
      <c r="EO6" s="245"/>
      <c r="EP6" s="246"/>
      <c r="EQ6" s="246"/>
      <c r="ER6" s="244"/>
      <c r="ES6" s="245"/>
      <c r="ET6" s="246"/>
      <c r="EU6" s="246"/>
      <c r="EV6" s="244"/>
      <c r="EW6" s="247"/>
      <c r="EX6" s="247"/>
      <c r="EY6" s="247"/>
      <c r="EZ6" s="247"/>
      <c r="FA6" s="247"/>
    </row>
    <row r="7" spans="2:157" s="406" customFormat="1" ht="29.25" customHeight="1">
      <c r="B7" s="232"/>
      <c r="C7" s="298" t="s">
        <v>146</v>
      </c>
      <c r="D7" s="235"/>
      <c r="E7" s="234"/>
      <c r="F7" s="235"/>
      <c r="G7" s="411"/>
      <c r="H7" s="236"/>
      <c r="I7" s="237"/>
      <c r="J7" s="238"/>
      <c r="K7" s="238"/>
      <c r="L7" s="239"/>
      <c r="M7" s="237"/>
      <c r="N7" s="238"/>
      <c r="O7" s="238"/>
      <c r="P7" s="239"/>
      <c r="Q7" s="237"/>
      <c r="R7" s="238"/>
      <c r="S7" s="238"/>
      <c r="T7" s="239"/>
      <c r="U7" s="240"/>
      <c r="V7" s="238"/>
      <c r="W7" s="238"/>
      <c r="X7" s="239"/>
      <c r="Y7" s="241"/>
      <c r="Z7" s="242"/>
      <c r="AA7" s="242"/>
      <c r="AB7" s="243"/>
      <c r="AC7" s="240"/>
      <c r="AD7" s="238"/>
      <c r="AE7" s="238"/>
      <c r="AF7" s="239"/>
      <c r="AG7" s="240"/>
      <c r="AH7" s="238"/>
      <c r="AI7" s="238"/>
      <c r="AJ7" s="239"/>
      <c r="AK7" s="240"/>
      <c r="AL7" s="238"/>
      <c r="AM7" s="238"/>
      <c r="AN7" s="239"/>
      <c r="AO7" s="240"/>
      <c r="AP7" s="238"/>
      <c r="AQ7" s="238"/>
      <c r="AR7" s="239"/>
      <c r="AS7" s="237"/>
      <c r="AT7" s="238"/>
      <c r="AU7" s="238"/>
      <c r="AV7" s="244"/>
      <c r="AW7" s="245"/>
      <c r="AX7" s="246"/>
      <c r="AY7" s="246"/>
      <c r="AZ7" s="244"/>
      <c r="BA7" s="245"/>
      <c r="BB7" s="246"/>
      <c r="BC7" s="246"/>
      <c r="BD7" s="244"/>
      <c r="BE7" s="245"/>
      <c r="BF7" s="246"/>
      <c r="BG7" s="246"/>
      <c r="BH7" s="244"/>
      <c r="BI7" s="245"/>
      <c r="BJ7" s="246"/>
      <c r="BK7" s="246"/>
      <c r="BL7" s="244"/>
      <c r="BM7" s="245"/>
      <c r="BN7" s="246"/>
      <c r="BO7" s="246"/>
      <c r="BP7" s="244"/>
      <c r="BQ7" s="245"/>
      <c r="BR7" s="246"/>
      <c r="BS7" s="246"/>
      <c r="BT7" s="244"/>
      <c r="BU7" s="245"/>
      <c r="BV7" s="246"/>
      <c r="BW7" s="246"/>
      <c r="BX7" s="244"/>
      <c r="BY7" s="245"/>
      <c r="BZ7" s="246"/>
      <c r="CA7" s="246"/>
      <c r="CB7" s="244"/>
      <c r="CC7" s="245"/>
      <c r="CD7" s="246"/>
      <c r="CE7" s="246"/>
      <c r="CF7" s="244"/>
      <c r="CG7" s="245"/>
      <c r="CH7" s="246"/>
      <c r="CI7" s="246"/>
      <c r="CJ7" s="244"/>
      <c r="CK7" s="245"/>
      <c r="CL7" s="246"/>
      <c r="CM7" s="246"/>
      <c r="CN7" s="244"/>
      <c r="CO7" s="245"/>
      <c r="CP7" s="246"/>
      <c r="CQ7" s="246"/>
      <c r="CR7" s="244"/>
      <c r="CS7" s="245"/>
      <c r="CT7" s="246"/>
      <c r="CU7" s="246"/>
      <c r="CV7" s="244"/>
      <c r="CW7" s="245"/>
      <c r="CX7" s="246"/>
      <c r="CY7" s="246"/>
      <c r="CZ7" s="244"/>
      <c r="DA7" s="245"/>
      <c r="DB7" s="246"/>
      <c r="DC7" s="246"/>
      <c r="DD7" s="244"/>
      <c r="DE7" s="245"/>
      <c r="DF7" s="246"/>
      <c r="DG7" s="246"/>
      <c r="DH7" s="244"/>
      <c r="DI7" s="245"/>
      <c r="DJ7" s="246"/>
      <c r="DK7" s="246"/>
      <c r="DL7" s="244"/>
      <c r="DM7" s="245"/>
      <c r="DN7" s="246"/>
      <c r="DO7" s="246"/>
      <c r="DP7" s="244"/>
      <c r="DQ7" s="245"/>
      <c r="DR7" s="246"/>
      <c r="DS7" s="246"/>
      <c r="DT7" s="244"/>
      <c r="DU7" s="245"/>
      <c r="DV7" s="246"/>
      <c r="DW7" s="246"/>
      <c r="DX7" s="244"/>
      <c r="DY7" s="245"/>
      <c r="DZ7" s="246"/>
      <c r="EA7" s="246"/>
      <c r="EB7" s="244"/>
      <c r="EC7" s="245"/>
      <c r="ED7" s="246"/>
      <c r="EE7" s="246"/>
      <c r="EF7" s="244"/>
      <c r="EG7" s="245"/>
      <c r="EH7" s="246"/>
      <c r="EI7" s="246"/>
      <c r="EJ7" s="244"/>
      <c r="EK7" s="245"/>
      <c r="EL7" s="246"/>
      <c r="EM7" s="246"/>
      <c r="EN7" s="244"/>
      <c r="EO7" s="245"/>
      <c r="EP7" s="246"/>
      <c r="EQ7" s="246"/>
      <c r="ER7" s="244"/>
      <c r="ES7" s="245"/>
      <c r="ET7" s="246"/>
      <c r="EU7" s="246"/>
      <c r="EV7" s="244"/>
      <c r="EW7" s="247"/>
      <c r="EX7" s="247"/>
      <c r="EY7" s="247"/>
      <c r="EZ7" s="247"/>
      <c r="FA7" s="247"/>
    </row>
    <row r="8" spans="2:157" s="406" customFormat="1" ht="29.25" customHeight="1">
      <c r="B8" s="232"/>
      <c r="C8" s="298" t="s">
        <v>219</v>
      </c>
      <c r="D8" s="248"/>
      <c r="E8" s="234"/>
      <c r="F8" s="235"/>
      <c r="G8" s="411"/>
      <c r="H8" s="249"/>
      <c r="I8" s="237"/>
      <c r="J8" s="238"/>
      <c r="K8" s="238"/>
      <c r="L8" s="239"/>
      <c r="M8" s="237"/>
      <c r="N8" s="238"/>
      <c r="O8" s="238"/>
      <c r="P8" s="239"/>
      <c r="Q8" s="237"/>
      <c r="R8" s="238"/>
      <c r="S8" s="238"/>
      <c r="T8" s="239"/>
      <c r="U8" s="240"/>
      <c r="V8" s="238"/>
      <c r="W8" s="238"/>
      <c r="X8" s="239"/>
      <c r="Y8" s="250"/>
      <c r="Z8" s="246"/>
      <c r="AA8" s="246"/>
      <c r="AB8" s="244"/>
      <c r="AC8" s="240"/>
      <c r="AD8" s="238"/>
      <c r="AE8" s="238"/>
      <c r="AF8" s="239"/>
      <c r="AG8" s="240"/>
      <c r="AH8" s="238"/>
      <c r="AI8" s="238"/>
      <c r="AJ8" s="239"/>
      <c r="AK8" s="240"/>
      <c r="AL8" s="238"/>
      <c r="AM8" s="238"/>
      <c r="AN8" s="239"/>
      <c r="AO8" s="240"/>
      <c r="AP8" s="238"/>
      <c r="AQ8" s="238"/>
      <c r="AR8" s="239"/>
      <c r="AS8" s="237"/>
      <c r="AT8" s="238"/>
      <c r="AU8" s="238"/>
      <c r="AV8" s="244"/>
      <c r="AW8" s="245"/>
      <c r="AX8" s="246"/>
      <c r="AY8" s="246"/>
      <c r="AZ8" s="244"/>
      <c r="BA8" s="245"/>
      <c r="BB8" s="246"/>
      <c r="BC8" s="246"/>
      <c r="BD8" s="244"/>
      <c r="BE8" s="245"/>
      <c r="BF8" s="246"/>
      <c r="BG8" s="246"/>
      <c r="BH8" s="244"/>
      <c r="BI8" s="245"/>
      <c r="BJ8" s="246"/>
      <c r="BK8" s="246"/>
      <c r="BL8" s="244"/>
      <c r="BM8" s="245"/>
      <c r="BN8" s="246"/>
      <c r="BO8" s="246"/>
      <c r="BP8" s="244"/>
      <c r="BQ8" s="245"/>
      <c r="BR8" s="246"/>
      <c r="BS8" s="246"/>
      <c r="BT8" s="244"/>
      <c r="BU8" s="245"/>
      <c r="BV8" s="246"/>
      <c r="BW8" s="246"/>
      <c r="BX8" s="244"/>
      <c r="BY8" s="245"/>
      <c r="BZ8" s="246"/>
      <c r="CA8" s="246"/>
      <c r="CB8" s="244"/>
      <c r="CC8" s="245"/>
      <c r="CD8" s="246"/>
      <c r="CE8" s="246"/>
      <c r="CF8" s="244"/>
      <c r="CG8" s="245"/>
      <c r="CH8" s="246"/>
      <c r="CI8" s="246"/>
      <c r="CJ8" s="244"/>
      <c r="CK8" s="245"/>
      <c r="CL8" s="246"/>
      <c r="CM8" s="246"/>
      <c r="CN8" s="244"/>
      <c r="CO8" s="245"/>
      <c r="CP8" s="246"/>
      <c r="CQ8" s="246"/>
      <c r="CR8" s="244"/>
      <c r="CS8" s="245"/>
      <c r="CT8" s="246"/>
      <c r="CU8" s="246"/>
      <c r="CV8" s="244"/>
      <c r="CW8" s="245"/>
      <c r="CX8" s="246"/>
      <c r="CY8" s="246"/>
      <c r="CZ8" s="244"/>
      <c r="DA8" s="245"/>
      <c r="DB8" s="246"/>
      <c r="DC8" s="246"/>
      <c r="DD8" s="244"/>
      <c r="DE8" s="245"/>
      <c r="DF8" s="246"/>
      <c r="DG8" s="246"/>
      <c r="DH8" s="244"/>
      <c r="DI8" s="245"/>
      <c r="DJ8" s="246"/>
      <c r="DK8" s="246"/>
      <c r="DL8" s="244"/>
      <c r="DM8" s="245"/>
      <c r="DN8" s="246"/>
      <c r="DO8" s="246"/>
      <c r="DP8" s="244"/>
      <c r="DQ8" s="245"/>
      <c r="DR8" s="246"/>
      <c r="DS8" s="246"/>
      <c r="DT8" s="244"/>
      <c r="DU8" s="245"/>
      <c r="DV8" s="246"/>
      <c r="DW8" s="246"/>
      <c r="DX8" s="244"/>
      <c r="DY8" s="245"/>
      <c r="DZ8" s="246"/>
      <c r="EA8" s="246"/>
      <c r="EB8" s="244"/>
      <c r="EC8" s="245"/>
      <c r="ED8" s="246"/>
      <c r="EE8" s="246"/>
      <c r="EF8" s="244"/>
      <c r="EG8" s="245"/>
      <c r="EH8" s="246"/>
      <c r="EI8" s="246"/>
      <c r="EJ8" s="244"/>
      <c r="EK8" s="245"/>
      <c r="EL8" s="246"/>
      <c r="EM8" s="246"/>
      <c r="EN8" s="244"/>
      <c r="EO8" s="245"/>
      <c r="EP8" s="246"/>
      <c r="EQ8" s="246"/>
      <c r="ER8" s="244"/>
      <c r="ES8" s="245"/>
      <c r="ET8" s="246"/>
      <c r="EU8" s="246"/>
      <c r="EV8" s="244"/>
      <c r="EW8" s="247"/>
      <c r="EX8" s="247"/>
      <c r="EY8" s="247"/>
      <c r="EZ8" s="247"/>
      <c r="FA8" s="247"/>
    </row>
    <row r="9" spans="2:157" s="436" customFormat="1" ht="29.25" customHeight="1">
      <c r="B9" s="232"/>
      <c r="C9" s="298"/>
      <c r="D9" s="248"/>
      <c r="E9" s="234"/>
      <c r="F9" s="235"/>
      <c r="G9" s="411"/>
      <c r="H9" s="249"/>
      <c r="I9" s="237"/>
      <c r="J9" s="238"/>
      <c r="K9" s="238"/>
      <c r="L9" s="239"/>
      <c r="M9" s="237"/>
      <c r="N9" s="238"/>
      <c r="O9" s="238"/>
      <c r="P9" s="239"/>
      <c r="Q9" s="237"/>
      <c r="R9" s="238"/>
      <c r="S9" s="238"/>
      <c r="T9" s="239"/>
      <c r="U9" s="240"/>
      <c r="V9" s="238"/>
      <c r="W9" s="238"/>
      <c r="X9" s="239"/>
      <c r="Y9" s="250"/>
      <c r="Z9" s="246"/>
      <c r="AA9" s="246"/>
      <c r="AB9" s="244"/>
      <c r="AC9" s="240"/>
      <c r="AD9" s="238"/>
      <c r="AE9" s="238"/>
      <c r="AF9" s="239"/>
      <c r="AG9" s="240"/>
      <c r="AH9" s="238"/>
      <c r="AI9" s="238"/>
      <c r="AJ9" s="239"/>
      <c r="AK9" s="240"/>
      <c r="AL9" s="238"/>
      <c r="AM9" s="238"/>
      <c r="AN9" s="239"/>
      <c r="AO9" s="240"/>
      <c r="AP9" s="238"/>
      <c r="AQ9" s="238"/>
      <c r="AR9" s="239"/>
      <c r="AS9" s="237"/>
      <c r="AT9" s="238"/>
      <c r="AU9" s="238"/>
      <c r="AV9" s="244"/>
      <c r="AW9" s="245"/>
      <c r="AX9" s="246"/>
      <c r="AY9" s="246"/>
      <c r="AZ9" s="244"/>
      <c r="BA9" s="245"/>
      <c r="BB9" s="246"/>
      <c r="BC9" s="246"/>
      <c r="BD9" s="244"/>
      <c r="BE9" s="245"/>
      <c r="BF9" s="246"/>
      <c r="BG9" s="246"/>
      <c r="BH9" s="244"/>
      <c r="BI9" s="245"/>
      <c r="BJ9" s="246"/>
      <c r="BK9" s="246"/>
      <c r="BL9" s="244"/>
      <c r="BM9" s="245"/>
      <c r="BN9" s="246"/>
      <c r="BO9" s="246"/>
      <c r="BP9" s="244"/>
      <c r="BQ9" s="245"/>
      <c r="BR9" s="246"/>
      <c r="BS9" s="246"/>
      <c r="BT9" s="244"/>
      <c r="BU9" s="245"/>
      <c r="BV9" s="246"/>
      <c r="BW9" s="246"/>
      <c r="BX9" s="244"/>
      <c r="BY9" s="245"/>
      <c r="BZ9" s="246"/>
      <c r="CA9" s="246"/>
      <c r="CB9" s="244"/>
      <c r="CC9" s="245"/>
      <c r="CD9" s="246"/>
      <c r="CE9" s="246"/>
      <c r="CF9" s="244"/>
      <c r="CG9" s="245"/>
      <c r="CH9" s="246"/>
      <c r="CI9" s="246"/>
      <c r="CJ9" s="244"/>
      <c r="CK9" s="245"/>
      <c r="CL9" s="246"/>
      <c r="CM9" s="246"/>
      <c r="CN9" s="244"/>
      <c r="CO9" s="245"/>
      <c r="CP9" s="246"/>
      <c r="CQ9" s="246"/>
      <c r="CR9" s="244"/>
      <c r="CS9" s="245"/>
      <c r="CT9" s="246"/>
      <c r="CU9" s="246"/>
      <c r="CV9" s="244"/>
      <c r="CW9" s="245"/>
      <c r="CX9" s="246"/>
      <c r="CY9" s="246"/>
      <c r="CZ9" s="244"/>
      <c r="DA9" s="245"/>
      <c r="DB9" s="246"/>
      <c r="DC9" s="246"/>
      <c r="DD9" s="244"/>
      <c r="DE9" s="245"/>
      <c r="DF9" s="246"/>
      <c r="DG9" s="246"/>
      <c r="DH9" s="244"/>
      <c r="DI9" s="245"/>
      <c r="DJ9" s="246"/>
      <c r="DK9" s="246"/>
      <c r="DL9" s="244"/>
      <c r="DM9" s="245"/>
      <c r="DN9" s="246"/>
      <c r="DO9" s="246"/>
      <c r="DP9" s="244"/>
      <c r="DQ9" s="245"/>
      <c r="DR9" s="246"/>
      <c r="DS9" s="246"/>
      <c r="DT9" s="244"/>
      <c r="DU9" s="245"/>
      <c r="DV9" s="246"/>
      <c r="DW9" s="246"/>
      <c r="DX9" s="244"/>
      <c r="DY9" s="245"/>
      <c r="DZ9" s="246"/>
      <c r="EA9" s="246"/>
      <c r="EB9" s="244"/>
      <c r="EC9" s="245"/>
      <c r="ED9" s="246"/>
      <c r="EE9" s="246"/>
      <c r="EF9" s="244"/>
      <c r="EG9" s="245"/>
      <c r="EH9" s="246"/>
      <c r="EI9" s="246"/>
      <c r="EJ9" s="244"/>
      <c r="EK9" s="245"/>
      <c r="EL9" s="246"/>
      <c r="EM9" s="246"/>
      <c r="EN9" s="244"/>
      <c r="EO9" s="245"/>
      <c r="EP9" s="246"/>
      <c r="EQ9" s="246"/>
      <c r="ER9" s="244"/>
      <c r="ES9" s="245"/>
      <c r="ET9" s="246"/>
      <c r="EU9" s="246"/>
      <c r="EV9" s="244"/>
      <c r="EW9" s="247"/>
      <c r="EX9" s="247"/>
      <c r="EY9" s="247"/>
      <c r="EZ9" s="247"/>
      <c r="FA9" s="247"/>
    </row>
    <row r="10" spans="2:157" s="264" customFormat="1" ht="29.25" customHeight="1">
      <c r="B10" s="257"/>
      <c r="C10" s="299" t="s">
        <v>147</v>
      </c>
      <c r="D10" s="252"/>
      <c r="E10" s="253"/>
      <c r="F10" s="10"/>
      <c r="G10" s="413"/>
      <c r="H10" s="11"/>
      <c r="I10" s="260"/>
      <c r="J10" s="261"/>
      <c r="K10" s="261"/>
      <c r="L10" s="262"/>
      <c r="M10" s="260"/>
      <c r="N10" s="261"/>
      <c r="O10" s="261"/>
      <c r="P10" s="262"/>
      <c r="Q10" s="260"/>
      <c r="R10" s="261"/>
      <c r="S10" s="261"/>
      <c r="T10" s="262"/>
      <c r="U10" s="260"/>
      <c r="V10" s="261"/>
      <c r="W10" s="261"/>
      <c r="X10" s="262"/>
      <c r="Y10" s="260"/>
      <c r="Z10" s="261"/>
      <c r="AA10" s="261"/>
      <c r="AB10" s="262"/>
      <c r="AC10" s="260"/>
      <c r="AD10" s="261"/>
      <c r="AE10" s="238"/>
      <c r="AF10" s="262"/>
      <c r="AG10" s="260"/>
      <c r="AH10" s="261"/>
      <c r="AI10" s="261"/>
      <c r="AJ10" s="262"/>
      <c r="AK10" s="260"/>
      <c r="AL10" s="261"/>
      <c r="AM10" s="261"/>
      <c r="AN10" s="262"/>
      <c r="AO10" s="260"/>
      <c r="AP10" s="261"/>
      <c r="AQ10" s="261"/>
      <c r="AR10" s="262"/>
      <c r="AS10" s="260"/>
      <c r="AT10" s="261"/>
      <c r="AU10" s="261"/>
      <c r="AV10" s="262"/>
      <c r="AW10" s="260"/>
      <c r="AX10" s="261"/>
      <c r="AY10" s="261"/>
      <c r="AZ10" s="262"/>
      <c r="BA10" s="260"/>
      <c r="BB10" s="261"/>
      <c r="BC10" s="261"/>
      <c r="BD10" s="262"/>
      <c r="BE10" s="260"/>
      <c r="BF10" s="261"/>
      <c r="BG10" s="261"/>
      <c r="BH10" s="262"/>
      <c r="BI10" s="260"/>
      <c r="BJ10" s="261"/>
      <c r="BK10" s="261"/>
      <c r="BL10" s="262"/>
      <c r="BM10" s="260"/>
      <c r="BN10" s="261"/>
      <c r="BO10" s="261"/>
      <c r="BP10" s="262"/>
      <c r="BQ10" s="260"/>
      <c r="BR10" s="261"/>
      <c r="BS10" s="261"/>
      <c r="BT10" s="262"/>
      <c r="BU10" s="260"/>
      <c r="BV10" s="261"/>
      <c r="BW10" s="261"/>
      <c r="BX10" s="262"/>
      <c r="BY10" s="260"/>
      <c r="BZ10" s="261"/>
      <c r="CA10" s="261"/>
      <c r="CB10" s="262"/>
      <c r="CC10" s="260"/>
      <c r="CD10" s="261"/>
      <c r="CE10" s="261"/>
      <c r="CF10" s="262"/>
      <c r="CG10" s="260"/>
      <c r="CH10" s="261"/>
      <c r="CI10" s="261"/>
      <c r="CJ10" s="262"/>
      <c r="CK10" s="260"/>
      <c r="CL10" s="261"/>
      <c r="CM10" s="261"/>
      <c r="CN10" s="262"/>
      <c r="CO10" s="260"/>
      <c r="CP10" s="261"/>
      <c r="CQ10" s="261"/>
      <c r="CR10" s="262"/>
      <c r="CS10" s="260"/>
      <c r="CT10" s="261"/>
      <c r="CU10" s="261"/>
      <c r="CV10" s="262"/>
      <c r="CW10" s="260"/>
      <c r="CX10" s="261"/>
      <c r="CY10" s="261"/>
      <c r="CZ10" s="262"/>
      <c r="DA10" s="260"/>
      <c r="DB10" s="261"/>
      <c r="DC10" s="261"/>
      <c r="DD10" s="262"/>
      <c r="DE10" s="260"/>
      <c r="DF10" s="261"/>
      <c r="DG10" s="261"/>
      <c r="DH10" s="262"/>
      <c r="DI10" s="260"/>
      <c r="DJ10" s="261"/>
      <c r="DK10" s="261"/>
      <c r="DL10" s="262"/>
      <c r="DM10" s="260"/>
      <c r="DN10" s="261"/>
      <c r="DO10" s="261"/>
      <c r="DP10" s="262"/>
      <c r="DQ10" s="260"/>
      <c r="DR10" s="261"/>
      <c r="DS10" s="261"/>
      <c r="DT10" s="262"/>
      <c r="DU10" s="260"/>
      <c r="DV10" s="261"/>
      <c r="DW10" s="261"/>
      <c r="DX10" s="262"/>
      <c r="DY10" s="260"/>
      <c r="DZ10" s="261"/>
      <c r="EA10" s="261"/>
      <c r="EB10" s="262"/>
      <c r="EC10" s="260"/>
      <c r="ED10" s="261"/>
      <c r="EE10" s="261"/>
      <c r="EF10" s="262"/>
      <c r="EG10" s="260"/>
      <c r="EH10" s="261"/>
      <c r="EI10" s="261"/>
      <c r="EJ10" s="262"/>
      <c r="EK10" s="260"/>
      <c r="EL10" s="261"/>
      <c r="EM10" s="261"/>
      <c r="EN10" s="262"/>
      <c r="EO10" s="260"/>
      <c r="EP10" s="261"/>
      <c r="EQ10" s="261"/>
      <c r="ER10" s="262"/>
      <c r="ES10" s="260"/>
      <c r="ET10" s="261"/>
      <c r="EU10" s="261"/>
      <c r="EV10" s="262"/>
      <c r="EW10" s="263"/>
      <c r="EX10" s="247"/>
      <c r="EY10" s="247"/>
      <c r="EZ10" s="247"/>
      <c r="FA10" s="247"/>
    </row>
    <row r="11" spans="2:157" s="264" customFormat="1" ht="29.25" customHeight="1">
      <c r="B11" s="257"/>
      <c r="C11" s="14"/>
      <c r="D11" s="307"/>
      <c r="E11" s="308"/>
      <c r="F11" s="16"/>
      <c r="G11" s="414"/>
      <c r="H11" s="17"/>
      <c r="I11" s="333"/>
      <c r="J11" s="261"/>
      <c r="K11" s="261"/>
      <c r="L11" s="262"/>
      <c r="M11" s="260"/>
      <c r="N11" s="261"/>
      <c r="O11" s="261"/>
      <c r="P11" s="262"/>
      <c r="Q11" s="260"/>
      <c r="R11" s="261"/>
      <c r="S11" s="261"/>
      <c r="T11" s="262"/>
      <c r="U11" s="260"/>
      <c r="V11" s="261"/>
      <c r="W11" s="261"/>
      <c r="X11" s="262"/>
      <c r="Y11" s="260"/>
      <c r="Z11" s="261"/>
      <c r="AA11" s="261"/>
      <c r="AB11" s="262"/>
      <c r="AC11" s="260"/>
      <c r="AD11" s="261"/>
      <c r="AE11" s="238"/>
      <c r="AF11" s="262"/>
      <c r="AG11" s="260"/>
      <c r="AH11" s="261"/>
      <c r="AI11" s="261"/>
      <c r="AJ11" s="262"/>
      <c r="AK11" s="260"/>
      <c r="AL11" s="261"/>
      <c r="AM11" s="261"/>
      <c r="AN11" s="262"/>
      <c r="AO11" s="332"/>
      <c r="AP11" s="330"/>
      <c r="AQ11" s="330"/>
      <c r="AR11" s="331"/>
      <c r="AS11" s="332"/>
      <c r="AT11" s="330"/>
      <c r="AU11" s="330"/>
      <c r="AV11" s="331"/>
      <c r="AW11" s="332"/>
      <c r="AX11" s="330"/>
      <c r="AY11" s="330"/>
      <c r="AZ11" s="331"/>
      <c r="BA11" s="332"/>
      <c r="BB11" s="330"/>
      <c r="BC11" s="330"/>
      <c r="BD11" s="331"/>
      <c r="BE11" s="332"/>
      <c r="BF11" s="330"/>
      <c r="BG11" s="330"/>
      <c r="BH11" s="331"/>
      <c r="BI11" s="332"/>
      <c r="BJ11" s="330"/>
      <c r="BK11" s="330"/>
      <c r="BL11" s="331"/>
      <c r="BM11" s="332"/>
      <c r="BN11" s="330"/>
      <c r="BO11" s="330"/>
      <c r="BP11" s="331"/>
      <c r="BQ11" s="332"/>
      <c r="BR11" s="330"/>
      <c r="BS11" s="330"/>
      <c r="BT11" s="331"/>
      <c r="BU11" s="332"/>
      <c r="BV11" s="330"/>
      <c r="BW11" s="330"/>
      <c r="BX11" s="331"/>
      <c r="BY11" s="332"/>
      <c r="BZ11" s="330"/>
      <c r="CA11" s="330"/>
      <c r="CB11" s="331"/>
      <c r="CC11" s="332"/>
      <c r="CD11" s="330"/>
      <c r="CE11" s="330"/>
      <c r="CF11" s="331"/>
      <c r="CG11" s="332"/>
      <c r="CH11" s="330"/>
      <c r="CI11" s="330"/>
      <c r="CJ11" s="331"/>
      <c r="CK11" s="332"/>
      <c r="CL11" s="330"/>
      <c r="CM11" s="330"/>
      <c r="CN11" s="331"/>
      <c r="CO11" s="332"/>
      <c r="CP11" s="330"/>
      <c r="CQ11" s="330"/>
      <c r="CR11" s="331"/>
      <c r="CS11" s="332"/>
      <c r="CT11" s="330"/>
      <c r="CU11" s="330"/>
      <c r="CV11" s="331"/>
      <c r="CW11" s="332"/>
      <c r="CX11" s="330"/>
      <c r="CY11" s="330"/>
      <c r="CZ11" s="331"/>
      <c r="DA11" s="332"/>
      <c r="DB11" s="330"/>
      <c r="DC11" s="330"/>
      <c r="DD11" s="331"/>
      <c r="DE11" s="332"/>
      <c r="DF11" s="330"/>
      <c r="DG11" s="330"/>
      <c r="DH11" s="331"/>
      <c r="DI11" s="332"/>
      <c r="DJ11" s="330"/>
      <c r="DK11" s="330"/>
      <c r="DL11" s="331"/>
      <c r="DM11" s="332"/>
      <c r="DN11" s="330"/>
      <c r="DO11" s="330"/>
      <c r="DP11" s="331"/>
      <c r="DQ11" s="332"/>
      <c r="DR11" s="330"/>
      <c r="DS11" s="330"/>
      <c r="DT11" s="331"/>
      <c r="DU11" s="332"/>
      <c r="DV11" s="330"/>
      <c r="DW11" s="330"/>
      <c r="DX11" s="331"/>
      <c r="DY11" s="332"/>
      <c r="DZ11" s="330"/>
      <c r="EA11" s="330"/>
      <c r="EB11" s="331"/>
      <c r="EC11" s="332"/>
      <c r="ED11" s="330"/>
      <c r="EE11" s="330"/>
      <c r="EF11" s="331"/>
      <c r="EG11" s="332"/>
      <c r="EH11" s="330"/>
      <c r="EI11" s="330"/>
      <c r="EJ11" s="331"/>
      <c r="EK11" s="332"/>
      <c r="EL11" s="330"/>
      <c r="EM11" s="330"/>
      <c r="EN11" s="331"/>
      <c r="EO11" s="332"/>
      <c r="EP11" s="330"/>
      <c r="EQ11" s="330"/>
      <c r="ER11" s="331"/>
      <c r="ES11" s="332"/>
      <c r="ET11" s="330"/>
      <c r="EU11" s="330"/>
      <c r="EV11" s="331"/>
      <c r="EW11" s="263">
        <f>SUM(I11:DD11)/4</f>
        <v>0</v>
      </c>
      <c r="EX11" s="263"/>
      <c r="EY11" s="263"/>
      <c r="EZ11" s="263">
        <f t="shared" ref="EZ11:EZ15" si="0">+EW11*EX11*28</f>
        <v>0</v>
      </c>
      <c r="FA11" s="263">
        <f t="shared" ref="FA11:FA15" si="1">+EW11*EY11*30</f>
        <v>0</v>
      </c>
    </row>
    <row r="12" spans="2:157" s="264" customFormat="1" ht="29.25" customHeight="1">
      <c r="B12" s="257"/>
      <c r="C12" s="14" t="s">
        <v>237</v>
      </c>
      <c r="D12" s="310" t="s">
        <v>149</v>
      </c>
      <c r="E12" s="329">
        <v>1</v>
      </c>
      <c r="F12" s="16"/>
      <c r="G12" s="414"/>
      <c r="H12" s="17"/>
      <c r="I12" s="333"/>
      <c r="J12" s="261"/>
      <c r="K12" s="261"/>
      <c r="L12" s="262"/>
      <c r="M12" s="260"/>
      <c r="N12" s="261"/>
      <c r="O12" s="261"/>
      <c r="P12" s="262"/>
      <c r="Q12" s="260"/>
      <c r="R12" s="261"/>
      <c r="S12" s="261"/>
      <c r="T12" s="262"/>
      <c r="U12" s="333"/>
      <c r="V12" s="432"/>
      <c r="W12" s="432"/>
      <c r="X12" s="433"/>
      <c r="Y12" s="333"/>
      <c r="Z12" s="261"/>
      <c r="AA12" s="261"/>
      <c r="AB12" s="262"/>
      <c r="AC12" s="260"/>
      <c r="AD12" s="261"/>
      <c r="AE12" s="261"/>
      <c r="AF12" s="262"/>
      <c r="AG12" s="333">
        <f>+E12</f>
        <v>1</v>
      </c>
      <c r="AH12" s="432">
        <f>+E12</f>
        <v>1</v>
      </c>
      <c r="AI12" s="432">
        <f>+E12</f>
        <v>1</v>
      </c>
      <c r="AJ12" s="433">
        <f>+E12</f>
        <v>1</v>
      </c>
      <c r="AK12" s="333">
        <f>+E12</f>
        <v>1</v>
      </c>
      <c r="AL12" s="432">
        <f>+E12</f>
        <v>1</v>
      </c>
      <c r="AM12" s="432">
        <f>+E12</f>
        <v>1</v>
      </c>
      <c r="AN12" s="433">
        <f>+E12</f>
        <v>1</v>
      </c>
      <c r="AO12" s="333">
        <f>+E12</f>
        <v>1</v>
      </c>
      <c r="AP12" s="432">
        <f>+E12</f>
        <v>1</v>
      </c>
      <c r="AQ12" s="432">
        <f>+E12</f>
        <v>1</v>
      </c>
      <c r="AR12" s="433">
        <f>+E12</f>
        <v>1</v>
      </c>
      <c r="AS12" s="333">
        <f>+E12</f>
        <v>1</v>
      </c>
      <c r="AT12" s="432">
        <f>+E12</f>
        <v>1</v>
      </c>
      <c r="AU12" s="432">
        <f>+E12</f>
        <v>1</v>
      </c>
      <c r="AV12" s="433">
        <f>+E12</f>
        <v>1</v>
      </c>
      <c r="AW12" s="333">
        <f>+E12</f>
        <v>1</v>
      </c>
      <c r="AX12" s="432">
        <f>+E12</f>
        <v>1</v>
      </c>
      <c r="AY12" s="432">
        <f>+E12</f>
        <v>1</v>
      </c>
      <c r="AZ12" s="433">
        <f>+E12</f>
        <v>1</v>
      </c>
      <c r="BA12" s="333">
        <f>+E12</f>
        <v>1</v>
      </c>
      <c r="BB12" s="432">
        <f>+E12</f>
        <v>1</v>
      </c>
      <c r="BC12" s="432">
        <f>+E12</f>
        <v>1</v>
      </c>
      <c r="BD12" s="433">
        <f>+E12</f>
        <v>1</v>
      </c>
      <c r="BE12" s="333">
        <f>+E12</f>
        <v>1</v>
      </c>
      <c r="BF12" s="432">
        <f>+E12</f>
        <v>1</v>
      </c>
      <c r="BG12" s="432">
        <f>+E12</f>
        <v>1</v>
      </c>
      <c r="BH12" s="433">
        <f>+E12</f>
        <v>1</v>
      </c>
      <c r="BI12" s="333">
        <f>+E12</f>
        <v>1</v>
      </c>
      <c r="BJ12" s="432">
        <f>+E12</f>
        <v>1</v>
      </c>
      <c r="BK12" s="432">
        <f>+E12</f>
        <v>1</v>
      </c>
      <c r="BL12" s="433">
        <f>+E12</f>
        <v>1</v>
      </c>
      <c r="BM12" s="333">
        <f>+E12</f>
        <v>1</v>
      </c>
      <c r="BN12" s="432">
        <f>+E12</f>
        <v>1</v>
      </c>
      <c r="BO12" s="432">
        <f>+E12</f>
        <v>1</v>
      </c>
      <c r="BP12" s="433">
        <f>+E12</f>
        <v>1</v>
      </c>
      <c r="BQ12" s="333">
        <f>+AK12</f>
        <v>1</v>
      </c>
      <c r="BR12" s="432">
        <f>+AK12</f>
        <v>1</v>
      </c>
      <c r="BS12" s="432">
        <f>+AK12</f>
        <v>1</v>
      </c>
      <c r="BT12" s="433">
        <f>+AK12</f>
        <v>1</v>
      </c>
      <c r="BU12" s="333">
        <f t="shared" ref="BU12" si="2">+AO12</f>
        <v>1</v>
      </c>
      <c r="BV12" s="432">
        <f t="shared" ref="BV12" si="3">+AO12</f>
        <v>1</v>
      </c>
      <c r="BW12" s="432">
        <f t="shared" ref="BW12" si="4">+AO12</f>
        <v>1</v>
      </c>
      <c r="BX12" s="433">
        <f t="shared" ref="BX12" si="5">+AO12</f>
        <v>1</v>
      </c>
      <c r="BY12" s="333">
        <f t="shared" ref="BY12" si="6">+AS12</f>
        <v>1</v>
      </c>
      <c r="BZ12" s="432">
        <f t="shared" ref="BZ12" si="7">+AS12</f>
        <v>1</v>
      </c>
      <c r="CA12" s="432">
        <f t="shared" ref="CA12" si="8">+AS12</f>
        <v>1</v>
      </c>
      <c r="CB12" s="433">
        <f t="shared" ref="CB12" si="9">+AS12</f>
        <v>1</v>
      </c>
      <c r="CC12" s="333">
        <f t="shared" ref="CC12" si="10">+AW12</f>
        <v>1</v>
      </c>
      <c r="CD12" s="432">
        <f t="shared" ref="CD12" si="11">+AW12</f>
        <v>1</v>
      </c>
      <c r="CE12" s="432">
        <f t="shared" ref="CE12" si="12">+AW12</f>
        <v>1</v>
      </c>
      <c r="CF12" s="433">
        <f t="shared" ref="CF12" si="13">+AW12</f>
        <v>1</v>
      </c>
      <c r="CG12" s="333">
        <f t="shared" ref="CG12" si="14">+BA12</f>
        <v>1</v>
      </c>
      <c r="CH12" s="432">
        <f t="shared" ref="CH12" si="15">+BA12</f>
        <v>1</v>
      </c>
      <c r="CI12" s="432">
        <f t="shared" ref="CI12" si="16">+BA12</f>
        <v>1</v>
      </c>
      <c r="CJ12" s="433">
        <f t="shared" ref="CJ12" si="17">+BA12</f>
        <v>1</v>
      </c>
      <c r="CK12" s="333">
        <f t="shared" ref="CK12" si="18">+BE12</f>
        <v>1</v>
      </c>
      <c r="CL12" s="432">
        <f t="shared" ref="CL12" si="19">+BE12</f>
        <v>1</v>
      </c>
      <c r="CM12" s="432">
        <f t="shared" ref="CM12" si="20">+BE12</f>
        <v>1</v>
      </c>
      <c r="CN12" s="433">
        <f t="shared" ref="CN12" si="21">+BE12</f>
        <v>1</v>
      </c>
      <c r="CO12" s="333">
        <f t="shared" ref="CO12" si="22">+BI12</f>
        <v>1</v>
      </c>
      <c r="CP12" s="432">
        <f t="shared" ref="CP12" si="23">+BI12</f>
        <v>1</v>
      </c>
      <c r="CQ12" s="432">
        <f t="shared" ref="CQ12" si="24">+BI12</f>
        <v>1</v>
      </c>
      <c r="CR12" s="433">
        <f t="shared" ref="CR12" si="25">+BI12</f>
        <v>1</v>
      </c>
      <c r="CS12" s="333">
        <f t="shared" ref="CS12" si="26">+BM12</f>
        <v>1</v>
      </c>
      <c r="CT12" s="432">
        <f t="shared" ref="CT12" si="27">+BM12</f>
        <v>1</v>
      </c>
      <c r="CU12" s="432">
        <f t="shared" ref="CU12" si="28">+BM12</f>
        <v>1</v>
      </c>
      <c r="CV12" s="433">
        <f t="shared" ref="CV12" si="29">+BM12</f>
        <v>1</v>
      </c>
      <c r="CW12" s="333">
        <f t="shared" ref="CW12" si="30">+BQ12</f>
        <v>1</v>
      </c>
      <c r="CX12" s="432">
        <f t="shared" ref="CX12" si="31">+BQ12</f>
        <v>1</v>
      </c>
      <c r="CY12" s="432">
        <f t="shared" ref="CY12" si="32">+BQ12</f>
        <v>1</v>
      </c>
      <c r="CZ12" s="433">
        <f t="shared" ref="CZ12" si="33">+BQ12</f>
        <v>1</v>
      </c>
      <c r="DA12" s="333">
        <f t="shared" ref="DA12" si="34">+BU12</f>
        <v>1</v>
      </c>
      <c r="DB12" s="432">
        <f t="shared" ref="DB12" si="35">+BU12</f>
        <v>1</v>
      </c>
      <c r="DC12" s="432">
        <f t="shared" ref="DC12" si="36">+BU12</f>
        <v>1</v>
      </c>
      <c r="DD12" s="433">
        <f t="shared" ref="DD12" si="37">+BU12</f>
        <v>1</v>
      </c>
      <c r="DE12" s="333">
        <f t="shared" ref="DE12" si="38">+BY12</f>
        <v>1</v>
      </c>
      <c r="DF12" s="432">
        <f t="shared" ref="DF12" si="39">+BY12</f>
        <v>1</v>
      </c>
      <c r="DG12" s="432">
        <f t="shared" ref="DG12" si="40">+BY12</f>
        <v>1</v>
      </c>
      <c r="DH12" s="433">
        <f t="shared" ref="DH12" si="41">+BY12</f>
        <v>1</v>
      </c>
      <c r="DI12" s="333">
        <f t="shared" ref="DI12" si="42">+CC12</f>
        <v>1</v>
      </c>
      <c r="DJ12" s="432">
        <f t="shared" ref="DJ12" si="43">+CC12</f>
        <v>1</v>
      </c>
      <c r="DK12" s="432">
        <f t="shared" ref="DK12" si="44">+CC12</f>
        <v>1</v>
      </c>
      <c r="DL12" s="433">
        <f t="shared" ref="DL12" si="45">+CC12</f>
        <v>1</v>
      </c>
      <c r="DM12" s="333">
        <f t="shared" ref="DM12" si="46">+CG12</f>
        <v>1</v>
      </c>
      <c r="DN12" s="432">
        <f t="shared" ref="DN12" si="47">+CG12</f>
        <v>1</v>
      </c>
      <c r="DO12" s="432">
        <f t="shared" ref="DO12" si="48">+CG12</f>
        <v>1</v>
      </c>
      <c r="DP12" s="433">
        <f t="shared" ref="DP12" si="49">+CG12</f>
        <v>1</v>
      </c>
      <c r="DQ12" s="333">
        <f t="shared" ref="DQ12" si="50">+CK12</f>
        <v>1</v>
      </c>
      <c r="DR12" s="432">
        <f t="shared" ref="DR12" si="51">+CK12</f>
        <v>1</v>
      </c>
      <c r="DS12" s="432">
        <f t="shared" ref="DS12" si="52">+CK12</f>
        <v>1</v>
      </c>
      <c r="DT12" s="433">
        <f t="shared" ref="DT12" si="53">+CK12</f>
        <v>1</v>
      </c>
      <c r="DU12" s="333">
        <f t="shared" ref="DU12" si="54">+CO12</f>
        <v>1</v>
      </c>
      <c r="DV12" s="432">
        <f t="shared" ref="DV12" si="55">+CO12</f>
        <v>1</v>
      </c>
      <c r="DW12" s="432">
        <f t="shared" ref="DW12" si="56">+CO12</f>
        <v>1</v>
      </c>
      <c r="DX12" s="433">
        <f t="shared" ref="DX12" si="57">+CO12</f>
        <v>1</v>
      </c>
      <c r="DY12" s="333">
        <f t="shared" ref="DY12" si="58">+CS12</f>
        <v>1</v>
      </c>
      <c r="DZ12" s="432">
        <f t="shared" ref="DZ12" si="59">+CS12</f>
        <v>1</v>
      </c>
      <c r="EA12" s="432">
        <f t="shared" ref="EA12" si="60">+CS12</f>
        <v>1</v>
      </c>
      <c r="EB12" s="433">
        <f t="shared" ref="EB12" si="61">+CS12</f>
        <v>1</v>
      </c>
      <c r="EC12" s="333">
        <f t="shared" ref="EC12" si="62">+CW12</f>
        <v>1</v>
      </c>
      <c r="ED12" s="432">
        <f t="shared" ref="ED12" si="63">+CW12</f>
        <v>1</v>
      </c>
      <c r="EE12" s="432">
        <f t="shared" ref="EE12" si="64">+CW12</f>
        <v>1</v>
      </c>
      <c r="EF12" s="433">
        <f t="shared" ref="EF12" si="65">+CW12</f>
        <v>1</v>
      </c>
      <c r="EG12" s="333">
        <f t="shared" ref="EG12" si="66">+DA12</f>
        <v>1</v>
      </c>
      <c r="EH12" s="432">
        <f t="shared" ref="EH12" si="67">+DA12</f>
        <v>1</v>
      </c>
      <c r="EI12" s="432">
        <f t="shared" ref="EI12" si="68">+DA12</f>
        <v>1</v>
      </c>
      <c r="EJ12" s="433">
        <f t="shared" ref="EJ12" si="69">+DA12</f>
        <v>1</v>
      </c>
      <c r="EK12" s="333">
        <f t="shared" ref="EK12" si="70">+DE12</f>
        <v>1</v>
      </c>
      <c r="EL12" s="432">
        <f t="shared" ref="EL12" si="71">+DE12</f>
        <v>1</v>
      </c>
      <c r="EM12" s="432">
        <f t="shared" ref="EM12" si="72">+DE12</f>
        <v>1</v>
      </c>
      <c r="EN12" s="433">
        <f t="shared" ref="EN12" si="73">+DE12</f>
        <v>1</v>
      </c>
      <c r="EO12" s="333">
        <f t="shared" ref="EO12" si="74">+DI12</f>
        <v>1</v>
      </c>
      <c r="EP12" s="432">
        <f t="shared" ref="EP12" si="75">+DI12</f>
        <v>1</v>
      </c>
      <c r="EQ12" s="432">
        <f t="shared" ref="EQ12" si="76">+DI12</f>
        <v>1</v>
      </c>
      <c r="ER12" s="433">
        <f t="shared" ref="ER12" si="77">+DI12</f>
        <v>1</v>
      </c>
      <c r="ES12" s="333">
        <f t="shared" ref="ES12" si="78">+DM12</f>
        <v>1</v>
      </c>
      <c r="ET12" s="432">
        <f t="shared" ref="ET12" si="79">+DM12</f>
        <v>1</v>
      </c>
      <c r="EU12" s="432">
        <f t="shared" ref="EU12" si="80">+DM12</f>
        <v>1</v>
      </c>
      <c r="EV12" s="433">
        <f t="shared" ref="EV12" si="81">+DM12</f>
        <v>1</v>
      </c>
      <c r="EW12" s="263">
        <f>SUM(I12:EV12)/4</f>
        <v>30</v>
      </c>
      <c r="EX12" s="263">
        <v>16</v>
      </c>
      <c r="EY12" s="263">
        <f t="shared" ref="EY12:EY15" si="82">24-EX12</f>
        <v>8</v>
      </c>
      <c r="EZ12" s="263">
        <f t="shared" si="0"/>
        <v>13440</v>
      </c>
      <c r="FA12" s="263">
        <f t="shared" si="1"/>
        <v>7200</v>
      </c>
    </row>
    <row r="13" spans="2:157" s="264" customFormat="1" ht="29.25" customHeight="1">
      <c r="B13" s="257"/>
      <c r="C13" s="14" t="s">
        <v>238</v>
      </c>
      <c r="D13" s="310" t="s">
        <v>149</v>
      </c>
      <c r="E13" s="329">
        <v>1</v>
      </c>
      <c r="F13" s="16"/>
      <c r="G13" s="414"/>
      <c r="H13" s="17"/>
      <c r="I13" s="333"/>
      <c r="J13" s="261"/>
      <c r="K13" s="261"/>
      <c r="L13" s="262"/>
      <c r="M13" s="260"/>
      <c r="N13" s="261"/>
      <c r="O13" s="261"/>
      <c r="P13" s="262"/>
      <c r="Q13" s="260"/>
      <c r="R13" s="261"/>
      <c r="S13" s="261"/>
      <c r="T13" s="262"/>
      <c r="U13" s="333"/>
      <c r="V13" s="432"/>
      <c r="W13" s="432"/>
      <c r="X13" s="433"/>
      <c r="Y13" s="333"/>
      <c r="Z13" s="261"/>
      <c r="AA13" s="261"/>
      <c r="AB13" s="262"/>
      <c r="AC13" s="260"/>
      <c r="AD13" s="261"/>
      <c r="AE13" s="261"/>
      <c r="AF13" s="262"/>
      <c r="AG13" s="333">
        <f t="shared" ref="AG13:AG36" si="83">+E13</f>
        <v>1</v>
      </c>
      <c r="AH13" s="432">
        <f t="shared" ref="AH13:AH36" si="84">+E13</f>
        <v>1</v>
      </c>
      <c r="AI13" s="432">
        <f t="shared" ref="AI13:AI36" si="85">+E13</f>
        <v>1</v>
      </c>
      <c r="AJ13" s="433">
        <f t="shared" ref="AJ13:AJ36" si="86">+E13</f>
        <v>1</v>
      </c>
      <c r="AK13" s="333">
        <f t="shared" ref="AK13:AK24" si="87">+E13</f>
        <v>1</v>
      </c>
      <c r="AL13" s="432">
        <f t="shared" ref="AL13:AL24" si="88">+E13</f>
        <v>1</v>
      </c>
      <c r="AM13" s="432">
        <f t="shared" ref="AM13:AM24" si="89">+E13</f>
        <v>1</v>
      </c>
      <c r="AN13" s="433">
        <f t="shared" ref="AN13:AN24" si="90">+E13</f>
        <v>1</v>
      </c>
      <c r="AO13" s="333">
        <f t="shared" ref="AO13:AO24" si="91">+E13</f>
        <v>1</v>
      </c>
      <c r="AP13" s="432">
        <f t="shared" ref="AP13:AP24" si="92">+E13</f>
        <v>1</v>
      </c>
      <c r="AQ13" s="432">
        <f t="shared" ref="AQ13:AQ24" si="93">+E13</f>
        <v>1</v>
      </c>
      <c r="AR13" s="433">
        <f t="shared" ref="AR13:AR24" si="94">+E13</f>
        <v>1</v>
      </c>
      <c r="AS13" s="333">
        <f t="shared" ref="AS13:AS24" si="95">+E13</f>
        <v>1</v>
      </c>
      <c r="AT13" s="432">
        <f t="shared" ref="AT13:AT24" si="96">+E13</f>
        <v>1</v>
      </c>
      <c r="AU13" s="432">
        <f t="shared" ref="AU13:AU24" si="97">+E13</f>
        <v>1</v>
      </c>
      <c r="AV13" s="433">
        <f t="shared" ref="AV13:AV24" si="98">+E13</f>
        <v>1</v>
      </c>
      <c r="AW13" s="333">
        <f t="shared" ref="AW13:AW24" si="99">+E13</f>
        <v>1</v>
      </c>
      <c r="AX13" s="432">
        <f t="shared" ref="AX13:AX24" si="100">+E13</f>
        <v>1</v>
      </c>
      <c r="AY13" s="432">
        <f t="shared" ref="AY13:AY24" si="101">+E13</f>
        <v>1</v>
      </c>
      <c r="AZ13" s="433">
        <f t="shared" ref="AZ13:AZ24" si="102">+E13</f>
        <v>1</v>
      </c>
      <c r="BA13" s="333">
        <f t="shared" ref="BA13:BA24" si="103">+E13</f>
        <v>1</v>
      </c>
      <c r="BB13" s="432">
        <f t="shared" ref="BB13:BB24" si="104">+E13</f>
        <v>1</v>
      </c>
      <c r="BC13" s="432">
        <f t="shared" ref="BC13:BC24" si="105">+E13</f>
        <v>1</v>
      </c>
      <c r="BD13" s="433">
        <f t="shared" ref="BD13:BD24" si="106">+E13</f>
        <v>1</v>
      </c>
      <c r="BE13" s="333">
        <f t="shared" ref="BE13:BE24" si="107">+E13</f>
        <v>1</v>
      </c>
      <c r="BF13" s="432">
        <f t="shared" ref="BF13:BF24" si="108">+E13</f>
        <v>1</v>
      </c>
      <c r="BG13" s="432">
        <f t="shared" ref="BG13:BG24" si="109">+E13</f>
        <v>1</v>
      </c>
      <c r="BH13" s="433">
        <f t="shared" ref="BH13:BH24" si="110">+E13</f>
        <v>1</v>
      </c>
      <c r="BI13" s="333">
        <f t="shared" ref="BI13:BI24" si="111">+E13</f>
        <v>1</v>
      </c>
      <c r="BJ13" s="432">
        <f t="shared" ref="BJ13:BJ24" si="112">+E13</f>
        <v>1</v>
      </c>
      <c r="BK13" s="432">
        <f t="shared" ref="BK13:BK24" si="113">+E13</f>
        <v>1</v>
      </c>
      <c r="BL13" s="433">
        <f t="shared" ref="BL13:BL24" si="114">+E13</f>
        <v>1</v>
      </c>
      <c r="BM13" s="333">
        <f t="shared" ref="BM13:BM24" si="115">+E13</f>
        <v>1</v>
      </c>
      <c r="BN13" s="432">
        <f t="shared" ref="BN13:BN24" si="116">+E13</f>
        <v>1</v>
      </c>
      <c r="BO13" s="432">
        <f t="shared" ref="BO13:BO24" si="117">+E13</f>
        <v>1</v>
      </c>
      <c r="BP13" s="433">
        <f t="shared" ref="BP13:BP24" si="118">+E13</f>
        <v>1</v>
      </c>
      <c r="BQ13" s="333">
        <f t="shared" ref="BQ13:BQ24" si="119">+AK13</f>
        <v>1</v>
      </c>
      <c r="BR13" s="432">
        <f t="shared" ref="BR13:BR24" si="120">+AK13</f>
        <v>1</v>
      </c>
      <c r="BS13" s="432">
        <f t="shared" ref="BS13:BS24" si="121">+AK13</f>
        <v>1</v>
      </c>
      <c r="BT13" s="433">
        <f t="shared" ref="BT13:BT24" si="122">+AK13</f>
        <v>1</v>
      </c>
      <c r="BU13" s="333">
        <f t="shared" ref="BU13:BU26" si="123">+AO13</f>
        <v>1</v>
      </c>
      <c r="BV13" s="432">
        <f t="shared" ref="BV13:BV26" si="124">+AO13</f>
        <v>1</v>
      </c>
      <c r="BW13" s="432">
        <f t="shared" ref="BW13:BW26" si="125">+AO13</f>
        <v>1</v>
      </c>
      <c r="BX13" s="433">
        <f t="shared" ref="BX13:BX26" si="126">+AO13</f>
        <v>1</v>
      </c>
      <c r="BY13" s="333">
        <f t="shared" ref="BY13:BY26" si="127">+AS13</f>
        <v>1</v>
      </c>
      <c r="BZ13" s="432">
        <f t="shared" ref="BZ13:BZ26" si="128">+AS13</f>
        <v>1</v>
      </c>
      <c r="CA13" s="432">
        <f t="shared" ref="CA13:CA26" si="129">+AS13</f>
        <v>1</v>
      </c>
      <c r="CB13" s="433">
        <f t="shared" ref="CB13:CB26" si="130">+AS13</f>
        <v>1</v>
      </c>
      <c r="CC13" s="333">
        <f t="shared" ref="CC13:CC26" si="131">+AW13</f>
        <v>1</v>
      </c>
      <c r="CD13" s="432">
        <f t="shared" ref="CD13:CD26" si="132">+AW13</f>
        <v>1</v>
      </c>
      <c r="CE13" s="432">
        <f t="shared" ref="CE13:CE26" si="133">+AW13</f>
        <v>1</v>
      </c>
      <c r="CF13" s="433">
        <f t="shared" ref="CF13:CF26" si="134">+AW13</f>
        <v>1</v>
      </c>
      <c r="CG13" s="333">
        <f t="shared" ref="CG13:CG26" si="135">+BA13</f>
        <v>1</v>
      </c>
      <c r="CH13" s="432">
        <f t="shared" ref="CH13:CH26" si="136">+BA13</f>
        <v>1</v>
      </c>
      <c r="CI13" s="432">
        <f t="shared" ref="CI13:CI26" si="137">+BA13</f>
        <v>1</v>
      </c>
      <c r="CJ13" s="433">
        <f t="shared" ref="CJ13:CJ26" si="138">+BA13</f>
        <v>1</v>
      </c>
      <c r="CK13" s="333">
        <f t="shared" ref="CK13:CK26" si="139">+BE13</f>
        <v>1</v>
      </c>
      <c r="CL13" s="432">
        <f t="shared" ref="CL13:CL26" si="140">+BE13</f>
        <v>1</v>
      </c>
      <c r="CM13" s="432">
        <f t="shared" ref="CM13:CM26" si="141">+BE13</f>
        <v>1</v>
      </c>
      <c r="CN13" s="433">
        <f t="shared" ref="CN13:CN26" si="142">+BE13</f>
        <v>1</v>
      </c>
      <c r="CO13" s="333">
        <f t="shared" ref="CO13:CO26" si="143">+BI13</f>
        <v>1</v>
      </c>
      <c r="CP13" s="432">
        <f t="shared" ref="CP13:CP26" si="144">+BI13</f>
        <v>1</v>
      </c>
      <c r="CQ13" s="432">
        <f t="shared" ref="CQ13:CQ26" si="145">+BI13</f>
        <v>1</v>
      </c>
      <c r="CR13" s="433">
        <f t="shared" ref="CR13:CR26" si="146">+BI13</f>
        <v>1</v>
      </c>
      <c r="CS13" s="333">
        <f t="shared" ref="CS13:CS26" si="147">+BM13</f>
        <v>1</v>
      </c>
      <c r="CT13" s="432">
        <f t="shared" ref="CT13:CT26" si="148">+BM13</f>
        <v>1</v>
      </c>
      <c r="CU13" s="432">
        <f t="shared" ref="CU13:CU26" si="149">+BM13</f>
        <v>1</v>
      </c>
      <c r="CV13" s="433">
        <f t="shared" ref="CV13:CV26" si="150">+BM13</f>
        <v>1</v>
      </c>
      <c r="CW13" s="333">
        <f t="shared" ref="CW13:CW26" si="151">+BQ13</f>
        <v>1</v>
      </c>
      <c r="CX13" s="432">
        <f t="shared" ref="CX13:CX26" si="152">+BQ13</f>
        <v>1</v>
      </c>
      <c r="CY13" s="432">
        <f t="shared" ref="CY13:CY26" si="153">+BQ13</f>
        <v>1</v>
      </c>
      <c r="CZ13" s="433">
        <f t="shared" ref="CZ13:CZ26" si="154">+BQ13</f>
        <v>1</v>
      </c>
      <c r="DA13" s="333">
        <f t="shared" ref="DA13:DA26" si="155">+BU13</f>
        <v>1</v>
      </c>
      <c r="DB13" s="432">
        <f t="shared" ref="DB13:DB26" si="156">+BU13</f>
        <v>1</v>
      </c>
      <c r="DC13" s="432">
        <f t="shared" ref="DC13:DC26" si="157">+BU13</f>
        <v>1</v>
      </c>
      <c r="DD13" s="433">
        <f t="shared" ref="DD13:DD26" si="158">+BU13</f>
        <v>1</v>
      </c>
      <c r="DE13" s="333">
        <f t="shared" ref="DE13:DE26" si="159">+BY13</f>
        <v>1</v>
      </c>
      <c r="DF13" s="432">
        <f t="shared" ref="DF13:DF26" si="160">+BY13</f>
        <v>1</v>
      </c>
      <c r="DG13" s="432">
        <f t="shared" ref="DG13:DG26" si="161">+BY13</f>
        <v>1</v>
      </c>
      <c r="DH13" s="433">
        <f t="shared" ref="DH13:DH26" si="162">+BY13</f>
        <v>1</v>
      </c>
      <c r="DI13" s="333">
        <f t="shared" ref="DI13:DI26" si="163">+CC13</f>
        <v>1</v>
      </c>
      <c r="DJ13" s="432">
        <f t="shared" ref="DJ13:DJ26" si="164">+CC13</f>
        <v>1</v>
      </c>
      <c r="DK13" s="432">
        <f t="shared" ref="DK13:DK26" si="165">+CC13</f>
        <v>1</v>
      </c>
      <c r="DL13" s="433">
        <f t="shared" ref="DL13:DL26" si="166">+CC13</f>
        <v>1</v>
      </c>
      <c r="DM13" s="333">
        <f t="shared" ref="DM13:DM26" si="167">+CG13</f>
        <v>1</v>
      </c>
      <c r="DN13" s="432">
        <f t="shared" ref="DN13:DN26" si="168">+CG13</f>
        <v>1</v>
      </c>
      <c r="DO13" s="432">
        <f t="shared" ref="DO13:DO26" si="169">+CG13</f>
        <v>1</v>
      </c>
      <c r="DP13" s="433">
        <f t="shared" ref="DP13:DP26" si="170">+CG13</f>
        <v>1</v>
      </c>
      <c r="DQ13" s="333">
        <f t="shared" ref="DQ13:DQ26" si="171">+CK13</f>
        <v>1</v>
      </c>
      <c r="DR13" s="432">
        <f t="shared" ref="DR13:DR26" si="172">+CK13</f>
        <v>1</v>
      </c>
      <c r="DS13" s="432">
        <f t="shared" ref="DS13:DS26" si="173">+CK13</f>
        <v>1</v>
      </c>
      <c r="DT13" s="433">
        <f t="shared" ref="DT13:DT26" si="174">+CK13</f>
        <v>1</v>
      </c>
      <c r="DU13" s="333">
        <f t="shared" ref="DU13:DU26" si="175">+CO13</f>
        <v>1</v>
      </c>
      <c r="DV13" s="432">
        <f t="shared" ref="DV13:DV26" si="176">+CO13</f>
        <v>1</v>
      </c>
      <c r="DW13" s="432">
        <f t="shared" ref="DW13:DW26" si="177">+CO13</f>
        <v>1</v>
      </c>
      <c r="DX13" s="433">
        <f t="shared" ref="DX13:DX26" si="178">+CO13</f>
        <v>1</v>
      </c>
      <c r="DY13" s="333">
        <f t="shared" ref="DY13:DY26" si="179">+CS13</f>
        <v>1</v>
      </c>
      <c r="DZ13" s="432">
        <f t="shared" ref="DZ13:DZ26" si="180">+CS13</f>
        <v>1</v>
      </c>
      <c r="EA13" s="432">
        <f t="shared" ref="EA13:EA26" si="181">+CS13</f>
        <v>1</v>
      </c>
      <c r="EB13" s="433">
        <f t="shared" ref="EB13:EB26" si="182">+CS13</f>
        <v>1</v>
      </c>
      <c r="EC13" s="333">
        <f t="shared" ref="EC13:EC26" si="183">+CW13</f>
        <v>1</v>
      </c>
      <c r="ED13" s="432">
        <f t="shared" ref="ED13:ED26" si="184">+CW13</f>
        <v>1</v>
      </c>
      <c r="EE13" s="432">
        <f t="shared" ref="EE13:EE26" si="185">+CW13</f>
        <v>1</v>
      </c>
      <c r="EF13" s="433">
        <f t="shared" ref="EF13:EF26" si="186">+CW13</f>
        <v>1</v>
      </c>
      <c r="EG13" s="333">
        <f t="shared" ref="EG13:EG26" si="187">+DA13</f>
        <v>1</v>
      </c>
      <c r="EH13" s="432">
        <f t="shared" ref="EH13:EH26" si="188">+DA13</f>
        <v>1</v>
      </c>
      <c r="EI13" s="432">
        <f t="shared" ref="EI13:EI26" si="189">+DA13</f>
        <v>1</v>
      </c>
      <c r="EJ13" s="433">
        <f t="shared" ref="EJ13:EJ26" si="190">+DA13</f>
        <v>1</v>
      </c>
      <c r="EK13" s="333">
        <f t="shared" ref="EK13:EK26" si="191">+DE13</f>
        <v>1</v>
      </c>
      <c r="EL13" s="432">
        <f t="shared" ref="EL13:EL26" si="192">+DE13</f>
        <v>1</v>
      </c>
      <c r="EM13" s="432">
        <f t="shared" ref="EM13:EM26" si="193">+DE13</f>
        <v>1</v>
      </c>
      <c r="EN13" s="433">
        <f t="shared" ref="EN13:EN26" si="194">+DE13</f>
        <v>1</v>
      </c>
      <c r="EO13" s="333">
        <f t="shared" ref="EO13:EO26" si="195">+DI13</f>
        <v>1</v>
      </c>
      <c r="EP13" s="432">
        <f t="shared" ref="EP13:EP26" si="196">+DI13</f>
        <v>1</v>
      </c>
      <c r="EQ13" s="432">
        <f t="shared" ref="EQ13:EQ26" si="197">+DI13</f>
        <v>1</v>
      </c>
      <c r="ER13" s="433">
        <f t="shared" ref="ER13:ER26" si="198">+DI13</f>
        <v>1</v>
      </c>
      <c r="ES13" s="333">
        <f t="shared" ref="ES13:ES26" si="199">+DM13</f>
        <v>1</v>
      </c>
      <c r="ET13" s="432">
        <f t="shared" ref="ET13:ET26" si="200">+DM13</f>
        <v>1</v>
      </c>
      <c r="EU13" s="432">
        <f t="shared" ref="EU13:EU26" si="201">+DM13</f>
        <v>1</v>
      </c>
      <c r="EV13" s="433">
        <f t="shared" ref="EV13:EV26" si="202">+DM13</f>
        <v>1</v>
      </c>
      <c r="EW13" s="263">
        <f>SUM(I13:EV13)/4</f>
        <v>30</v>
      </c>
      <c r="EX13" s="263">
        <v>16</v>
      </c>
      <c r="EY13" s="263">
        <f>24-EX13</f>
        <v>8</v>
      </c>
      <c r="EZ13" s="263">
        <f t="shared" si="0"/>
        <v>13440</v>
      </c>
      <c r="FA13" s="263">
        <f t="shared" si="1"/>
        <v>7200</v>
      </c>
    </row>
    <row r="14" spans="2:157" s="264" customFormat="1" ht="29.25" customHeight="1">
      <c r="B14" s="257"/>
      <c r="C14" s="14" t="s">
        <v>239</v>
      </c>
      <c r="D14" s="310" t="s">
        <v>149</v>
      </c>
      <c r="E14" s="329">
        <v>1</v>
      </c>
      <c r="F14" s="16"/>
      <c r="G14" s="414"/>
      <c r="H14" s="17"/>
      <c r="I14" s="333"/>
      <c r="J14" s="261"/>
      <c r="K14" s="261"/>
      <c r="L14" s="262"/>
      <c r="M14" s="260"/>
      <c r="N14" s="261"/>
      <c r="O14" s="261"/>
      <c r="P14" s="262"/>
      <c r="Q14" s="260"/>
      <c r="R14" s="261"/>
      <c r="S14" s="261"/>
      <c r="T14" s="262"/>
      <c r="U14" s="333"/>
      <c r="V14" s="432"/>
      <c r="W14" s="432"/>
      <c r="X14" s="433"/>
      <c r="Y14" s="333"/>
      <c r="Z14" s="261"/>
      <c r="AA14" s="261"/>
      <c r="AB14" s="262"/>
      <c r="AC14" s="260"/>
      <c r="AD14" s="261"/>
      <c r="AE14" s="261"/>
      <c r="AF14" s="262"/>
      <c r="AG14" s="333">
        <f t="shared" si="83"/>
        <v>1</v>
      </c>
      <c r="AH14" s="432">
        <f t="shared" si="84"/>
        <v>1</v>
      </c>
      <c r="AI14" s="432">
        <f t="shared" si="85"/>
        <v>1</v>
      </c>
      <c r="AJ14" s="433">
        <f t="shared" si="86"/>
        <v>1</v>
      </c>
      <c r="AK14" s="333">
        <f t="shared" si="87"/>
        <v>1</v>
      </c>
      <c r="AL14" s="432">
        <f t="shared" si="88"/>
        <v>1</v>
      </c>
      <c r="AM14" s="432">
        <f t="shared" si="89"/>
        <v>1</v>
      </c>
      <c r="AN14" s="433">
        <f t="shared" si="90"/>
        <v>1</v>
      </c>
      <c r="AO14" s="333">
        <f t="shared" si="91"/>
        <v>1</v>
      </c>
      <c r="AP14" s="432">
        <f t="shared" si="92"/>
        <v>1</v>
      </c>
      <c r="AQ14" s="432">
        <f t="shared" si="93"/>
        <v>1</v>
      </c>
      <c r="AR14" s="433">
        <f t="shared" si="94"/>
        <v>1</v>
      </c>
      <c r="AS14" s="333">
        <f t="shared" si="95"/>
        <v>1</v>
      </c>
      <c r="AT14" s="432">
        <f t="shared" si="96"/>
        <v>1</v>
      </c>
      <c r="AU14" s="432">
        <f t="shared" si="97"/>
        <v>1</v>
      </c>
      <c r="AV14" s="433">
        <f t="shared" si="98"/>
        <v>1</v>
      </c>
      <c r="AW14" s="333">
        <f t="shared" si="99"/>
        <v>1</v>
      </c>
      <c r="AX14" s="432">
        <f t="shared" si="100"/>
        <v>1</v>
      </c>
      <c r="AY14" s="432">
        <f t="shared" si="101"/>
        <v>1</v>
      </c>
      <c r="AZ14" s="433">
        <f t="shared" si="102"/>
        <v>1</v>
      </c>
      <c r="BA14" s="333">
        <f t="shared" si="103"/>
        <v>1</v>
      </c>
      <c r="BB14" s="432">
        <f t="shared" si="104"/>
        <v>1</v>
      </c>
      <c r="BC14" s="432">
        <f t="shared" si="105"/>
        <v>1</v>
      </c>
      <c r="BD14" s="433">
        <f t="shared" si="106"/>
        <v>1</v>
      </c>
      <c r="BE14" s="333">
        <f t="shared" si="107"/>
        <v>1</v>
      </c>
      <c r="BF14" s="432">
        <f t="shared" si="108"/>
        <v>1</v>
      </c>
      <c r="BG14" s="432">
        <f t="shared" si="109"/>
        <v>1</v>
      </c>
      <c r="BH14" s="433">
        <f t="shared" si="110"/>
        <v>1</v>
      </c>
      <c r="BI14" s="333">
        <f t="shared" si="111"/>
        <v>1</v>
      </c>
      <c r="BJ14" s="432">
        <f t="shared" si="112"/>
        <v>1</v>
      </c>
      <c r="BK14" s="432">
        <f t="shared" si="113"/>
        <v>1</v>
      </c>
      <c r="BL14" s="433">
        <f t="shared" si="114"/>
        <v>1</v>
      </c>
      <c r="BM14" s="333">
        <f t="shared" si="115"/>
        <v>1</v>
      </c>
      <c r="BN14" s="432">
        <f t="shared" si="116"/>
        <v>1</v>
      </c>
      <c r="BO14" s="432">
        <f t="shared" si="117"/>
        <v>1</v>
      </c>
      <c r="BP14" s="433">
        <f t="shared" si="118"/>
        <v>1</v>
      </c>
      <c r="BQ14" s="333">
        <f t="shared" si="119"/>
        <v>1</v>
      </c>
      <c r="BR14" s="432">
        <f t="shared" si="120"/>
        <v>1</v>
      </c>
      <c r="BS14" s="432">
        <f t="shared" si="121"/>
        <v>1</v>
      </c>
      <c r="BT14" s="433">
        <f t="shared" si="122"/>
        <v>1</v>
      </c>
      <c r="BU14" s="333">
        <f t="shared" si="123"/>
        <v>1</v>
      </c>
      <c r="BV14" s="432">
        <f t="shared" si="124"/>
        <v>1</v>
      </c>
      <c r="BW14" s="432">
        <f t="shared" si="125"/>
        <v>1</v>
      </c>
      <c r="BX14" s="433">
        <f t="shared" si="126"/>
        <v>1</v>
      </c>
      <c r="BY14" s="333">
        <f t="shared" si="127"/>
        <v>1</v>
      </c>
      <c r="BZ14" s="432">
        <f t="shared" si="128"/>
        <v>1</v>
      </c>
      <c r="CA14" s="432">
        <f t="shared" si="129"/>
        <v>1</v>
      </c>
      <c r="CB14" s="433">
        <f t="shared" si="130"/>
        <v>1</v>
      </c>
      <c r="CC14" s="333">
        <f t="shared" si="131"/>
        <v>1</v>
      </c>
      <c r="CD14" s="432">
        <f t="shared" si="132"/>
        <v>1</v>
      </c>
      <c r="CE14" s="432">
        <f t="shared" si="133"/>
        <v>1</v>
      </c>
      <c r="CF14" s="433">
        <f t="shared" si="134"/>
        <v>1</v>
      </c>
      <c r="CG14" s="333">
        <f t="shared" si="135"/>
        <v>1</v>
      </c>
      <c r="CH14" s="432">
        <f t="shared" si="136"/>
        <v>1</v>
      </c>
      <c r="CI14" s="432">
        <f t="shared" si="137"/>
        <v>1</v>
      </c>
      <c r="CJ14" s="433">
        <f t="shared" si="138"/>
        <v>1</v>
      </c>
      <c r="CK14" s="333">
        <f t="shared" si="139"/>
        <v>1</v>
      </c>
      <c r="CL14" s="432">
        <f t="shared" si="140"/>
        <v>1</v>
      </c>
      <c r="CM14" s="432">
        <f t="shared" si="141"/>
        <v>1</v>
      </c>
      <c r="CN14" s="433">
        <f t="shared" si="142"/>
        <v>1</v>
      </c>
      <c r="CO14" s="333">
        <f t="shared" si="143"/>
        <v>1</v>
      </c>
      <c r="CP14" s="432">
        <f t="shared" si="144"/>
        <v>1</v>
      </c>
      <c r="CQ14" s="432">
        <f t="shared" si="145"/>
        <v>1</v>
      </c>
      <c r="CR14" s="433">
        <f t="shared" si="146"/>
        <v>1</v>
      </c>
      <c r="CS14" s="333">
        <f t="shared" si="147"/>
        <v>1</v>
      </c>
      <c r="CT14" s="432">
        <f t="shared" si="148"/>
        <v>1</v>
      </c>
      <c r="CU14" s="432">
        <f t="shared" si="149"/>
        <v>1</v>
      </c>
      <c r="CV14" s="433">
        <f t="shared" si="150"/>
        <v>1</v>
      </c>
      <c r="CW14" s="333">
        <f t="shared" si="151"/>
        <v>1</v>
      </c>
      <c r="CX14" s="432">
        <f t="shared" si="152"/>
        <v>1</v>
      </c>
      <c r="CY14" s="432">
        <f t="shared" si="153"/>
        <v>1</v>
      </c>
      <c r="CZ14" s="433">
        <f t="shared" si="154"/>
        <v>1</v>
      </c>
      <c r="DA14" s="333">
        <f t="shared" si="155"/>
        <v>1</v>
      </c>
      <c r="DB14" s="432">
        <f t="shared" si="156"/>
        <v>1</v>
      </c>
      <c r="DC14" s="432">
        <f t="shared" si="157"/>
        <v>1</v>
      </c>
      <c r="DD14" s="433">
        <f t="shared" si="158"/>
        <v>1</v>
      </c>
      <c r="DE14" s="333">
        <f t="shared" si="159"/>
        <v>1</v>
      </c>
      <c r="DF14" s="432">
        <f t="shared" si="160"/>
        <v>1</v>
      </c>
      <c r="DG14" s="432">
        <f t="shared" si="161"/>
        <v>1</v>
      </c>
      <c r="DH14" s="433">
        <f t="shared" si="162"/>
        <v>1</v>
      </c>
      <c r="DI14" s="333">
        <f t="shared" si="163"/>
        <v>1</v>
      </c>
      <c r="DJ14" s="432">
        <f t="shared" si="164"/>
        <v>1</v>
      </c>
      <c r="DK14" s="432">
        <f t="shared" si="165"/>
        <v>1</v>
      </c>
      <c r="DL14" s="433">
        <f t="shared" si="166"/>
        <v>1</v>
      </c>
      <c r="DM14" s="333">
        <f t="shared" si="167"/>
        <v>1</v>
      </c>
      <c r="DN14" s="432">
        <f t="shared" si="168"/>
        <v>1</v>
      </c>
      <c r="DO14" s="432">
        <f t="shared" si="169"/>
        <v>1</v>
      </c>
      <c r="DP14" s="433">
        <f t="shared" si="170"/>
        <v>1</v>
      </c>
      <c r="DQ14" s="333">
        <f t="shared" si="171"/>
        <v>1</v>
      </c>
      <c r="DR14" s="432">
        <f t="shared" si="172"/>
        <v>1</v>
      </c>
      <c r="DS14" s="432">
        <f t="shared" si="173"/>
        <v>1</v>
      </c>
      <c r="DT14" s="433">
        <f t="shared" si="174"/>
        <v>1</v>
      </c>
      <c r="DU14" s="333">
        <f t="shared" si="175"/>
        <v>1</v>
      </c>
      <c r="DV14" s="432">
        <f t="shared" si="176"/>
        <v>1</v>
      </c>
      <c r="DW14" s="432">
        <f t="shared" si="177"/>
        <v>1</v>
      </c>
      <c r="DX14" s="433">
        <f t="shared" si="178"/>
        <v>1</v>
      </c>
      <c r="DY14" s="333">
        <f t="shared" si="179"/>
        <v>1</v>
      </c>
      <c r="DZ14" s="432">
        <f t="shared" si="180"/>
        <v>1</v>
      </c>
      <c r="EA14" s="432">
        <f t="shared" si="181"/>
        <v>1</v>
      </c>
      <c r="EB14" s="433">
        <f t="shared" si="182"/>
        <v>1</v>
      </c>
      <c r="EC14" s="333">
        <f t="shared" si="183"/>
        <v>1</v>
      </c>
      <c r="ED14" s="432">
        <f t="shared" si="184"/>
        <v>1</v>
      </c>
      <c r="EE14" s="432">
        <f t="shared" si="185"/>
        <v>1</v>
      </c>
      <c r="EF14" s="433">
        <f t="shared" si="186"/>
        <v>1</v>
      </c>
      <c r="EG14" s="333">
        <f t="shared" si="187"/>
        <v>1</v>
      </c>
      <c r="EH14" s="432">
        <f t="shared" si="188"/>
        <v>1</v>
      </c>
      <c r="EI14" s="432">
        <f t="shared" si="189"/>
        <v>1</v>
      </c>
      <c r="EJ14" s="433">
        <f t="shared" si="190"/>
        <v>1</v>
      </c>
      <c r="EK14" s="333">
        <f t="shared" si="191"/>
        <v>1</v>
      </c>
      <c r="EL14" s="432">
        <f t="shared" si="192"/>
        <v>1</v>
      </c>
      <c r="EM14" s="432">
        <f t="shared" si="193"/>
        <v>1</v>
      </c>
      <c r="EN14" s="433">
        <f t="shared" si="194"/>
        <v>1</v>
      </c>
      <c r="EO14" s="333">
        <f t="shared" si="195"/>
        <v>1</v>
      </c>
      <c r="EP14" s="432">
        <f t="shared" si="196"/>
        <v>1</v>
      </c>
      <c r="EQ14" s="432">
        <f t="shared" si="197"/>
        <v>1</v>
      </c>
      <c r="ER14" s="433">
        <f t="shared" si="198"/>
        <v>1</v>
      </c>
      <c r="ES14" s="333">
        <f t="shared" si="199"/>
        <v>1</v>
      </c>
      <c r="ET14" s="432">
        <f t="shared" si="200"/>
        <v>1</v>
      </c>
      <c r="EU14" s="432">
        <f t="shared" si="201"/>
        <v>1</v>
      </c>
      <c r="EV14" s="433">
        <f t="shared" si="202"/>
        <v>1</v>
      </c>
      <c r="EW14" s="263">
        <f>SUM(I14:EV14)/4</f>
        <v>30</v>
      </c>
      <c r="EX14" s="263">
        <v>16</v>
      </c>
      <c r="EY14" s="263">
        <f t="shared" si="82"/>
        <v>8</v>
      </c>
      <c r="EZ14" s="263">
        <f t="shared" si="0"/>
        <v>13440</v>
      </c>
      <c r="FA14" s="263">
        <f>+EW14*EY14*30</f>
        <v>7200</v>
      </c>
    </row>
    <row r="15" spans="2:157" s="268" customFormat="1" ht="29.25" customHeight="1">
      <c r="B15" s="257"/>
      <c r="C15" s="14" t="s">
        <v>240</v>
      </c>
      <c r="D15" s="15" t="s">
        <v>149</v>
      </c>
      <c r="E15" s="362">
        <v>1</v>
      </c>
      <c r="F15" s="16"/>
      <c r="G15" s="414">
        <f>+F15*$G$4</f>
        <v>0</v>
      </c>
      <c r="H15" s="17"/>
      <c r="I15" s="333"/>
      <c r="J15" s="261"/>
      <c r="K15" s="261"/>
      <c r="L15" s="262"/>
      <c r="M15" s="260"/>
      <c r="N15" s="261"/>
      <c r="O15" s="261"/>
      <c r="P15" s="262"/>
      <c r="Q15" s="260"/>
      <c r="R15" s="261"/>
      <c r="S15" s="261"/>
      <c r="T15" s="262"/>
      <c r="U15" s="333"/>
      <c r="V15" s="432"/>
      <c r="W15" s="432"/>
      <c r="X15" s="433"/>
      <c r="Y15" s="333"/>
      <c r="Z15" s="261"/>
      <c r="AA15" s="261"/>
      <c r="AB15" s="262"/>
      <c r="AC15" s="260"/>
      <c r="AD15" s="261"/>
      <c r="AE15" s="261"/>
      <c r="AF15" s="262"/>
      <c r="AG15" s="333">
        <f t="shared" si="83"/>
        <v>1</v>
      </c>
      <c r="AH15" s="432">
        <f t="shared" si="84"/>
        <v>1</v>
      </c>
      <c r="AI15" s="432">
        <f t="shared" si="85"/>
        <v>1</v>
      </c>
      <c r="AJ15" s="433">
        <f t="shared" si="86"/>
        <v>1</v>
      </c>
      <c r="AK15" s="333">
        <f t="shared" si="87"/>
        <v>1</v>
      </c>
      <c r="AL15" s="432">
        <f t="shared" si="88"/>
        <v>1</v>
      </c>
      <c r="AM15" s="432">
        <f t="shared" si="89"/>
        <v>1</v>
      </c>
      <c r="AN15" s="433">
        <f t="shared" si="90"/>
        <v>1</v>
      </c>
      <c r="AO15" s="333">
        <f t="shared" si="91"/>
        <v>1</v>
      </c>
      <c r="AP15" s="432">
        <f t="shared" si="92"/>
        <v>1</v>
      </c>
      <c r="AQ15" s="432">
        <f t="shared" si="93"/>
        <v>1</v>
      </c>
      <c r="AR15" s="433">
        <f t="shared" si="94"/>
        <v>1</v>
      </c>
      <c r="AS15" s="333">
        <f t="shared" si="95"/>
        <v>1</v>
      </c>
      <c r="AT15" s="432">
        <f t="shared" si="96"/>
        <v>1</v>
      </c>
      <c r="AU15" s="432">
        <f t="shared" si="97"/>
        <v>1</v>
      </c>
      <c r="AV15" s="433">
        <f t="shared" si="98"/>
        <v>1</v>
      </c>
      <c r="AW15" s="333">
        <f t="shared" si="99"/>
        <v>1</v>
      </c>
      <c r="AX15" s="432">
        <f t="shared" si="100"/>
        <v>1</v>
      </c>
      <c r="AY15" s="432">
        <f t="shared" si="101"/>
        <v>1</v>
      </c>
      <c r="AZ15" s="433">
        <f t="shared" si="102"/>
        <v>1</v>
      </c>
      <c r="BA15" s="333">
        <f t="shared" si="103"/>
        <v>1</v>
      </c>
      <c r="BB15" s="432">
        <f t="shared" si="104"/>
        <v>1</v>
      </c>
      <c r="BC15" s="432">
        <f t="shared" si="105"/>
        <v>1</v>
      </c>
      <c r="BD15" s="433">
        <f t="shared" si="106"/>
        <v>1</v>
      </c>
      <c r="BE15" s="333">
        <f t="shared" si="107"/>
        <v>1</v>
      </c>
      <c r="BF15" s="432">
        <f t="shared" si="108"/>
        <v>1</v>
      </c>
      <c r="BG15" s="432">
        <f t="shared" si="109"/>
        <v>1</v>
      </c>
      <c r="BH15" s="433">
        <f t="shared" si="110"/>
        <v>1</v>
      </c>
      <c r="BI15" s="333">
        <f t="shared" si="111"/>
        <v>1</v>
      </c>
      <c r="BJ15" s="432">
        <f t="shared" si="112"/>
        <v>1</v>
      </c>
      <c r="BK15" s="432">
        <f t="shared" si="113"/>
        <v>1</v>
      </c>
      <c r="BL15" s="433">
        <f t="shared" si="114"/>
        <v>1</v>
      </c>
      <c r="BM15" s="333">
        <f t="shared" si="115"/>
        <v>1</v>
      </c>
      <c r="BN15" s="432">
        <f t="shared" si="116"/>
        <v>1</v>
      </c>
      <c r="BO15" s="432">
        <f t="shared" si="117"/>
        <v>1</v>
      </c>
      <c r="BP15" s="433">
        <f t="shared" si="118"/>
        <v>1</v>
      </c>
      <c r="BQ15" s="333">
        <f t="shared" si="119"/>
        <v>1</v>
      </c>
      <c r="BR15" s="432">
        <f t="shared" si="120"/>
        <v>1</v>
      </c>
      <c r="BS15" s="432">
        <f t="shared" si="121"/>
        <v>1</v>
      </c>
      <c r="BT15" s="433">
        <f t="shared" si="122"/>
        <v>1</v>
      </c>
      <c r="BU15" s="333">
        <f t="shared" si="123"/>
        <v>1</v>
      </c>
      <c r="BV15" s="432">
        <f t="shared" si="124"/>
        <v>1</v>
      </c>
      <c r="BW15" s="432">
        <f t="shared" si="125"/>
        <v>1</v>
      </c>
      <c r="BX15" s="433">
        <f t="shared" si="126"/>
        <v>1</v>
      </c>
      <c r="BY15" s="333">
        <f t="shared" si="127"/>
        <v>1</v>
      </c>
      <c r="BZ15" s="432">
        <f t="shared" si="128"/>
        <v>1</v>
      </c>
      <c r="CA15" s="432">
        <f t="shared" si="129"/>
        <v>1</v>
      </c>
      <c r="CB15" s="433">
        <f t="shared" si="130"/>
        <v>1</v>
      </c>
      <c r="CC15" s="333">
        <f t="shared" si="131"/>
        <v>1</v>
      </c>
      <c r="CD15" s="432">
        <f t="shared" si="132"/>
        <v>1</v>
      </c>
      <c r="CE15" s="432">
        <f t="shared" si="133"/>
        <v>1</v>
      </c>
      <c r="CF15" s="433">
        <f t="shared" si="134"/>
        <v>1</v>
      </c>
      <c r="CG15" s="333">
        <f t="shared" si="135"/>
        <v>1</v>
      </c>
      <c r="CH15" s="432">
        <f t="shared" si="136"/>
        <v>1</v>
      </c>
      <c r="CI15" s="432">
        <f t="shared" si="137"/>
        <v>1</v>
      </c>
      <c r="CJ15" s="433">
        <f t="shared" si="138"/>
        <v>1</v>
      </c>
      <c r="CK15" s="333">
        <f t="shared" si="139"/>
        <v>1</v>
      </c>
      <c r="CL15" s="432">
        <f t="shared" si="140"/>
        <v>1</v>
      </c>
      <c r="CM15" s="432">
        <f t="shared" si="141"/>
        <v>1</v>
      </c>
      <c r="CN15" s="433">
        <f t="shared" si="142"/>
        <v>1</v>
      </c>
      <c r="CO15" s="333">
        <f t="shared" si="143"/>
        <v>1</v>
      </c>
      <c r="CP15" s="432">
        <f t="shared" si="144"/>
        <v>1</v>
      </c>
      <c r="CQ15" s="432">
        <f t="shared" si="145"/>
        <v>1</v>
      </c>
      <c r="CR15" s="433">
        <f t="shared" si="146"/>
        <v>1</v>
      </c>
      <c r="CS15" s="333">
        <f t="shared" si="147"/>
        <v>1</v>
      </c>
      <c r="CT15" s="432">
        <f t="shared" si="148"/>
        <v>1</v>
      </c>
      <c r="CU15" s="432">
        <f t="shared" si="149"/>
        <v>1</v>
      </c>
      <c r="CV15" s="433">
        <f t="shared" si="150"/>
        <v>1</v>
      </c>
      <c r="CW15" s="333">
        <f t="shared" si="151"/>
        <v>1</v>
      </c>
      <c r="CX15" s="432">
        <f t="shared" si="152"/>
        <v>1</v>
      </c>
      <c r="CY15" s="432">
        <f t="shared" si="153"/>
        <v>1</v>
      </c>
      <c r="CZ15" s="433">
        <f t="shared" si="154"/>
        <v>1</v>
      </c>
      <c r="DA15" s="333">
        <f t="shared" si="155"/>
        <v>1</v>
      </c>
      <c r="DB15" s="432">
        <f t="shared" si="156"/>
        <v>1</v>
      </c>
      <c r="DC15" s="432">
        <f t="shared" si="157"/>
        <v>1</v>
      </c>
      <c r="DD15" s="433">
        <f t="shared" si="158"/>
        <v>1</v>
      </c>
      <c r="DE15" s="333">
        <f t="shared" si="159"/>
        <v>1</v>
      </c>
      <c r="DF15" s="432">
        <f t="shared" si="160"/>
        <v>1</v>
      </c>
      <c r="DG15" s="432">
        <f t="shared" si="161"/>
        <v>1</v>
      </c>
      <c r="DH15" s="433">
        <f t="shared" si="162"/>
        <v>1</v>
      </c>
      <c r="DI15" s="333">
        <f t="shared" si="163"/>
        <v>1</v>
      </c>
      <c r="DJ15" s="432">
        <f t="shared" si="164"/>
        <v>1</v>
      </c>
      <c r="DK15" s="432">
        <f t="shared" si="165"/>
        <v>1</v>
      </c>
      <c r="DL15" s="433">
        <f t="shared" si="166"/>
        <v>1</v>
      </c>
      <c r="DM15" s="333">
        <f t="shared" si="167"/>
        <v>1</v>
      </c>
      <c r="DN15" s="432">
        <f t="shared" si="168"/>
        <v>1</v>
      </c>
      <c r="DO15" s="432">
        <f t="shared" si="169"/>
        <v>1</v>
      </c>
      <c r="DP15" s="433">
        <f t="shared" si="170"/>
        <v>1</v>
      </c>
      <c r="DQ15" s="333">
        <f t="shared" si="171"/>
        <v>1</v>
      </c>
      <c r="DR15" s="432">
        <f t="shared" si="172"/>
        <v>1</v>
      </c>
      <c r="DS15" s="432">
        <f t="shared" si="173"/>
        <v>1</v>
      </c>
      <c r="DT15" s="433">
        <f t="shared" si="174"/>
        <v>1</v>
      </c>
      <c r="DU15" s="333">
        <f t="shared" si="175"/>
        <v>1</v>
      </c>
      <c r="DV15" s="432">
        <f t="shared" si="176"/>
        <v>1</v>
      </c>
      <c r="DW15" s="432">
        <f t="shared" si="177"/>
        <v>1</v>
      </c>
      <c r="DX15" s="433">
        <f t="shared" si="178"/>
        <v>1</v>
      </c>
      <c r="DY15" s="333">
        <f t="shared" si="179"/>
        <v>1</v>
      </c>
      <c r="DZ15" s="432">
        <f t="shared" si="180"/>
        <v>1</v>
      </c>
      <c r="EA15" s="432">
        <f t="shared" si="181"/>
        <v>1</v>
      </c>
      <c r="EB15" s="433">
        <f t="shared" si="182"/>
        <v>1</v>
      </c>
      <c r="EC15" s="333">
        <f t="shared" si="183"/>
        <v>1</v>
      </c>
      <c r="ED15" s="432">
        <f t="shared" si="184"/>
        <v>1</v>
      </c>
      <c r="EE15" s="432">
        <f t="shared" si="185"/>
        <v>1</v>
      </c>
      <c r="EF15" s="433">
        <f t="shared" si="186"/>
        <v>1</v>
      </c>
      <c r="EG15" s="333">
        <f t="shared" si="187"/>
        <v>1</v>
      </c>
      <c r="EH15" s="432">
        <f t="shared" si="188"/>
        <v>1</v>
      </c>
      <c r="EI15" s="432">
        <f t="shared" si="189"/>
        <v>1</v>
      </c>
      <c r="EJ15" s="433">
        <f t="shared" si="190"/>
        <v>1</v>
      </c>
      <c r="EK15" s="333">
        <f t="shared" si="191"/>
        <v>1</v>
      </c>
      <c r="EL15" s="432">
        <f t="shared" si="192"/>
        <v>1</v>
      </c>
      <c r="EM15" s="432">
        <f t="shared" si="193"/>
        <v>1</v>
      </c>
      <c r="EN15" s="433">
        <f t="shared" si="194"/>
        <v>1</v>
      </c>
      <c r="EO15" s="333">
        <f t="shared" si="195"/>
        <v>1</v>
      </c>
      <c r="EP15" s="432">
        <f t="shared" si="196"/>
        <v>1</v>
      </c>
      <c r="EQ15" s="432">
        <f t="shared" si="197"/>
        <v>1</v>
      </c>
      <c r="ER15" s="433">
        <f t="shared" si="198"/>
        <v>1</v>
      </c>
      <c r="ES15" s="333">
        <f t="shared" si="199"/>
        <v>1</v>
      </c>
      <c r="ET15" s="432">
        <f t="shared" si="200"/>
        <v>1</v>
      </c>
      <c r="EU15" s="432">
        <f t="shared" si="201"/>
        <v>1</v>
      </c>
      <c r="EV15" s="433">
        <f t="shared" si="202"/>
        <v>1</v>
      </c>
      <c r="EW15" s="263">
        <f>SUM(I15:EV15)/4</f>
        <v>30</v>
      </c>
      <c r="EX15" s="263">
        <v>16</v>
      </c>
      <c r="EY15" s="263">
        <f t="shared" si="82"/>
        <v>8</v>
      </c>
      <c r="EZ15" s="263">
        <f t="shared" si="0"/>
        <v>13440</v>
      </c>
      <c r="FA15" s="263">
        <f t="shared" si="1"/>
        <v>7200</v>
      </c>
    </row>
    <row r="16" spans="2:157" s="268" customFormat="1" ht="29.25" customHeight="1">
      <c r="B16" s="257"/>
      <c r="C16" s="14" t="s">
        <v>241</v>
      </c>
      <c r="D16" s="15" t="s">
        <v>149</v>
      </c>
      <c r="E16" s="362">
        <v>1</v>
      </c>
      <c r="F16" s="16"/>
      <c r="G16" s="414">
        <f>+F16*$G$4</f>
        <v>0</v>
      </c>
      <c r="H16" s="17"/>
      <c r="I16" s="333"/>
      <c r="J16" s="261"/>
      <c r="K16" s="261"/>
      <c r="L16" s="262"/>
      <c r="M16" s="260"/>
      <c r="N16" s="261"/>
      <c r="O16" s="261"/>
      <c r="P16" s="262"/>
      <c r="Q16" s="260"/>
      <c r="R16" s="261"/>
      <c r="S16" s="261"/>
      <c r="T16" s="262"/>
      <c r="U16" s="260"/>
      <c r="V16" s="261"/>
      <c r="W16" s="261"/>
      <c r="X16" s="262"/>
      <c r="Y16" s="333"/>
      <c r="Z16" s="261"/>
      <c r="AA16" s="261"/>
      <c r="AB16" s="262"/>
      <c r="AC16" s="260"/>
      <c r="AD16" s="261"/>
      <c r="AE16" s="261"/>
      <c r="AF16" s="262"/>
      <c r="AG16" s="333">
        <f t="shared" si="83"/>
        <v>1</v>
      </c>
      <c r="AH16" s="432">
        <f t="shared" si="84"/>
        <v>1</v>
      </c>
      <c r="AI16" s="432">
        <f t="shared" si="85"/>
        <v>1</v>
      </c>
      <c r="AJ16" s="433">
        <f t="shared" si="86"/>
        <v>1</v>
      </c>
      <c r="AK16" s="333">
        <f t="shared" si="87"/>
        <v>1</v>
      </c>
      <c r="AL16" s="432">
        <f t="shared" si="88"/>
        <v>1</v>
      </c>
      <c r="AM16" s="432">
        <f t="shared" si="89"/>
        <v>1</v>
      </c>
      <c r="AN16" s="433">
        <f t="shared" si="90"/>
        <v>1</v>
      </c>
      <c r="AO16" s="333">
        <f t="shared" si="91"/>
        <v>1</v>
      </c>
      <c r="AP16" s="432">
        <f t="shared" si="92"/>
        <v>1</v>
      </c>
      <c r="AQ16" s="432">
        <f t="shared" si="93"/>
        <v>1</v>
      </c>
      <c r="AR16" s="433">
        <f t="shared" si="94"/>
        <v>1</v>
      </c>
      <c r="AS16" s="333">
        <f t="shared" si="95"/>
        <v>1</v>
      </c>
      <c r="AT16" s="432">
        <f t="shared" si="96"/>
        <v>1</v>
      </c>
      <c r="AU16" s="432">
        <f t="shared" si="97"/>
        <v>1</v>
      </c>
      <c r="AV16" s="433">
        <f t="shared" si="98"/>
        <v>1</v>
      </c>
      <c r="AW16" s="333">
        <f t="shared" si="99"/>
        <v>1</v>
      </c>
      <c r="AX16" s="432">
        <f t="shared" si="100"/>
        <v>1</v>
      </c>
      <c r="AY16" s="432">
        <f t="shared" si="101"/>
        <v>1</v>
      </c>
      <c r="AZ16" s="433">
        <f t="shared" si="102"/>
        <v>1</v>
      </c>
      <c r="BA16" s="333">
        <f t="shared" si="103"/>
        <v>1</v>
      </c>
      <c r="BB16" s="432">
        <f t="shared" si="104"/>
        <v>1</v>
      </c>
      <c r="BC16" s="432">
        <f t="shared" si="105"/>
        <v>1</v>
      </c>
      <c r="BD16" s="433">
        <f t="shared" si="106"/>
        <v>1</v>
      </c>
      <c r="BE16" s="333">
        <f t="shared" si="107"/>
        <v>1</v>
      </c>
      <c r="BF16" s="432">
        <f t="shared" si="108"/>
        <v>1</v>
      </c>
      <c r="BG16" s="432">
        <f t="shared" si="109"/>
        <v>1</v>
      </c>
      <c r="BH16" s="433">
        <f t="shared" si="110"/>
        <v>1</v>
      </c>
      <c r="BI16" s="333">
        <f t="shared" si="111"/>
        <v>1</v>
      </c>
      <c r="BJ16" s="432">
        <f t="shared" si="112"/>
        <v>1</v>
      </c>
      <c r="BK16" s="432">
        <f t="shared" si="113"/>
        <v>1</v>
      </c>
      <c r="BL16" s="433">
        <f t="shared" si="114"/>
        <v>1</v>
      </c>
      <c r="BM16" s="333">
        <f t="shared" si="115"/>
        <v>1</v>
      </c>
      <c r="BN16" s="432">
        <f t="shared" si="116"/>
        <v>1</v>
      </c>
      <c r="BO16" s="432">
        <f t="shared" si="117"/>
        <v>1</v>
      </c>
      <c r="BP16" s="433">
        <f t="shared" si="118"/>
        <v>1</v>
      </c>
      <c r="BQ16" s="333">
        <f t="shared" si="119"/>
        <v>1</v>
      </c>
      <c r="BR16" s="432">
        <f t="shared" si="120"/>
        <v>1</v>
      </c>
      <c r="BS16" s="432">
        <f t="shared" si="121"/>
        <v>1</v>
      </c>
      <c r="BT16" s="433">
        <f t="shared" si="122"/>
        <v>1</v>
      </c>
      <c r="BU16" s="333">
        <f t="shared" si="123"/>
        <v>1</v>
      </c>
      <c r="BV16" s="432">
        <f t="shared" si="124"/>
        <v>1</v>
      </c>
      <c r="BW16" s="432">
        <f t="shared" si="125"/>
        <v>1</v>
      </c>
      <c r="BX16" s="433">
        <f t="shared" si="126"/>
        <v>1</v>
      </c>
      <c r="BY16" s="333">
        <f t="shared" si="127"/>
        <v>1</v>
      </c>
      <c r="BZ16" s="432">
        <f t="shared" si="128"/>
        <v>1</v>
      </c>
      <c r="CA16" s="432">
        <f t="shared" si="129"/>
        <v>1</v>
      </c>
      <c r="CB16" s="433">
        <f t="shared" si="130"/>
        <v>1</v>
      </c>
      <c r="CC16" s="333">
        <f t="shared" si="131"/>
        <v>1</v>
      </c>
      <c r="CD16" s="432">
        <f t="shared" si="132"/>
        <v>1</v>
      </c>
      <c r="CE16" s="432">
        <f t="shared" si="133"/>
        <v>1</v>
      </c>
      <c r="CF16" s="433">
        <f t="shared" si="134"/>
        <v>1</v>
      </c>
      <c r="CG16" s="333">
        <f t="shared" si="135"/>
        <v>1</v>
      </c>
      <c r="CH16" s="432">
        <f t="shared" si="136"/>
        <v>1</v>
      </c>
      <c r="CI16" s="432">
        <f t="shared" si="137"/>
        <v>1</v>
      </c>
      <c r="CJ16" s="433">
        <f t="shared" si="138"/>
        <v>1</v>
      </c>
      <c r="CK16" s="333">
        <f t="shared" si="139"/>
        <v>1</v>
      </c>
      <c r="CL16" s="432">
        <f t="shared" si="140"/>
        <v>1</v>
      </c>
      <c r="CM16" s="432">
        <f t="shared" si="141"/>
        <v>1</v>
      </c>
      <c r="CN16" s="433">
        <f t="shared" si="142"/>
        <v>1</v>
      </c>
      <c r="CO16" s="333">
        <f t="shared" si="143"/>
        <v>1</v>
      </c>
      <c r="CP16" s="432">
        <f t="shared" si="144"/>
        <v>1</v>
      </c>
      <c r="CQ16" s="432">
        <f t="shared" si="145"/>
        <v>1</v>
      </c>
      <c r="CR16" s="433">
        <f t="shared" si="146"/>
        <v>1</v>
      </c>
      <c r="CS16" s="333">
        <f t="shared" si="147"/>
        <v>1</v>
      </c>
      <c r="CT16" s="432">
        <f t="shared" si="148"/>
        <v>1</v>
      </c>
      <c r="CU16" s="432">
        <f t="shared" si="149"/>
        <v>1</v>
      </c>
      <c r="CV16" s="433">
        <f t="shared" si="150"/>
        <v>1</v>
      </c>
      <c r="CW16" s="333">
        <f t="shared" si="151"/>
        <v>1</v>
      </c>
      <c r="CX16" s="432">
        <f t="shared" si="152"/>
        <v>1</v>
      </c>
      <c r="CY16" s="432">
        <f t="shared" si="153"/>
        <v>1</v>
      </c>
      <c r="CZ16" s="433">
        <f t="shared" si="154"/>
        <v>1</v>
      </c>
      <c r="DA16" s="333">
        <f t="shared" si="155"/>
        <v>1</v>
      </c>
      <c r="DB16" s="432">
        <f t="shared" si="156"/>
        <v>1</v>
      </c>
      <c r="DC16" s="432">
        <f t="shared" si="157"/>
        <v>1</v>
      </c>
      <c r="DD16" s="433">
        <f t="shared" si="158"/>
        <v>1</v>
      </c>
      <c r="DE16" s="333">
        <f t="shared" si="159"/>
        <v>1</v>
      </c>
      <c r="DF16" s="432">
        <f t="shared" si="160"/>
        <v>1</v>
      </c>
      <c r="DG16" s="432">
        <f t="shared" si="161"/>
        <v>1</v>
      </c>
      <c r="DH16" s="433">
        <f t="shared" si="162"/>
        <v>1</v>
      </c>
      <c r="DI16" s="333">
        <f t="shared" si="163"/>
        <v>1</v>
      </c>
      <c r="DJ16" s="432">
        <f t="shared" si="164"/>
        <v>1</v>
      </c>
      <c r="DK16" s="432">
        <f t="shared" si="165"/>
        <v>1</v>
      </c>
      <c r="DL16" s="433">
        <f t="shared" si="166"/>
        <v>1</v>
      </c>
      <c r="DM16" s="333">
        <f t="shared" si="167"/>
        <v>1</v>
      </c>
      <c r="DN16" s="432">
        <f t="shared" si="168"/>
        <v>1</v>
      </c>
      <c r="DO16" s="432">
        <f t="shared" si="169"/>
        <v>1</v>
      </c>
      <c r="DP16" s="433">
        <f t="shared" si="170"/>
        <v>1</v>
      </c>
      <c r="DQ16" s="333">
        <f t="shared" si="171"/>
        <v>1</v>
      </c>
      <c r="DR16" s="432">
        <f t="shared" si="172"/>
        <v>1</v>
      </c>
      <c r="DS16" s="432">
        <f t="shared" si="173"/>
        <v>1</v>
      </c>
      <c r="DT16" s="433">
        <f t="shared" si="174"/>
        <v>1</v>
      </c>
      <c r="DU16" s="333">
        <f t="shared" si="175"/>
        <v>1</v>
      </c>
      <c r="DV16" s="432">
        <f t="shared" si="176"/>
        <v>1</v>
      </c>
      <c r="DW16" s="432">
        <f t="shared" si="177"/>
        <v>1</v>
      </c>
      <c r="DX16" s="433">
        <f t="shared" si="178"/>
        <v>1</v>
      </c>
      <c r="DY16" s="333">
        <f t="shared" si="179"/>
        <v>1</v>
      </c>
      <c r="DZ16" s="432">
        <f t="shared" si="180"/>
        <v>1</v>
      </c>
      <c r="EA16" s="432">
        <f t="shared" si="181"/>
        <v>1</v>
      </c>
      <c r="EB16" s="433">
        <f t="shared" si="182"/>
        <v>1</v>
      </c>
      <c r="EC16" s="333">
        <f t="shared" si="183"/>
        <v>1</v>
      </c>
      <c r="ED16" s="432">
        <f t="shared" si="184"/>
        <v>1</v>
      </c>
      <c r="EE16" s="432">
        <f t="shared" si="185"/>
        <v>1</v>
      </c>
      <c r="EF16" s="433">
        <f t="shared" si="186"/>
        <v>1</v>
      </c>
      <c r="EG16" s="333">
        <f t="shared" si="187"/>
        <v>1</v>
      </c>
      <c r="EH16" s="432">
        <f t="shared" si="188"/>
        <v>1</v>
      </c>
      <c r="EI16" s="432">
        <f t="shared" si="189"/>
        <v>1</v>
      </c>
      <c r="EJ16" s="433">
        <f t="shared" si="190"/>
        <v>1</v>
      </c>
      <c r="EK16" s="333">
        <f t="shared" si="191"/>
        <v>1</v>
      </c>
      <c r="EL16" s="432">
        <f t="shared" si="192"/>
        <v>1</v>
      </c>
      <c r="EM16" s="432">
        <f t="shared" si="193"/>
        <v>1</v>
      </c>
      <c r="EN16" s="433">
        <f t="shared" si="194"/>
        <v>1</v>
      </c>
      <c r="EO16" s="333">
        <f t="shared" si="195"/>
        <v>1</v>
      </c>
      <c r="EP16" s="432">
        <f t="shared" si="196"/>
        <v>1</v>
      </c>
      <c r="EQ16" s="432">
        <f t="shared" si="197"/>
        <v>1</v>
      </c>
      <c r="ER16" s="433">
        <f t="shared" si="198"/>
        <v>1</v>
      </c>
      <c r="ES16" s="333">
        <f t="shared" si="199"/>
        <v>1</v>
      </c>
      <c r="ET16" s="432">
        <f t="shared" si="200"/>
        <v>1</v>
      </c>
      <c r="EU16" s="432">
        <f t="shared" si="201"/>
        <v>1</v>
      </c>
      <c r="EV16" s="433">
        <f t="shared" si="202"/>
        <v>1</v>
      </c>
      <c r="EW16" s="263">
        <f>SUM(I16:EV16)/4</f>
        <v>30</v>
      </c>
      <c r="EX16" s="263">
        <v>16</v>
      </c>
      <c r="EY16" s="263">
        <f t="shared" ref="EY16:EY36" si="203">24-EX16</f>
        <v>8</v>
      </c>
      <c r="EZ16" s="263">
        <f t="shared" ref="EZ16:EZ21" si="204">+EW16*EX16*28</f>
        <v>13440</v>
      </c>
      <c r="FA16" s="263">
        <f t="shared" ref="FA16:FA21" si="205">+EW16*EY16*30</f>
        <v>7200</v>
      </c>
    </row>
    <row r="17" spans="2:157" s="268" customFormat="1" ht="29.25" customHeight="1">
      <c r="B17" s="257"/>
      <c r="C17" s="14" t="s">
        <v>242</v>
      </c>
      <c r="D17" s="15" t="s">
        <v>149</v>
      </c>
      <c r="E17" s="329">
        <v>1</v>
      </c>
      <c r="F17" s="16"/>
      <c r="G17" s="414"/>
      <c r="H17" s="17"/>
      <c r="I17" s="333"/>
      <c r="J17" s="261"/>
      <c r="K17" s="261"/>
      <c r="L17" s="262"/>
      <c r="M17" s="260"/>
      <c r="N17" s="261"/>
      <c r="O17" s="261"/>
      <c r="P17" s="262"/>
      <c r="Q17" s="260"/>
      <c r="R17" s="261"/>
      <c r="S17" s="261"/>
      <c r="T17" s="262"/>
      <c r="U17" s="260"/>
      <c r="V17" s="261"/>
      <c r="W17" s="261"/>
      <c r="X17" s="262"/>
      <c r="Y17" s="333"/>
      <c r="Z17" s="261"/>
      <c r="AA17" s="261"/>
      <c r="AB17" s="262"/>
      <c r="AC17" s="260"/>
      <c r="AD17" s="261"/>
      <c r="AE17" s="261"/>
      <c r="AF17" s="262"/>
      <c r="AG17" s="333">
        <f t="shared" si="83"/>
        <v>1</v>
      </c>
      <c r="AH17" s="432">
        <f t="shared" si="84"/>
        <v>1</v>
      </c>
      <c r="AI17" s="432">
        <f t="shared" si="85"/>
        <v>1</v>
      </c>
      <c r="AJ17" s="433">
        <f t="shared" si="86"/>
        <v>1</v>
      </c>
      <c r="AK17" s="333">
        <f t="shared" si="87"/>
        <v>1</v>
      </c>
      <c r="AL17" s="432">
        <f t="shared" si="88"/>
        <v>1</v>
      </c>
      <c r="AM17" s="432">
        <f t="shared" si="89"/>
        <v>1</v>
      </c>
      <c r="AN17" s="433">
        <f t="shared" si="90"/>
        <v>1</v>
      </c>
      <c r="AO17" s="333">
        <f t="shared" si="91"/>
        <v>1</v>
      </c>
      <c r="AP17" s="432">
        <f t="shared" si="92"/>
        <v>1</v>
      </c>
      <c r="AQ17" s="432">
        <f t="shared" si="93"/>
        <v>1</v>
      </c>
      <c r="AR17" s="433">
        <f t="shared" si="94"/>
        <v>1</v>
      </c>
      <c r="AS17" s="333">
        <f t="shared" si="95"/>
        <v>1</v>
      </c>
      <c r="AT17" s="432">
        <f t="shared" si="96"/>
        <v>1</v>
      </c>
      <c r="AU17" s="432">
        <f t="shared" si="97"/>
        <v>1</v>
      </c>
      <c r="AV17" s="433">
        <f t="shared" si="98"/>
        <v>1</v>
      </c>
      <c r="AW17" s="333">
        <f t="shared" si="99"/>
        <v>1</v>
      </c>
      <c r="AX17" s="432">
        <f t="shared" si="100"/>
        <v>1</v>
      </c>
      <c r="AY17" s="432">
        <f t="shared" si="101"/>
        <v>1</v>
      </c>
      <c r="AZ17" s="433">
        <f t="shared" si="102"/>
        <v>1</v>
      </c>
      <c r="BA17" s="333">
        <f t="shared" si="103"/>
        <v>1</v>
      </c>
      <c r="BB17" s="432">
        <f t="shared" si="104"/>
        <v>1</v>
      </c>
      <c r="BC17" s="432">
        <f t="shared" si="105"/>
        <v>1</v>
      </c>
      <c r="BD17" s="433">
        <f t="shared" si="106"/>
        <v>1</v>
      </c>
      <c r="BE17" s="333">
        <f t="shared" si="107"/>
        <v>1</v>
      </c>
      <c r="BF17" s="432">
        <f t="shared" si="108"/>
        <v>1</v>
      </c>
      <c r="BG17" s="432">
        <f t="shared" si="109"/>
        <v>1</v>
      </c>
      <c r="BH17" s="433">
        <f t="shared" si="110"/>
        <v>1</v>
      </c>
      <c r="BI17" s="333">
        <f t="shared" si="111"/>
        <v>1</v>
      </c>
      <c r="BJ17" s="432">
        <f t="shared" si="112"/>
        <v>1</v>
      </c>
      <c r="BK17" s="432">
        <f t="shared" si="113"/>
        <v>1</v>
      </c>
      <c r="BL17" s="433">
        <f t="shared" si="114"/>
        <v>1</v>
      </c>
      <c r="BM17" s="333">
        <f t="shared" si="115"/>
        <v>1</v>
      </c>
      <c r="BN17" s="432">
        <f t="shared" si="116"/>
        <v>1</v>
      </c>
      <c r="BO17" s="432">
        <f t="shared" si="117"/>
        <v>1</v>
      </c>
      <c r="BP17" s="433">
        <f t="shared" si="118"/>
        <v>1</v>
      </c>
      <c r="BQ17" s="333">
        <f t="shared" si="119"/>
        <v>1</v>
      </c>
      <c r="BR17" s="432">
        <f t="shared" si="120"/>
        <v>1</v>
      </c>
      <c r="BS17" s="432">
        <f t="shared" si="121"/>
        <v>1</v>
      </c>
      <c r="BT17" s="433">
        <f t="shared" si="122"/>
        <v>1</v>
      </c>
      <c r="BU17" s="333">
        <f t="shared" si="123"/>
        <v>1</v>
      </c>
      <c r="BV17" s="432">
        <f t="shared" si="124"/>
        <v>1</v>
      </c>
      <c r="BW17" s="432">
        <f t="shared" si="125"/>
        <v>1</v>
      </c>
      <c r="BX17" s="433">
        <f t="shared" si="126"/>
        <v>1</v>
      </c>
      <c r="BY17" s="333">
        <f t="shared" si="127"/>
        <v>1</v>
      </c>
      <c r="BZ17" s="432">
        <f t="shared" si="128"/>
        <v>1</v>
      </c>
      <c r="CA17" s="432">
        <f t="shared" si="129"/>
        <v>1</v>
      </c>
      <c r="CB17" s="433">
        <f t="shared" si="130"/>
        <v>1</v>
      </c>
      <c r="CC17" s="333">
        <f t="shared" si="131"/>
        <v>1</v>
      </c>
      <c r="CD17" s="432">
        <f t="shared" si="132"/>
        <v>1</v>
      </c>
      <c r="CE17" s="432">
        <f t="shared" si="133"/>
        <v>1</v>
      </c>
      <c r="CF17" s="433">
        <f t="shared" si="134"/>
        <v>1</v>
      </c>
      <c r="CG17" s="333">
        <f t="shared" si="135"/>
        <v>1</v>
      </c>
      <c r="CH17" s="432">
        <f t="shared" si="136"/>
        <v>1</v>
      </c>
      <c r="CI17" s="432">
        <f t="shared" si="137"/>
        <v>1</v>
      </c>
      <c r="CJ17" s="433">
        <f t="shared" si="138"/>
        <v>1</v>
      </c>
      <c r="CK17" s="333">
        <f t="shared" si="139"/>
        <v>1</v>
      </c>
      <c r="CL17" s="432">
        <f t="shared" si="140"/>
        <v>1</v>
      </c>
      <c r="CM17" s="432">
        <f t="shared" si="141"/>
        <v>1</v>
      </c>
      <c r="CN17" s="433">
        <f t="shared" si="142"/>
        <v>1</v>
      </c>
      <c r="CO17" s="333">
        <f t="shared" si="143"/>
        <v>1</v>
      </c>
      <c r="CP17" s="432">
        <f t="shared" si="144"/>
        <v>1</v>
      </c>
      <c r="CQ17" s="432">
        <f t="shared" si="145"/>
        <v>1</v>
      </c>
      <c r="CR17" s="433">
        <f t="shared" si="146"/>
        <v>1</v>
      </c>
      <c r="CS17" s="333">
        <f t="shared" si="147"/>
        <v>1</v>
      </c>
      <c r="CT17" s="432">
        <f t="shared" si="148"/>
        <v>1</v>
      </c>
      <c r="CU17" s="432">
        <f t="shared" si="149"/>
        <v>1</v>
      </c>
      <c r="CV17" s="433">
        <f t="shared" si="150"/>
        <v>1</v>
      </c>
      <c r="CW17" s="333">
        <f t="shared" si="151"/>
        <v>1</v>
      </c>
      <c r="CX17" s="432">
        <f t="shared" si="152"/>
        <v>1</v>
      </c>
      <c r="CY17" s="432">
        <f t="shared" si="153"/>
        <v>1</v>
      </c>
      <c r="CZ17" s="433">
        <f t="shared" si="154"/>
        <v>1</v>
      </c>
      <c r="DA17" s="333">
        <f t="shared" si="155"/>
        <v>1</v>
      </c>
      <c r="DB17" s="432">
        <f t="shared" si="156"/>
        <v>1</v>
      </c>
      <c r="DC17" s="432">
        <f t="shared" si="157"/>
        <v>1</v>
      </c>
      <c r="DD17" s="433">
        <f t="shared" si="158"/>
        <v>1</v>
      </c>
      <c r="DE17" s="333">
        <f t="shared" si="159"/>
        <v>1</v>
      </c>
      <c r="DF17" s="432">
        <f t="shared" si="160"/>
        <v>1</v>
      </c>
      <c r="DG17" s="432">
        <f t="shared" si="161"/>
        <v>1</v>
      </c>
      <c r="DH17" s="433">
        <f t="shared" si="162"/>
        <v>1</v>
      </c>
      <c r="DI17" s="333">
        <f t="shared" si="163"/>
        <v>1</v>
      </c>
      <c r="DJ17" s="432">
        <f t="shared" si="164"/>
        <v>1</v>
      </c>
      <c r="DK17" s="432">
        <f t="shared" si="165"/>
        <v>1</v>
      </c>
      <c r="DL17" s="433">
        <f t="shared" si="166"/>
        <v>1</v>
      </c>
      <c r="DM17" s="333">
        <f t="shared" si="167"/>
        <v>1</v>
      </c>
      <c r="DN17" s="432">
        <f t="shared" si="168"/>
        <v>1</v>
      </c>
      <c r="DO17" s="432">
        <f t="shared" si="169"/>
        <v>1</v>
      </c>
      <c r="DP17" s="433">
        <f t="shared" si="170"/>
        <v>1</v>
      </c>
      <c r="DQ17" s="333">
        <f t="shared" si="171"/>
        <v>1</v>
      </c>
      <c r="DR17" s="432">
        <f t="shared" si="172"/>
        <v>1</v>
      </c>
      <c r="DS17" s="432">
        <f t="shared" si="173"/>
        <v>1</v>
      </c>
      <c r="DT17" s="433">
        <f t="shared" si="174"/>
        <v>1</v>
      </c>
      <c r="DU17" s="333">
        <f t="shared" si="175"/>
        <v>1</v>
      </c>
      <c r="DV17" s="432">
        <f t="shared" si="176"/>
        <v>1</v>
      </c>
      <c r="DW17" s="432">
        <f t="shared" si="177"/>
        <v>1</v>
      </c>
      <c r="DX17" s="433">
        <f t="shared" si="178"/>
        <v>1</v>
      </c>
      <c r="DY17" s="333">
        <f t="shared" si="179"/>
        <v>1</v>
      </c>
      <c r="DZ17" s="432">
        <f t="shared" si="180"/>
        <v>1</v>
      </c>
      <c r="EA17" s="432">
        <f t="shared" si="181"/>
        <v>1</v>
      </c>
      <c r="EB17" s="433">
        <f t="shared" si="182"/>
        <v>1</v>
      </c>
      <c r="EC17" s="333">
        <f t="shared" si="183"/>
        <v>1</v>
      </c>
      <c r="ED17" s="432">
        <f t="shared" si="184"/>
        <v>1</v>
      </c>
      <c r="EE17" s="432">
        <f t="shared" si="185"/>
        <v>1</v>
      </c>
      <c r="EF17" s="433">
        <f t="shared" si="186"/>
        <v>1</v>
      </c>
      <c r="EG17" s="333">
        <f t="shared" si="187"/>
        <v>1</v>
      </c>
      <c r="EH17" s="432">
        <f t="shared" si="188"/>
        <v>1</v>
      </c>
      <c r="EI17" s="432">
        <f t="shared" si="189"/>
        <v>1</v>
      </c>
      <c r="EJ17" s="433">
        <f t="shared" si="190"/>
        <v>1</v>
      </c>
      <c r="EK17" s="333">
        <f t="shared" si="191"/>
        <v>1</v>
      </c>
      <c r="EL17" s="432">
        <f t="shared" si="192"/>
        <v>1</v>
      </c>
      <c r="EM17" s="432">
        <f t="shared" si="193"/>
        <v>1</v>
      </c>
      <c r="EN17" s="433">
        <f t="shared" si="194"/>
        <v>1</v>
      </c>
      <c r="EO17" s="333">
        <f t="shared" si="195"/>
        <v>1</v>
      </c>
      <c r="EP17" s="432">
        <f t="shared" si="196"/>
        <v>1</v>
      </c>
      <c r="EQ17" s="432">
        <f t="shared" si="197"/>
        <v>1</v>
      </c>
      <c r="ER17" s="433">
        <f t="shared" si="198"/>
        <v>1</v>
      </c>
      <c r="ES17" s="333">
        <f t="shared" si="199"/>
        <v>1</v>
      </c>
      <c r="ET17" s="432">
        <f t="shared" si="200"/>
        <v>1</v>
      </c>
      <c r="EU17" s="432">
        <f t="shared" si="201"/>
        <v>1</v>
      </c>
      <c r="EV17" s="433">
        <f t="shared" si="202"/>
        <v>1</v>
      </c>
      <c r="EW17" s="263">
        <f>SUM(I17:EV17)/4</f>
        <v>30</v>
      </c>
      <c r="EX17" s="263">
        <v>16</v>
      </c>
      <c r="EY17" s="263">
        <f t="shared" si="203"/>
        <v>8</v>
      </c>
      <c r="EZ17" s="263">
        <f t="shared" si="204"/>
        <v>13440</v>
      </c>
      <c r="FA17" s="263">
        <f t="shared" si="205"/>
        <v>7200</v>
      </c>
    </row>
    <row r="18" spans="2:157" s="268" customFormat="1" ht="29.25" customHeight="1">
      <c r="B18" s="257"/>
      <c r="C18" s="14" t="s">
        <v>243</v>
      </c>
      <c r="D18" s="310" t="s">
        <v>149</v>
      </c>
      <c r="E18" s="329">
        <v>1</v>
      </c>
      <c r="F18" s="16"/>
      <c r="G18" s="414"/>
      <c r="H18" s="17"/>
      <c r="I18" s="333"/>
      <c r="J18" s="261"/>
      <c r="K18" s="261"/>
      <c r="L18" s="262"/>
      <c r="M18" s="260"/>
      <c r="N18" s="261"/>
      <c r="O18" s="261"/>
      <c r="P18" s="262"/>
      <c r="Q18" s="260"/>
      <c r="R18" s="261"/>
      <c r="S18" s="261"/>
      <c r="T18" s="262"/>
      <c r="U18" s="260"/>
      <c r="V18" s="261"/>
      <c r="W18" s="261"/>
      <c r="X18" s="262"/>
      <c r="Y18" s="333"/>
      <c r="Z18" s="261"/>
      <c r="AA18" s="261"/>
      <c r="AB18" s="262"/>
      <c r="AC18" s="260"/>
      <c r="AD18" s="261"/>
      <c r="AE18" s="261"/>
      <c r="AF18" s="262"/>
      <c r="AG18" s="333">
        <f t="shared" si="83"/>
        <v>1</v>
      </c>
      <c r="AH18" s="432">
        <f t="shared" si="84"/>
        <v>1</v>
      </c>
      <c r="AI18" s="432">
        <f t="shared" si="85"/>
        <v>1</v>
      </c>
      <c r="AJ18" s="433">
        <f t="shared" si="86"/>
        <v>1</v>
      </c>
      <c r="AK18" s="333">
        <f t="shared" si="87"/>
        <v>1</v>
      </c>
      <c r="AL18" s="432">
        <f t="shared" si="88"/>
        <v>1</v>
      </c>
      <c r="AM18" s="432">
        <f t="shared" si="89"/>
        <v>1</v>
      </c>
      <c r="AN18" s="433">
        <f t="shared" si="90"/>
        <v>1</v>
      </c>
      <c r="AO18" s="333">
        <f t="shared" si="91"/>
        <v>1</v>
      </c>
      <c r="AP18" s="432">
        <f t="shared" si="92"/>
        <v>1</v>
      </c>
      <c r="AQ18" s="432">
        <f t="shared" si="93"/>
        <v>1</v>
      </c>
      <c r="AR18" s="433">
        <f t="shared" si="94"/>
        <v>1</v>
      </c>
      <c r="AS18" s="333">
        <f t="shared" si="95"/>
        <v>1</v>
      </c>
      <c r="AT18" s="432">
        <f t="shared" si="96"/>
        <v>1</v>
      </c>
      <c r="AU18" s="432">
        <f t="shared" si="97"/>
        <v>1</v>
      </c>
      <c r="AV18" s="433">
        <f t="shared" si="98"/>
        <v>1</v>
      </c>
      <c r="AW18" s="333">
        <f t="shared" si="99"/>
        <v>1</v>
      </c>
      <c r="AX18" s="432">
        <f t="shared" si="100"/>
        <v>1</v>
      </c>
      <c r="AY18" s="432">
        <f t="shared" si="101"/>
        <v>1</v>
      </c>
      <c r="AZ18" s="433">
        <f t="shared" si="102"/>
        <v>1</v>
      </c>
      <c r="BA18" s="333">
        <f t="shared" si="103"/>
        <v>1</v>
      </c>
      <c r="BB18" s="432">
        <f t="shared" si="104"/>
        <v>1</v>
      </c>
      <c r="BC18" s="432">
        <f t="shared" si="105"/>
        <v>1</v>
      </c>
      <c r="BD18" s="433">
        <f t="shared" si="106"/>
        <v>1</v>
      </c>
      <c r="BE18" s="333">
        <f t="shared" si="107"/>
        <v>1</v>
      </c>
      <c r="BF18" s="432">
        <f t="shared" si="108"/>
        <v>1</v>
      </c>
      <c r="BG18" s="432">
        <f t="shared" si="109"/>
        <v>1</v>
      </c>
      <c r="BH18" s="433">
        <f t="shared" si="110"/>
        <v>1</v>
      </c>
      <c r="BI18" s="333">
        <f t="shared" si="111"/>
        <v>1</v>
      </c>
      <c r="BJ18" s="432">
        <f t="shared" si="112"/>
        <v>1</v>
      </c>
      <c r="BK18" s="432">
        <f t="shared" si="113"/>
        <v>1</v>
      </c>
      <c r="BL18" s="433">
        <f t="shared" si="114"/>
        <v>1</v>
      </c>
      <c r="BM18" s="333">
        <f t="shared" si="115"/>
        <v>1</v>
      </c>
      <c r="BN18" s="432">
        <f t="shared" si="116"/>
        <v>1</v>
      </c>
      <c r="BO18" s="432">
        <f t="shared" si="117"/>
        <v>1</v>
      </c>
      <c r="BP18" s="433">
        <f t="shared" si="118"/>
        <v>1</v>
      </c>
      <c r="BQ18" s="333">
        <f t="shared" si="119"/>
        <v>1</v>
      </c>
      <c r="BR18" s="432">
        <f t="shared" si="120"/>
        <v>1</v>
      </c>
      <c r="BS18" s="432">
        <f t="shared" si="121"/>
        <v>1</v>
      </c>
      <c r="BT18" s="433">
        <f t="shared" si="122"/>
        <v>1</v>
      </c>
      <c r="BU18" s="333">
        <f t="shared" si="123"/>
        <v>1</v>
      </c>
      <c r="BV18" s="432">
        <f t="shared" si="124"/>
        <v>1</v>
      </c>
      <c r="BW18" s="432">
        <f t="shared" si="125"/>
        <v>1</v>
      </c>
      <c r="BX18" s="433">
        <f t="shared" si="126"/>
        <v>1</v>
      </c>
      <c r="BY18" s="333">
        <f t="shared" si="127"/>
        <v>1</v>
      </c>
      <c r="BZ18" s="432">
        <f t="shared" si="128"/>
        <v>1</v>
      </c>
      <c r="CA18" s="432">
        <f t="shared" si="129"/>
        <v>1</v>
      </c>
      <c r="CB18" s="433">
        <f t="shared" si="130"/>
        <v>1</v>
      </c>
      <c r="CC18" s="333">
        <f t="shared" si="131"/>
        <v>1</v>
      </c>
      <c r="CD18" s="432">
        <f t="shared" si="132"/>
        <v>1</v>
      </c>
      <c r="CE18" s="432">
        <f t="shared" si="133"/>
        <v>1</v>
      </c>
      <c r="CF18" s="433">
        <f t="shared" si="134"/>
        <v>1</v>
      </c>
      <c r="CG18" s="333">
        <f t="shared" si="135"/>
        <v>1</v>
      </c>
      <c r="CH18" s="432">
        <f t="shared" si="136"/>
        <v>1</v>
      </c>
      <c r="CI18" s="432">
        <f t="shared" si="137"/>
        <v>1</v>
      </c>
      <c r="CJ18" s="433">
        <f t="shared" si="138"/>
        <v>1</v>
      </c>
      <c r="CK18" s="333">
        <f t="shared" si="139"/>
        <v>1</v>
      </c>
      <c r="CL18" s="432">
        <f t="shared" si="140"/>
        <v>1</v>
      </c>
      <c r="CM18" s="432">
        <f t="shared" si="141"/>
        <v>1</v>
      </c>
      <c r="CN18" s="433">
        <f t="shared" si="142"/>
        <v>1</v>
      </c>
      <c r="CO18" s="333">
        <f t="shared" si="143"/>
        <v>1</v>
      </c>
      <c r="CP18" s="432">
        <f t="shared" si="144"/>
        <v>1</v>
      </c>
      <c r="CQ18" s="432">
        <f t="shared" si="145"/>
        <v>1</v>
      </c>
      <c r="CR18" s="433">
        <f t="shared" si="146"/>
        <v>1</v>
      </c>
      <c r="CS18" s="333">
        <f t="shared" si="147"/>
        <v>1</v>
      </c>
      <c r="CT18" s="432">
        <f t="shared" si="148"/>
        <v>1</v>
      </c>
      <c r="CU18" s="432">
        <f t="shared" si="149"/>
        <v>1</v>
      </c>
      <c r="CV18" s="433">
        <f t="shared" si="150"/>
        <v>1</v>
      </c>
      <c r="CW18" s="333">
        <f t="shared" si="151"/>
        <v>1</v>
      </c>
      <c r="CX18" s="432">
        <f t="shared" si="152"/>
        <v>1</v>
      </c>
      <c r="CY18" s="432">
        <f t="shared" si="153"/>
        <v>1</v>
      </c>
      <c r="CZ18" s="433">
        <f t="shared" si="154"/>
        <v>1</v>
      </c>
      <c r="DA18" s="333">
        <f t="shared" si="155"/>
        <v>1</v>
      </c>
      <c r="DB18" s="432">
        <f t="shared" si="156"/>
        <v>1</v>
      </c>
      <c r="DC18" s="432">
        <f t="shared" si="157"/>
        <v>1</v>
      </c>
      <c r="DD18" s="433">
        <f t="shared" si="158"/>
        <v>1</v>
      </c>
      <c r="DE18" s="333">
        <f t="shared" si="159"/>
        <v>1</v>
      </c>
      <c r="DF18" s="432">
        <f t="shared" si="160"/>
        <v>1</v>
      </c>
      <c r="DG18" s="432">
        <f t="shared" si="161"/>
        <v>1</v>
      </c>
      <c r="DH18" s="433">
        <f t="shared" si="162"/>
        <v>1</v>
      </c>
      <c r="DI18" s="333">
        <f t="shared" si="163"/>
        <v>1</v>
      </c>
      <c r="DJ18" s="432">
        <f t="shared" si="164"/>
        <v>1</v>
      </c>
      <c r="DK18" s="432">
        <f t="shared" si="165"/>
        <v>1</v>
      </c>
      <c r="DL18" s="433">
        <f t="shared" si="166"/>
        <v>1</v>
      </c>
      <c r="DM18" s="333">
        <f t="shared" si="167"/>
        <v>1</v>
      </c>
      <c r="DN18" s="432">
        <f t="shared" si="168"/>
        <v>1</v>
      </c>
      <c r="DO18" s="432">
        <f t="shared" si="169"/>
        <v>1</v>
      </c>
      <c r="DP18" s="433">
        <f t="shared" si="170"/>
        <v>1</v>
      </c>
      <c r="DQ18" s="333">
        <f t="shared" si="171"/>
        <v>1</v>
      </c>
      <c r="DR18" s="432">
        <f t="shared" si="172"/>
        <v>1</v>
      </c>
      <c r="DS18" s="432">
        <f t="shared" si="173"/>
        <v>1</v>
      </c>
      <c r="DT18" s="433">
        <f t="shared" si="174"/>
        <v>1</v>
      </c>
      <c r="DU18" s="333">
        <f t="shared" si="175"/>
        <v>1</v>
      </c>
      <c r="DV18" s="432">
        <f t="shared" si="176"/>
        <v>1</v>
      </c>
      <c r="DW18" s="432">
        <f t="shared" si="177"/>
        <v>1</v>
      </c>
      <c r="DX18" s="433">
        <f t="shared" si="178"/>
        <v>1</v>
      </c>
      <c r="DY18" s="333">
        <f t="shared" si="179"/>
        <v>1</v>
      </c>
      <c r="DZ18" s="432">
        <f t="shared" si="180"/>
        <v>1</v>
      </c>
      <c r="EA18" s="432">
        <f t="shared" si="181"/>
        <v>1</v>
      </c>
      <c r="EB18" s="433">
        <f t="shared" si="182"/>
        <v>1</v>
      </c>
      <c r="EC18" s="333">
        <f t="shared" si="183"/>
        <v>1</v>
      </c>
      <c r="ED18" s="432">
        <f t="shared" si="184"/>
        <v>1</v>
      </c>
      <c r="EE18" s="432">
        <f t="shared" si="185"/>
        <v>1</v>
      </c>
      <c r="EF18" s="433">
        <f t="shared" si="186"/>
        <v>1</v>
      </c>
      <c r="EG18" s="333">
        <f t="shared" si="187"/>
        <v>1</v>
      </c>
      <c r="EH18" s="432">
        <f t="shared" si="188"/>
        <v>1</v>
      </c>
      <c r="EI18" s="432">
        <f t="shared" si="189"/>
        <v>1</v>
      </c>
      <c r="EJ18" s="433">
        <f t="shared" si="190"/>
        <v>1</v>
      </c>
      <c r="EK18" s="333">
        <f t="shared" si="191"/>
        <v>1</v>
      </c>
      <c r="EL18" s="432">
        <f t="shared" si="192"/>
        <v>1</v>
      </c>
      <c r="EM18" s="432">
        <f t="shared" si="193"/>
        <v>1</v>
      </c>
      <c r="EN18" s="433">
        <f t="shared" si="194"/>
        <v>1</v>
      </c>
      <c r="EO18" s="333">
        <f t="shared" si="195"/>
        <v>1</v>
      </c>
      <c r="EP18" s="432">
        <f t="shared" si="196"/>
        <v>1</v>
      </c>
      <c r="EQ18" s="432">
        <f t="shared" si="197"/>
        <v>1</v>
      </c>
      <c r="ER18" s="433">
        <f t="shared" si="198"/>
        <v>1</v>
      </c>
      <c r="ES18" s="333">
        <f t="shared" si="199"/>
        <v>1</v>
      </c>
      <c r="ET18" s="432">
        <f t="shared" si="200"/>
        <v>1</v>
      </c>
      <c r="EU18" s="432">
        <f t="shared" si="201"/>
        <v>1</v>
      </c>
      <c r="EV18" s="433">
        <f t="shared" si="202"/>
        <v>1</v>
      </c>
      <c r="EW18" s="263">
        <f t="shared" ref="EW18:EW36" si="206">SUM(I18:EV18)/4</f>
        <v>30</v>
      </c>
      <c r="EX18" s="263">
        <v>16</v>
      </c>
      <c r="EY18" s="263">
        <f t="shared" si="203"/>
        <v>8</v>
      </c>
      <c r="EZ18" s="263">
        <f t="shared" si="204"/>
        <v>13440</v>
      </c>
      <c r="FA18" s="263">
        <f t="shared" si="205"/>
        <v>7200</v>
      </c>
    </row>
    <row r="19" spans="2:157" s="268" customFormat="1" ht="29.25" customHeight="1">
      <c r="B19" s="257"/>
      <c r="C19" s="14" t="s">
        <v>244</v>
      </c>
      <c r="D19" s="310" t="s">
        <v>149</v>
      </c>
      <c r="E19" s="329">
        <v>1</v>
      </c>
      <c r="F19" s="16"/>
      <c r="G19" s="414"/>
      <c r="H19" s="17"/>
      <c r="I19" s="333"/>
      <c r="J19" s="261"/>
      <c r="K19" s="261"/>
      <c r="L19" s="262"/>
      <c r="M19" s="260"/>
      <c r="N19" s="261"/>
      <c r="O19" s="261"/>
      <c r="P19" s="262"/>
      <c r="Q19" s="260"/>
      <c r="R19" s="261"/>
      <c r="S19" s="261"/>
      <c r="T19" s="262"/>
      <c r="U19" s="260"/>
      <c r="V19" s="261"/>
      <c r="W19" s="261"/>
      <c r="X19" s="262"/>
      <c r="Y19" s="333"/>
      <c r="Z19" s="261"/>
      <c r="AA19" s="261"/>
      <c r="AB19" s="262"/>
      <c r="AC19" s="260"/>
      <c r="AD19" s="261"/>
      <c r="AE19" s="261"/>
      <c r="AF19" s="262"/>
      <c r="AG19" s="333">
        <f t="shared" si="83"/>
        <v>1</v>
      </c>
      <c r="AH19" s="432">
        <f t="shared" si="84"/>
        <v>1</v>
      </c>
      <c r="AI19" s="432">
        <f t="shared" si="85"/>
        <v>1</v>
      </c>
      <c r="AJ19" s="433">
        <f t="shared" si="86"/>
        <v>1</v>
      </c>
      <c r="AK19" s="333">
        <f t="shared" si="87"/>
        <v>1</v>
      </c>
      <c r="AL19" s="432">
        <f t="shared" si="88"/>
        <v>1</v>
      </c>
      <c r="AM19" s="432">
        <f t="shared" si="89"/>
        <v>1</v>
      </c>
      <c r="AN19" s="433">
        <f t="shared" si="90"/>
        <v>1</v>
      </c>
      <c r="AO19" s="333">
        <f t="shared" si="91"/>
        <v>1</v>
      </c>
      <c r="AP19" s="432">
        <f t="shared" si="92"/>
        <v>1</v>
      </c>
      <c r="AQ19" s="432">
        <f t="shared" si="93"/>
        <v>1</v>
      </c>
      <c r="AR19" s="433">
        <f t="shared" si="94"/>
        <v>1</v>
      </c>
      <c r="AS19" s="333">
        <f t="shared" si="95"/>
        <v>1</v>
      </c>
      <c r="AT19" s="432">
        <f t="shared" si="96"/>
        <v>1</v>
      </c>
      <c r="AU19" s="432">
        <f t="shared" si="97"/>
        <v>1</v>
      </c>
      <c r="AV19" s="433">
        <f t="shared" si="98"/>
        <v>1</v>
      </c>
      <c r="AW19" s="333">
        <f t="shared" si="99"/>
        <v>1</v>
      </c>
      <c r="AX19" s="432">
        <f t="shared" si="100"/>
        <v>1</v>
      </c>
      <c r="AY19" s="432">
        <f t="shared" si="101"/>
        <v>1</v>
      </c>
      <c r="AZ19" s="433">
        <f t="shared" si="102"/>
        <v>1</v>
      </c>
      <c r="BA19" s="333">
        <f t="shared" si="103"/>
        <v>1</v>
      </c>
      <c r="BB19" s="432">
        <f t="shared" si="104"/>
        <v>1</v>
      </c>
      <c r="BC19" s="432">
        <f t="shared" si="105"/>
        <v>1</v>
      </c>
      <c r="BD19" s="433">
        <f t="shared" si="106"/>
        <v>1</v>
      </c>
      <c r="BE19" s="333">
        <f t="shared" si="107"/>
        <v>1</v>
      </c>
      <c r="BF19" s="432">
        <f t="shared" si="108"/>
        <v>1</v>
      </c>
      <c r="BG19" s="432">
        <f t="shared" si="109"/>
        <v>1</v>
      </c>
      <c r="BH19" s="433">
        <f t="shared" si="110"/>
        <v>1</v>
      </c>
      <c r="BI19" s="333">
        <f t="shared" si="111"/>
        <v>1</v>
      </c>
      <c r="BJ19" s="432">
        <f t="shared" si="112"/>
        <v>1</v>
      </c>
      <c r="BK19" s="432">
        <f t="shared" si="113"/>
        <v>1</v>
      </c>
      <c r="BL19" s="433">
        <f t="shared" si="114"/>
        <v>1</v>
      </c>
      <c r="BM19" s="333">
        <f t="shared" si="115"/>
        <v>1</v>
      </c>
      <c r="BN19" s="432">
        <f t="shared" si="116"/>
        <v>1</v>
      </c>
      <c r="BO19" s="432">
        <f t="shared" si="117"/>
        <v>1</v>
      </c>
      <c r="BP19" s="433">
        <f t="shared" si="118"/>
        <v>1</v>
      </c>
      <c r="BQ19" s="333">
        <f t="shared" si="119"/>
        <v>1</v>
      </c>
      <c r="BR19" s="432">
        <f t="shared" si="120"/>
        <v>1</v>
      </c>
      <c r="BS19" s="432">
        <f t="shared" si="121"/>
        <v>1</v>
      </c>
      <c r="BT19" s="433">
        <f t="shared" si="122"/>
        <v>1</v>
      </c>
      <c r="BU19" s="333">
        <f t="shared" si="123"/>
        <v>1</v>
      </c>
      <c r="BV19" s="432">
        <f t="shared" si="124"/>
        <v>1</v>
      </c>
      <c r="BW19" s="432">
        <f t="shared" si="125"/>
        <v>1</v>
      </c>
      <c r="BX19" s="433">
        <f t="shared" si="126"/>
        <v>1</v>
      </c>
      <c r="BY19" s="333">
        <f t="shared" si="127"/>
        <v>1</v>
      </c>
      <c r="BZ19" s="432">
        <f t="shared" si="128"/>
        <v>1</v>
      </c>
      <c r="CA19" s="432">
        <f t="shared" si="129"/>
        <v>1</v>
      </c>
      <c r="CB19" s="433">
        <f t="shared" si="130"/>
        <v>1</v>
      </c>
      <c r="CC19" s="333">
        <f t="shared" si="131"/>
        <v>1</v>
      </c>
      <c r="CD19" s="432">
        <f t="shared" si="132"/>
        <v>1</v>
      </c>
      <c r="CE19" s="432">
        <f t="shared" si="133"/>
        <v>1</v>
      </c>
      <c r="CF19" s="433">
        <f t="shared" si="134"/>
        <v>1</v>
      </c>
      <c r="CG19" s="333">
        <f t="shared" si="135"/>
        <v>1</v>
      </c>
      <c r="CH19" s="432">
        <f t="shared" si="136"/>
        <v>1</v>
      </c>
      <c r="CI19" s="432">
        <f t="shared" si="137"/>
        <v>1</v>
      </c>
      <c r="CJ19" s="433">
        <f t="shared" si="138"/>
        <v>1</v>
      </c>
      <c r="CK19" s="333">
        <f t="shared" si="139"/>
        <v>1</v>
      </c>
      <c r="CL19" s="432">
        <f t="shared" si="140"/>
        <v>1</v>
      </c>
      <c r="CM19" s="432">
        <f t="shared" si="141"/>
        <v>1</v>
      </c>
      <c r="CN19" s="433">
        <f t="shared" si="142"/>
        <v>1</v>
      </c>
      <c r="CO19" s="333">
        <f t="shared" si="143"/>
        <v>1</v>
      </c>
      <c r="CP19" s="432">
        <f t="shared" si="144"/>
        <v>1</v>
      </c>
      <c r="CQ19" s="432">
        <f t="shared" si="145"/>
        <v>1</v>
      </c>
      <c r="CR19" s="433">
        <f t="shared" si="146"/>
        <v>1</v>
      </c>
      <c r="CS19" s="333">
        <f t="shared" si="147"/>
        <v>1</v>
      </c>
      <c r="CT19" s="432">
        <f t="shared" si="148"/>
        <v>1</v>
      </c>
      <c r="CU19" s="432">
        <f t="shared" si="149"/>
        <v>1</v>
      </c>
      <c r="CV19" s="433">
        <f t="shared" si="150"/>
        <v>1</v>
      </c>
      <c r="CW19" s="333">
        <f t="shared" si="151"/>
        <v>1</v>
      </c>
      <c r="CX19" s="432">
        <f t="shared" si="152"/>
        <v>1</v>
      </c>
      <c r="CY19" s="432">
        <f t="shared" si="153"/>
        <v>1</v>
      </c>
      <c r="CZ19" s="433">
        <f t="shared" si="154"/>
        <v>1</v>
      </c>
      <c r="DA19" s="333">
        <f t="shared" si="155"/>
        <v>1</v>
      </c>
      <c r="DB19" s="432">
        <f t="shared" si="156"/>
        <v>1</v>
      </c>
      <c r="DC19" s="432">
        <f t="shared" si="157"/>
        <v>1</v>
      </c>
      <c r="DD19" s="433">
        <f t="shared" si="158"/>
        <v>1</v>
      </c>
      <c r="DE19" s="333">
        <f t="shared" si="159"/>
        <v>1</v>
      </c>
      <c r="DF19" s="432">
        <f t="shared" si="160"/>
        <v>1</v>
      </c>
      <c r="DG19" s="432">
        <f t="shared" si="161"/>
        <v>1</v>
      </c>
      <c r="DH19" s="433">
        <f t="shared" si="162"/>
        <v>1</v>
      </c>
      <c r="DI19" s="333">
        <f t="shared" si="163"/>
        <v>1</v>
      </c>
      <c r="DJ19" s="432">
        <f t="shared" si="164"/>
        <v>1</v>
      </c>
      <c r="DK19" s="432">
        <f t="shared" si="165"/>
        <v>1</v>
      </c>
      <c r="DL19" s="433">
        <f t="shared" si="166"/>
        <v>1</v>
      </c>
      <c r="DM19" s="333">
        <f t="shared" si="167"/>
        <v>1</v>
      </c>
      <c r="DN19" s="432">
        <f t="shared" si="168"/>
        <v>1</v>
      </c>
      <c r="DO19" s="432">
        <f t="shared" si="169"/>
        <v>1</v>
      </c>
      <c r="DP19" s="433">
        <f t="shared" si="170"/>
        <v>1</v>
      </c>
      <c r="DQ19" s="333">
        <f t="shared" si="171"/>
        <v>1</v>
      </c>
      <c r="DR19" s="432">
        <f t="shared" si="172"/>
        <v>1</v>
      </c>
      <c r="DS19" s="432">
        <f t="shared" si="173"/>
        <v>1</v>
      </c>
      <c r="DT19" s="433">
        <f t="shared" si="174"/>
        <v>1</v>
      </c>
      <c r="DU19" s="333">
        <f t="shared" si="175"/>
        <v>1</v>
      </c>
      <c r="DV19" s="432">
        <f t="shared" si="176"/>
        <v>1</v>
      </c>
      <c r="DW19" s="432">
        <f t="shared" si="177"/>
        <v>1</v>
      </c>
      <c r="DX19" s="433">
        <f t="shared" si="178"/>
        <v>1</v>
      </c>
      <c r="DY19" s="333">
        <f t="shared" si="179"/>
        <v>1</v>
      </c>
      <c r="DZ19" s="432">
        <f t="shared" si="180"/>
        <v>1</v>
      </c>
      <c r="EA19" s="432">
        <f t="shared" si="181"/>
        <v>1</v>
      </c>
      <c r="EB19" s="433">
        <f t="shared" si="182"/>
        <v>1</v>
      </c>
      <c r="EC19" s="333">
        <f t="shared" si="183"/>
        <v>1</v>
      </c>
      <c r="ED19" s="432">
        <f t="shared" si="184"/>
        <v>1</v>
      </c>
      <c r="EE19" s="432">
        <f t="shared" si="185"/>
        <v>1</v>
      </c>
      <c r="EF19" s="433">
        <f t="shared" si="186"/>
        <v>1</v>
      </c>
      <c r="EG19" s="333">
        <f t="shared" si="187"/>
        <v>1</v>
      </c>
      <c r="EH19" s="432">
        <f t="shared" si="188"/>
        <v>1</v>
      </c>
      <c r="EI19" s="432">
        <f t="shared" si="189"/>
        <v>1</v>
      </c>
      <c r="EJ19" s="433">
        <f t="shared" si="190"/>
        <v>1</v>
      </c>
      <c r="EK19" s="333">
        <f t="shared" si="191"/>
        <v>1</v>
      </c>
      <c r="EL19" s="432">
        <f t="shared" si="192"/>
        <v>1</v>
      </c>
      <c r="EM19" s="432">
        <f t="shared" si="193"/>
        <v>1</v>
      </c>
      <c r="EN19" s="433">
        <f t="shared" si="194"/>
        <v>1</v>
      </c>
      <c r="EO19" s="333">
        <f t="shared" si="195"/>
        <v>1</v>
      </c>
      <c r="EP19" s="432">
        <f t="shared" si="196"/>
        <v>1</v>
      </c>
      <c r="EQ19" s="432">
        <f t="shared" si="197"/>
        <v>1</v>
      </c>
      <c r="ER19" s="433">
        <f t="shared" si="198"/>
        <v>1</v>
      </c>
      <c r="ES19" s="333">
        <f t="shared" si="199"/>
        <v>1</v>
      </c>
      <c r="ET19" s="432">
        <f t="shared" si="200"/>
        <v>1</v>
      </c>
      <c r="EU19" s="432">
        <f t="shared" si="201"/>
        <v>1</v>
      </c>
      <c r="EV19" s="433">
        <f t="shared" si="202"/>
        <v>1</v>
      </c>
      <c r="EW19" s="263">
        <f t="shared" si="206"/>
        <v>30</v>
      </c>
      <c r="EX19" s="263">
        <v>16</v>
      </c>
      <c r="EY19" s="263">
        <f t="shared" si="203"/>
        <v>8</v>
      </c>
      <c r="EZ19" s="263">
        <f t="shared" si="204"/>
        <v>13440</v>
      </c>
      <c r="FA19" s="263">
        <f t="shared" si="205"/>
        <v>7200</v>
      </c>
    </row>
    <row r="20" spans="2:157" s="268" customFormat="1" ht="29.25" customHeight="1">
      <c r="B20" s="257"/>
      <c r="C20" s="14" t="s">
        <v>245</v>
      </c>
      <c r="D20" s="310" t="s">
        <v>149</v>
      </c>
      <c r="E20" s="362">
        <v>1</v>
      </c>
      <c r="F20" s="16"/>
      <c r="G20" s="414"/>
      <c r="H20" s="17"/>
      <c r="I20" s="333"/>
      <c r="J20" s="261"/>
      <c r="K20" s="261"/>
      <c r="L20" s="262"/>
      <c r="M20" s="260"/>
      <c r="N20" s="261"/>
      <c r="O20" s="261"/>
      <c r="P20" s="262"/>
      <c r="Q20" s="260"/>
      <c r="R20" s="261"/>
      <c r="S20" s="261"/>
      <c r="T20" s="262"/>
      <c r="U20" s="260"/>
      <c r="V20" s="261"/>
      <c r="W20" s="261"/>
      <c r="X20" s="262"/>
      <c r="Y20" s="333"/>
      <c r="Z20" s="261"/>
      <c r="AA20" s="261"/>
      <c r="AB20" s="262"/>
      <c r="AC20" s="260"/>
      <c r="AD20" s="261"/>
      <c r="AE20" s="261"/>
      <c r="AF20" s="262"/>
      <c r="AG20" s="333">
        <f t="shared" si="83"/>
        <v>1</v>
      </c>
      <c r="AH20" s="432">
        <f t="shared" si="84"/>
        <v>1</v>
      </c>
      <c r="AI20" s="432">
        <f t="shared" si="85"/>
        <v>1</v>
      </c>
      <c r="AJ20" s="433">
        <f t="shared" si="86"/>
        <v>1</v>
      </c>
      <c r="AK20" s="333">
        <f t="shared" si="87"/>
        <v>1</v>
      </c>
      <c r="AL20" s="432">
        <f t="shared" si="88"/>
        <v>1</v>
      </c>
      <c r="AM20" s="432">
        <f t="shared" si="89"/>
        <v>1</v>
      </c>
      <c r="AN20" s="433">
        <f t="shared" si="90"/>
        <v>1</v>
      </c>
      <c r="AO20" s="333">
        <f t="shared" si="91"/>
        <v>1</v>
      </c>
      <c r="AP20" s="432">
        <f t="shared" si="92"/>
        <v>1</v>
      </c>
      <c r="AQ20" s="432">
        <f t="shared" si="93"/>
        <v>1</v>
      </c>
      <c r="AR20" s="433">
        <f t="shared" si="94"/>
        <v>1</v>
      </c>
      <c r="AS20" s="333">
        <f t="shared" si="95"/>
        <v>1</v>
      </c>
      <c r="AT20" s="432">
        <f t="shared" si="96"/>
        <v>1</v>
      </c>
      <c r="AU20" s="432">
        <f t="shared" si="97"/>
        <v>1</v>
      </c>
      <c r="AV20" s="433">
        <f t="shared" si="98"/>
        <v>1</v>
      </c>
      <c r="AW20" s="333">
        <f t="shared" si="99"/>
        <v>1</v>
      </c>
      <c r="AX20" s="432">
        <f t="shared" si="100"/>
        <v>1</v>
      </c>
      <c r="AY20" s="432">
        <f t="shared" si="101"/>
        <v>1</v>
      </c>
      <c r="AZ20" s="433">
        <f t="shared" si="102"/>
        <v>1</v>
      </c>
      <c r="BA20" s="333">
        <f t="shared" si="103"/>
        <v>1</v>
      </c>
      <c r="BB20" s="432">
        <f t="shared" si="104"/>
        <v>1</v>
      </c>
      <c r="BC20" s="432">
        <f t="shared" si="105"/>
        <v>1</v>
      </c>
      <c r="BD20" s="433">
        <f t="shared" si="106"/>
        <v>1</v>
      </c>
      <c r="BE20" s="333">
        <f t="shared" si="107"/>
        <v>1</v>
      </c>
      <c r="BF20" s="432">
        <f t="shared" si="108"/>
        <v>1</v>
      </c>
      <c r="BG20" s="432">
        <f t="shared" si="109"/>
        <v>1</v>
      </c>
      <c r="BH20" s="433">
        <f t="shared" si="110"/>
        <v>1</v>
      </c>
      <c r="BI20" s="333">
        <f t="shared" si="111"/>
        <v>1</v>
      </c>
      <c r="BJ20" s="432">
        <f t="shared" si="112"/>
        <v>1</v>
      </c>
      <c r="BK20" s="432">
        <f t="shared" si="113"/>
        <v>1</v>
      </c>
      <c r="BL20" s="433">
        <f t="shared" si="114"/>
        <v>1</v>
      </c>
      <c r="BM20" s="333">
        <f t="shared" si="115"/>
        <v>1</v>
      </c>
      <c r="BN20" s="432">
        <f t="shared" si="116"/>
        <v>1</v>
      </c>
      <c r="BO20" s="432">
        <f t="shared" si="117"/>
        <v>1</v>
      </c>
      <c r="BP20" s="433">
        <f t="shared" si="118"/>
        <v>1</v>
      </c>
      <c r="BQ20" s="333">
        <f t="shared" si="119"/>
        <v>1</v>
      </c>
      <c r="BR20" s="432">
        <f t="shared" si="120"/>
        <v>1</v>
      </c>
      <c r="BS20" s="432">
        <f t="shared" si="121"/>
        <v>1</v>
      </c>
      <c r="BT20" s="433">
        <f t="shared" si="122"/>
        <v>1</v>
      </c>
      <c r="BU20" s="333">
        <f t="shared" si="123"/>
        <v>1</v>
      </c>
      <c r="BV20" s="432">
        <f t="shared" si="124"/>
        <v>1</v>
      </c>
      <c r="BW20" s="432">
        <f t="shared" si="125"/>
        <v>1</v>
      </c>
      <c r="BX20" s="433">
        <f t="shared" si="126"/>
        <v>1</v>
      </c>
      <c r="BY20" s="333">
        <f t="shared" si="127"/>
        <v>1</v>
      </c>
      <c r="BZ20" s="432">
        <f t="shared" si="128"/>
        <v>1</v>
      </c>
      <c r="CA20" s="432">
        <f t="shared" si="129"/>
        <v>1</v>
      </c>
      <c r="CB20" s="433">
        <f t="shared" si="130"/>
        <v>1</v>
      </c>
      <c r="CC20" s="333">
        <f t="shared" si="131"/>
        <v>1</v>
      </c>
      <c r="CD20" s="432">
        <f t="shared" si="132"/>
        <v>1</v>
      </c>
      <c r="CE20" s="432">
        <f t="shared" si="133"/>
        <v>1</v>
      </c>
      <c r="CF20" s="433">
        <f t="shared" si="134"/>
        <v>1</v>
      </c>
      <c r="CG20" s="333">
        <f t="shared" si="135"/>
        <v>1</v>
      </c>
      <c r="CH20" s="432">
        <f t="shared" si="136"/>
        <v>1</v>
      </c>
      <c r="CI20" s="432">
        <f t="shared" si="137"/>
        <v>1</v>
      </c>
      <c r="CJ20" s="433">
        <f t="shared" si="138"/>
        <v>1</v>
      </c>
      <c r="CK20" s="333">
        <f t="shared" si="139"/>
        <v>1</v>
      </c>
      <c r="CL20" s="432">
        <f t="shared" si="140"/>
        <v>1</v>
      </c>
      <c r="CM20" s="432">
        <f t="shared" si="141"/>
        <v>1</v>
      </c>
      <c r="CN20" s="433">
        <f t="shared" si="142"/>
        <v>1</v>
      </c>
      <c r="CO20" s="333">
        <f t="shared" si="143"/>
        <v>1</v>
      </c>
      <c r="CP20" s="432">
        <f t="shared" si="144"/>
        <v>1</v>
      </c>
      <c r="CQ20" s="432">
        <f t="shared" si="145"/>
        <v>1</v>
      </c>
      <c r="CR20" s="433">
        <f t="shared" si="146"/>
        <v>1</v>
      </c>
      <c r="CS20" s="333">
        <f t="shared" si="147"/>
        <v>1</v>
      </c>
      <c r="CT20" s="432">
        <f t="shared" si="148"/>
        <v>1</v>
      </c>
      <c r="CU20" s="432">
        <f t="shared" si="149"/>
        <v>1</v>
      </c>
      <c r="CV20" s="433">
        <f t="shared" si="150"/>
        <v>1</v>
      </c>
      <c r="CW20" s="333">
        <f t="shared" si="151"/>
        <v>1</v>
      </c>
      <c r="CX20" s="432">
        <f t="shared" si="152"/>
        <v>1</v>
      </c>
      <c r="CY20" s="432">
        <f t="shared" si="153"/>
        <v>1</v>
      </c>
      <c r="CZ20" s="433">
        <f t="shared" si="154"/>
        <v>1</v>
      </c>
      <c r="DA20" s="333">
        <f t="shared" si="155"/>
        <v>1</v>
      </c>
      <c r="DB20" s="432">
        <f t="shared" si="156"/>
        <v>1</v>
      </c>
      <c r="DC20" s="432">
        <f t="shared" si="157"/>
        <v>1</v>
      </c>
      <c r="DD20" s="433">
        <f t="shared" si="158"/>
        <v>1</v>
      </c>
      <c r="DE20" s="333">
        <f t="shared" si="159"/>
        <v>1</v>
      </c>
      <c r="DF20" s="432">
        <f t="shared" si="160"/>
        <v>1</v>
      </c>
      <c r="DG20" s="432">
        <f t="shared" si="161"/>
        <v>1</v>
      </c>
      <c r="DH20" s="433">
        <f t="shared" si="162"/>
        <v>1</v>
      </c>
      <c r="DI20" s="333">
        <f t="shared" si="163"/>
        <v>1</v>
      </c>
      <c r="DJ20" s="432">
        <f t="shared" si="164"/>
        <v>1</v>
      </c>
      <c r="DK20" s="432">
        <f t="shared" si="165"/>
        <v>1</v>
      </c>
      <c r="DL20" s="433">
        <f t="shared" si="166"/>
        <v>1</v>
      </c>
      <c r="DM20" s="333">
        <f t="shared" si="167"/>
        <v>1</v>
      </c>
      <c r="DN20" s="432">
        <f t="shared" si="168"/>
        <v>1</v>
      </c>
      <c r="DO20" s="432">
        <f t="shared" si="169"/>
        <v>1</v>
      </c>
      <c r="DP20" s="433">
        <f t="shared" si="170"/>
        <v>1</v>
      </c>
      <c r="DQ20" s="333">
        <f t="shared" si="171"/>
        <v>1</v>
      </c>
      <c r="DR20" s="432">
        <f t="shared" si="172"/>
        <v>1</v>
      </c>
      <c r="DS20" s="432">
        <f t="shared" si="173"/>
        <v>1</v>
      </c>
      <c r="DT20" s="433">
        <f t="shared" si="174"/>
        <v>1</v>
      </c>
      <c r="DU20" s="333">
        <f t="shared" si="175"/>
        <v>1</v>
      </c>
      <c r="DV20" s="432">
        <f t="shared" si="176"/>
        <v>1</v>
      </c>
      <c r="DW20" s="432">
        <f t="shared" si="177"/>
        <v>1</v>
      </c>
      <c r="DX20" s="433">
        <f t="shared" si="178"/>
        <v>1</v>
      </c>
      <c r="DY20" s="333">
        <f t="shared" si="179"/>
        <v>1</v>
      </c>
      <c r="DZ20" s="432">
        <f t="shared" si="180"/>
        <v>1</v>
      </c>
      <c r="EA20" s="432">
        <f t="shared" si="181"/>
        <v>1</v>
      </c>
      <c r="EB20" s="433">
        <f t="shared" si="182"/>
        <v>1</v>
      </c>
      <c r="EC20" s="333">
        <f t="shared" si="183"/>
        <v>1</v>
      </c>
      <c r="ED20" s="432">
        <f t="shared" si="184"/>
        <v>1</v>
      </c>
      <c r="EE20" s="432">
        <f t="shared" si="185"/>
        <v>1</v>
      </c>
      <c r="EF20" s="433">
        <f t="shared" si="186"/>
        <v>1</v>
      </c>
      <c r="EG20" s="333">
        <f t="shared" si="187"/>
        <v>1</v>
      </c>
      <c r="EH20" s="432">
        <f t="shared" si="188"/>
        <v>1</v>
      </c>
      <c r="EI20" s="432">
        <f t="shared" si="189"/>
        <v>1</v>
      </c>
      <c r="EJ20" s="433">
        <f t="shared" si="190"/>
        <v>1</v>
      </c>
      <c r="EK20" s="333">
        <f t="shared" si="191"/>
        <v>1</v>
      </c>
      <c r="EL20" s="432">
        <f t="shared" si="192"/>
        <v>1</v>
      </c>
      <c r="EM20" s="432">
        <f t="shared" si="193"/>
        <v>1</v>
      </c>
      <c r="EN20" s="433">
        <f t="shared" si="194"/>
        <v>1</v>
      </c>
      <c r="EO20" s="333">
        <f t="shared" si="195"/>
        <v>1</v>
      </c>
      <c r="EP20" s="432">
        <f t="shared" si="196"/>
        <v>1</v>
      </c>
      <c r="EQ20" s="432">
        <f t="shared" si="197"/>
        <v>1</v>
      </c>
      <c r="ER20" s="433">
        <f t="shared" si="198"/>
        <v>1</v>
      </c>
      <c r="ES20" s="333">
        <f t="shared" si="199"/>
        <v>1</v>
      </c>
      <c r="ET20" s="432">
        <f t="shared" si="200"/>
        <v>1</v>
      </c>
      <c r="EU20" s="432">
        <f t="shared" si="201"/>
        <v>1</v>
      </c>
      <c r="EV20" s="433">
        <f t="shared" si="202"/>
        <v>1</v>
      </c>
      <c r="EW20" s="263">
        <f t="shared" si="206"/>
        <v>30</v>
      </c>
      <c r="EX20" s="263">
        <v>16</v>
      </c>
      <c r="EY20" s="263">
        <f t="shared" si="203"/>
        <v>8</v>
      </c>
      <c r="EZ20" s="263">
        <f t="shared" si="204"/>
        <v>13440</v>
      </c>
      <c r="FA20" s="263">
        <f t="shared" si="205"/>
        <v>7200</v>
      </c>
    </row>
    <row r="21" spans="2:157" s="268" customFormat="1" ht="29.25" customHeight="1">
      <c r="B21" s="257"/>
      <c r="C21" s="14" t="s">
        <v>246</v>
      </c>
      <c r="D21" s="15" t="s">
        <v>149</v>
      </c>
      <c r="E21" s="362">
        <v>1</v>
      </c>
      <c r="F21" s="16"/>
      <c r="G21" s="414"/>
      <c r="H21" s="17"/>
      <c r="I21" s="333"/>
      <c r="J21" s="261"/>
      <c r="K21" s="261"/>
      <c r="L21" s="262"/>
      <c r="M21" s="260"/>
      <c r="N21" s="261"/>
      <c r="O21" s="261"/>
      <c r="P21" s="262"/>
      <c r="Q21" s="260"/>
      <c r="R21" s="261"/>
      <c r="S21" s="261"/>
      <c r="T21" s="262"/>
      <c r="U21" s="260"/>
      <c r="V21" s="261"/>
      <c r="W21" s="261"/>
      <c r="X21" s="262"/>
      <c r="Y21" s="333"/>
      <c r="Z21" s="261"/>
      <c r="AA21" s="261"/>
      <c r="AB21" s="262"/>
      <c r="AC21" s="260"/>
      <c r="AD21" s="261"/>
      <c r="AE21" s="261"/>
      <c r="AF21" s="262"/>
      <c r="AG21" s="333">
        <f t="shared" si="83"/>
        <v>1</v>
      </c>
      <c r="AH21" s="432">
        <f t="shared" si="84"/>
        <v>1</v>
      </c>
      <c r="AI21" s="432">
        <f t="shared" si="85"/>
        <v>1</v>
      </c>
      <c r="AJ21" s="433">
        <f t="shared" si="86"/>
        <v>1</v>
      </c>
      <c r="AK21" s="333">
        <f t="shared" si="87"/>
        <v>1</v>
      </c>
      <c r="AL21" s="432">
        <f t="shared" si="88"/>
        <v>1</v>
      </c>
      <c r="AM21" s="432">
        <f t="shared" si="89"/>
        <v>1</v>
      </c>
      <c r="AN21" s="433">
        <f t="shared" si="90"/>
        <v>1</v>
      </c>
      <c r="AO21" s="333">
        <f t="shared" si="91"/>
        <v>1</v>
      </c>
      <c r="AP21" s="432">
        <f t="shared" si="92"/>
        <v>1</v>
      </c>
      <c r="AQ21" s="432">
        <f t="shared" si="93"/>
        <v>1</v>
      </c>
      <c r="AR21" s="433">
        <f t="shared" si="94"/>
        <v>1</v>
      </c>
      <c r="AS21" s="333">
        <f t="shared" si="95"/>
        <v>1</v>
      </c>
      <c r="AT21" s="432">
        <f t="shared" si="96"/>
        <v>1</v>
      </c>
      <c r="AU21" s="432">
        <f t="shared" si="97"/>
        <v>1</v>
      </c>
      <c r="AV21" s="433">
        <f t="shared" si="98"/>
        <v>1</v>
      </c>
      <c r="AW21" s="333">
        <f t="shared" si="99"/>
        <v>1</v>
      </c>
      <c r="AX21" s="432">
        <f t="shared" si="100"/>
        <v>1</v>
      </c>
      <c r="AY21" s="432">
        <f t="shared" si="101"/>
        <v>1</v>
      </c>
      <c r="AZ21" s="433">
        <f t="shared" si="102"/>
        <v>1</v>
      </c>
      <c r="BA21" s="333">
        <f t="shared" si="103"/>
        <v>1</v>
      </c>
      <c r="BB21" s="432">
        <f t="shared" si="104"/>
        <v>1</v>
      </c>
      <c r="BC21" s="432">
        <f t="shared" si="105"/>
        <v>1</v>
      </c>
      <c r="BD21" s="433">
        <f t="shared" si="106"/>
        <v>1</v>
      </c>
      <c r="BE21" s="333">
        <f t="shared" si="107"/>
        <v>1</v>
      </c>
      <c r="BF21" s="432">
        <f t="shared" si="108"/>
        <v>1</v>
      </c>
      <c r="BG21" s="432">
        <f t="shared" si="109"/>
        <v>1</v>
      </c>
      <c r="BH21" s="433">
        <f t="shared" si="110"/>
        <v>1</v>
      </c>
      <c r="BI21" s="333">
        <f t="shared" si="111"/>
        <v>1</v>
      </c>
      <c r="BJ21" s="432">
        <f t="shared" si="112"/>
        <v>1</v>
      </c>
      <c r="BK21" s="432">
        <f t="shared" si="113"/>
        <v>1</v>
      </c>
      <c r="BL21" s="433">
        <f t="shared" si="114"/>
        <v>1</v>
      </c>
      <c r="BM21" s="333">
        <f t="shared" si="115"/>
        <v>1</v>
      </c>
      <c r="BN21" s="432">
        <f t="shared" si="116"/>
        <v>1</v>
      </c>
      <c r="BO21" s="432">
        <f t="shared" si="117"/>
        <v>1</v>
      </c>
      <c r="BP21" s="433">
        <f t="shared" si="118"/>
        <v>1</v>
      </c>
      <c r="BQ21" s="333">
        <f t="shared" si="119"/>
        <v>1</v>
      </c>
      <c r="BR21" s="432">
        <f t="shared" si="120"/>
        <v>1</v>
      </c>
      <c r="BS21" s="432">
        <f t="shared" si="121"/>
        <v>1</v>
      </c>
      <c r="BT21" s="433">
        <f t="shared" si="122"/>
        <v>1</v>
      </c>
      <c r="BU21" s="333">
        <f t="shared" si="123"/>
        <v>1</v>
      </c>
      <c r="BV21" s="432">
        <f t="shared" si="124"/>
        <v>1</v>
      </c>
      <c r="BW21" s="432">
        <f t="shared" si="125"/>
        <v>1</v>
      </c>
      <c r="BX21" s="433">
        <f t="shared" si="126"/>
        <v>1</v>
      </c>
      <c r="BY21" s="333">
        <f t="shared" si="127"/>
        <v>1</v>
      </c>
      <c r="BZ21" s="432">
        <f t="shared" si="128"/>
        <v>1</v>
      </c>
      <c r="CA21" s="432">
        <f t="shared" si="129"/>
        <v>1</v>
      </c>
      <c r="CB21" s="433">
        <f t="shared" si="130"/>
        <v>1</v>
      </c>
      <c r="CC21" s="333">
        <f t="shared" si="131"/>
        <v>1</v>
      </c>
      <c r="CD21" s="432">
        <f t="shared" si="132"/>
        <v>1</v>
      </c>
      <c r="CE21" s="432">
        <f t="shared" si="133"/>
        <v>1</v>
      </c>
      <c r="CF21" s="433">
        <f t="shared" si="134"/>
        <v>1</v>
      </c>
      <c r="CG21" s="333">
        <f t="shared" si="135"/>
        <v>1</v>
      </c>
      <c r="CH21" s="432">
        <f t="shared" si="136"/>
        <v>1</v>
      </c>
      <c r="CI21" s="432">
        <f t="shared" si="137"/>
        <v>1</v>
      </c>
      <c r="CJ21" s="433">
        <f t="shared" si="138"/>
        <v>1</v>
      </c>
      <c r="CK21" s="333">
        <f t="shared" si="139"/>
        <v>1</v>
      </c>
      <c r="CL21" s="432">
        <f t="shared" si="140"/>
        <v>1</v>
      </c>
      <c r="CM21" s="432">
        <f t="shared" si="141"/>
        <v>1</v>
      </c>
      <c r="CN21" s="433">
        <f t="shared" si="142"/>
        <v>1</v>
      </c>
      <c r="CO21" s="333">
        <f t="shared" si="143"/>
        <v>1</v>
      </c>
      <c r="CP21" s="432">
        <f t="shared" si="144"/>
        <v>1</v>
      </c>
      <c r="CQ21" s="432">
        <f t="shared" si="145"/>
        <v>1</v>
      </c>
      <c r="CR21" s="433">
        <f t="shared" si="146"/>
        <v>1</v>
      </c>
      <c r="CS21" s="333">
        <f t="shared" si="147"/>
        <v>1</v>
      </c>
      <c r="CT21" s="432">
        <f t="shared" si="148"/>
        <v>1</v>
      </c>
      <c r="CU21" s="432">
        <f t="shared" si="149"/>
        <v>1</v>
      </c>
      <c r="CV21" s="433">
        <f t="shared" si="150"/>
        <v>1</v>
      </c>
      <c r="CW21" s="333">
        <f t="shared" si="151"/>
        <v>1</v>
      </c>
      <c r="CX21" s="432">
        <f t="shared" si="152"/>
        <v>1</v>
      </c>
      <c r="CY21" s="432">
        <f t="shared" si="153"/>
        <v>1</v>
      </c>
      <c r="CZ21" s="433">
        <f t="shared" si="154"/>
        <v>1</v>
      </c>
      <c r="DA21" s="333">
        <f t="shared" si="155"/>
        <v>1</v>
      </c>
      <c r="DB21" s="432">
        <f t="shared" si="156"/>
        <v>1</v>
      </c>
      <c r="DC21" s="432">
        <f t="shared" si="157"/>
        <v>1</v>
      </c>
      <c r="DD21" s="433">
        <f t="shared" si="158"/>
        <v>1</v>
      </c>
      <c r="DE21" s="333">
        <f t="shared" si="159"/>
        <v>1</v>
      </c>
      <c r="DF21" s="432">
        <f t="shared" si="160"/>
        <v>1</v>
      </c>
      <c r="DG21" s="432">
        <f t="shared" si="161"/>
        <v>1</v>
      </c>
      <c r="DH21" s="433">
        <f t="shared" si="162"/>
        <v>1</v>
      </c>
      <c r="DI21" s="333">
        <f t="shared" si="163"/>
        <v>1</v>
      </c>
      <c r="DJ21" s="432">
        <f t="shared" si="164"/>
        <v>1</v>
      </c>
      <c r="DK21" s="432">
        <f t="shared" si="165"/>
        <v>1</v>
      </c>
      <c r="DL21" s="433">
        <f t="shared" si="166"/>
        <v>1</v>
      </c>
      <c r="DM21" s="333">
        <f t="shared" si="167"/>
        <v>1</v>
      </c>
      <c r="DN21" s="432">
        <f t="shared" si="168"/>
        <v>1</v>
      </c>
      <c r="DO21" s="432">
        <f t="shared" si="169"/>
        <v>1</v>
      </c>
      <c r="DP21" s="433">
        <f t="shared" si="170"/>
        <v>1</v>
      </c>
      <c r="DQ21" s="333">
        <f t="shared" si="171"/>
        <v>1</v>
      </c>
      <c r="DR21" s="432">
        <f t="shared" si="172"/>
        <v>1</v>
      </c>
      <c r="DS21" s="432">
        <f t="shared" si="173"/>
        <v>1</v>
      </c>
      <c r="DT21" s="433">
        <f t="shared" si="174"/>
        <v>1</v>
      </c>
      <c r="DU21" s="333">
        <f t="shared" si="175"/>
        <v>1</v>
      </c>
      <c r="DV21" s="432">
        <f t="shared" si="176"/>
        <v>1</v>
      </c>
      <c r="DW21" s="432">
        <f t="shared" si="177"/>
        <v>1</v>
      </c>
      <c r="DX21" s="433">
        <f t="shared" si="178"/>
        <v>1</v>
      </c>
      <c r="DY21" s="333">
        <f t="shared" si="179"/>
        <v>1</v>
      </c>
      <c r="DZ21" s="432">
        <f t="shared" si="180"/>
        <v>1</v>
      </c>
      <c r="EA21" s="432">
        <f t="shared" si="181"/>
        <v>1</v>
      </c>
      <c r="EB21" s="433">
        <f t="shared" si="182"/>
        <v>1</v>
      </c>
      <c r="EC21" s="333">
        <f t="shared" si="183"/>
        <v>1</v>
      </c>
      <c r="ED21" s="432">
        <f t="shared" si="184"/>
        <v>1</v>
      </c>
      <c r="EE21" s="432">
        <f t="shared" si="185"/>
        <v>1</v>
      </c>
      <c r="EF21" s="433">
        <f t="shared" si="186"/>
        <v>1</v>
      </c>
      <c r="EG21" s="333">
        <f t="shared" si="187"/>
        <v>1</v>
      </c>
      <c r="EH21" s="432">
        <f t="shared" si="188"/>
        <v>1</v>
      </c>
      <c r="EI21" s="432">
        <f t="shared" si="189"/>
        <v>1</v>
      </c>
      <c r="EJ21" s="433">
        <f t="shared" si="190"/>
        <v>1</v>
      </c>
      <c r="EK21" s="333">
        <f t="shared" si="191"/>
        <v>1</v>
      </c>
      <c r="EL21" s="432">
        <f t="shared" si="192"/>
        <v>1</v>
      </c>
      <c r="EM21" s="432">
        <f t="shared" si="193"/>
        <v>1</v>
      </c>
      <c r="EN21" s="433">
        <f t="shared" si="194"/>
        <v>1</v>
      </c>
      <c r="EO21" s="333">
        <f t="shared" si="195"/>
        <v>1</v>
      </c>
      <c r="EP21" s="432">
        <f t="shared" si="196"/>
        <v>1</v>
      </c>
      <c r="EQ21" s="432">
        <f t="shared" si="197"/>
        <v>1</v>
      </c>
      <c r="ER21" s="433">
        <f t="shared" si="198"/>
        <v>1</v>
      </c>
      <c r="ES21" s="333">
        <f t="shared" si="199"/>
        <v>1</v>
      </c>
      <c r="ET21" s="432">
        <f t="shared" si="200"/>
        <v>1</v>
      </c>
      <c r="EU21" s="432">
        <f t="shared" si="201"/>
        <v>1</v>
      </c>
      <c r="EV21" s="433">
        <f t="shared" si="202"/>
        <v>1</v>
      </c>
      <c r="EW21" s="263">
        <f t="shared" si="206"/>
        <v>30</v>
      </c>
      <c r="EX21" s="263">
        <v>16</v>
      </c>
      <c r="EY21" s="263">
        <f t="shared" si="203"/>
        <v>8</v>
      </c>
      <c r="EZ21" s="263">
        <f t="shared" si="204"/>
        <v>13440</v>
      </c>
      <c r="FA21" s="263">
        <f t="shared" si="205"/>
        <v>7200</v>
      </c>
    </row>
    <row r="22" spans="2:157" s="268" customFormat="1" ht="29.25" customHeight="1">
      <c r="B22" s="257"/>
      <c r="C22" s="14" t="s">
        <v>247</v>
      </c>
      <c r="D22" s="15" t="s">
        <v>149</v>
      </c>
      <c r="E22" s="329">
        <v>1</v>
      </c>
      <c r="F22" s="16"/>
      <c r="G22" s="414"/>
      <c r="H22" s="17"/>
      <c r="I22" s="333"/>
      <c r="J22" s="261"/>
      <c r="K22" s="261"/>
      <c r="L22" s="262"/>
      <c r="M22" s="260"/>
      <c r="N22" s="261"/>
      <c r="O22" s="261"/>
      <c r="P22" s="262"/>
      <c r="Q22" s="260"/>
      <c r="R22" s="261"/>
      <c r="S22" s="261"/>
      <c r="T22" s="262"/>
      <c r="U22" s="260"/>
      <c r="V22" s="261"/>
      <c r="W22" s="261"/>
      <c r="X22" s="262"/>
      <c r="Y22" s="333"/>
      <c r="Z22" s="261"/>
      <c r="AA22" s="261"/>
      <c r="AB22" s="262"/>
      <c r="AC22" s="260"/>
      <c r="AD22" s="261"/>
      <c r="AE22" s="261"/>
      <c r="AF22" s="262"/>
      <c r="AG22" s="333">
        <f t="shared" si="83"/>
        <v>1</v>
      </c>
      <c r="AH22" s="432">
        <f t="shared" si="84"/>
        <v>1</v>
      </c>
      <c r="AI22" s="432">
        <f t="shared" si="85"/>
        <v>1</v>
      </c>
      <c r="AJ22" s="433">
        <f t="shared" si="86"/>
        <v>1</v>
      </c>
      <c r="AK22" s="333">
        <f t="shared" si="87"/>
        <v>1</v>
      </c>
      <c r="AL22" s="432">
        <f t="shared" si="88"/>
        <v>1</v>
      </c>
      <c r="AM22" s="432">
        <f t="shared" si="89"/>
        <v>1</v>
      </c>
      <c r="AN22" s="433">
        <f t="shared" si="90"/>
        <v>1</v>
      </c>
      <c r="AO22" s="333">
        <f t="shared" si="91"/>
        <v>1</v>
      </c>
      <c r="AP22" s="432">
        <f t="shared" si="92"/>
        <v>1</v>
      </c>
      <c r="AQ22" s="432">
        <f t="shared" si="93"/>
        <v>1</v>
      </c>
      <c r="AR22" s="433">
        <f t="shared" si="94"/>
        <v>1</v>
      </c>
      <c r="AS22" s="333">
        <f t="shared" si="95"/>
        <v>1</v>
      </c>
      <c r="AT22" s="432">
        <f t="shared" si="96"/>
        <v>1</v>
      </c>
      <c r="AU22" s="432">
        <f t="shared" si="97"/>
        <v>1</v>
      </c>
      <c r="AV22" s="433">
        <f t="shared" si="98"/>
        <v>1</v>
      </c>
      <c r="AW22" s="333">
        <f t="shared" si="99"/>
        <v>1</v>
      </c>
      <c r="AX22" s="432">
        <f t="shared" si="100"/>
        <v>1</v>
      </c>
      <c r="AY22" s="432">
        <f t="shared" si="101"/>
        <v>1</v>
      </c>
      <c r="AZ22" s="433">
        <f t="shared" si="102"/>
        <v>1</v>
      </c>
      <c r="BA22" s="333">
        <f t="shared" si="103"/>
        <v>1</v>
      </c>
      <c r="BB22" s="432">
        <f t="shared" si="104"/>
        <v>1</v>
      </c>
      <c r="BC22" s="432">
        <f t="shared" si="105"/>
        <v>1</v>
      </c>
      <c r="BD22" s="433">
        <f t="shared" si="106"/>
        <v>1</v>
      </c>
      <c r="BE22" s="333">
        <f t="shared" si="107"/>
        <v>1</v>
      </c>
      <c r="BF22" s="432">
        <f t="shared" si="108"/>
        <v>1</v>
      </c>
      <c r="BG22" s="432">
        <f t="shared" si="109"/>
        <v>1</v>
      </c>
      <c r="BH22" s="433">
        <f t="shared" si="110"/>
        <v>1</v>
      </c>
      <c r="BI22" s="333">
        <f t="shared" si="111"/>
        <v>1</v>
      </c>
      <c r="BJ22" s="432">
        <f t="shared" si="112"/>
        <v>1</v>
      </c>
      <c r="BK22" s="432">
        <f t="shared" si="113"/>
        <v>1</v>
      </c>
      <c r="BL22" s="433">
        <f t="shared" si="114"/>
        <v>1</v>
      </c>
      <c r="BM22" s="333">
        <f t="shared" si="115"/>
        <v>1</v>
      </c>
      <c r="BN22" s="432">
        <f t="shared" si="116"/>
        <v>1</v>
      </c>
      <c r="BO22" s="432">
        <f t="shared" si="117"/>
        <v>1</v>
      </c>
      <c r="BP22" s="433">
        <f t="shared" si="118"/>
        <v>1</v>
      </c>
      <c r="BQ22" s="333">
        <f t="shared" si="119"/>
        <v>1</v>
      </c>
      <c r="BR22" s="432">
        <f t="shared" si="120"/>
        <v>1</v>
      </c>
      <c r="BS22" s="432">
        <f t="shared" si="121"/>
        <v>1</v>
      </c>
      <c r="BT22" s="433">
        <f t="shared" si="122"/>
        <v>1</v>
      </c>
      <c r="BU22" s="333">
        <f t="shared" si="123"/>
        <v>1</v>
      </c>
      <c r="BV22" s="432">
        <f t="shared" si="124"/>
        <v>1</v>
      </c>
      <c r="BW22" s="432">
        <f t="shared" si="125"/>
        <v>1</v>
      </c>
      <c r="BX22" s="433">
        <f t="shared" si="126"/>
        <v>1</v>
      </c>
      <c r="BY22" s="333">
        <f t="shared" si="127"/>
        <v>1</v>
      </c>
      <c r="BZ22" s="432">
        <f t="shared" si="128"/>
        <v>1</v>
      </c>
      <c r="CA22" s="432">
        <f t="shared" si="129"/>
        <v>1</v>
      </c>
      <c r="CB22" s="433">
        <f t="shared" si="130"/>
        <v>1</v>
      </c>
      <c r="CC22" s="333">
        <f t="shared" si="131"/>
        <v>1</v>
      </c>
      <c r="CD22" s="432">
        <f t="shared" si="132"/>
        <v>1</v>
      </c>
      <c r="CE22" s="432">
        <f t="shared" si="133"/>
        <v>1</v>
      </c>
      <c r="CF22" s="433">
        <f t="shared" si="134"/>
        <v>1</v>
      </c>
      <c r="CG22" s="333">
        <f t="shared" si="135"/>
        <v>1</v>
      </c>
      <c r="CH22" s="432">
        <f t="shared" si="136"/>
        <v>1</v>
      </c>
      <c r="CI22" s="432">
        <f t="shared" si="137"/>
        <v>1</v>
      </c>
      <c r="CJ22" s="433">
        <f t="shared" si="138"/>
        <v>1</v>
      </c>
      <c r="CK22" s="333">
        <f t="shared" si="139"/>
        <v>1</v>
      </c>
      <c r="CL22" s="432">
        <f t="shared" si="140"/>
        <v>1</v>
      </c>
      <c r="CM22" s="432">
        <f t="shared" si="141"/>
        <v>1</v>
      </c>
      <c r="CN22" s="433">
        <f t="shared" si="142"/>
        <v>1</v>
      </c>
      <c r="CO22" s="333">
        <f t="shared" si="143"/>
        <v>1</v>
      </c>
      <c r="CP22" s="432">
        <f t="shared" si="144"/>
        <v>1</v>
      </c>
      <c r="CQ22" s="432">
        <f t="shared" si="145"/>
        <v>1</v>
      </c>
      <c r="CR22" s="433">
        <f t="shared" si="146"/>
        <v>1</v>
      </c>
      <c r="CS22" s="333">
        <f t="shared" si="147"/>
        <v>1</v>
      </c>
      <c r="CT22" s="432">
        <f t="shared" si="148"/>
        <v>1</v>
      </c>
      <c r="CU22" s="432">
        <f t="shared" si="149"/>
        <v>1</v>
      </c>
      <c r="CV22" s="433">
        <f t="shared" si="150"/>
        <v>1</v>
      </c>
      <c r="CW22" s="333">
        <f t="shared" si="151"/>
        <v>1</v>
      </c>
      <c r="CX22" s="432">
        <f t="shared" si="152"/>
        <v>1</v>
      </c>
      <c r="CY22" s="432">
        <f t="shared" si="153"/>
        <v>1</v>
      </c>
      <c r="CZ22" s="433">
        <f t="shared" si="154"/>
        <v>1</v>
      </c>
      <c r="DA22" s="333">
        <f t="shared" si="155"/>
        <v>1</v>
      </c>
      <c r="DB22" s="432">
        <f t="shared" si="156"/>
        <v>1</v>
      </c>
      <c r="DC22" s="432">
        <f t="shared" si="157"/>
        <v>1</v>
      </c>
      <c r="DD22" s="433">
        <f t="shared" si="158"/>
        <v>1</v>
      </c>
      <c r="DE22" s="333">
        <f t="shared" si="159"/>
        <v>1</v>
      </c>
      <c r="DF22" s="432">
        <f t="shared" si="160"/>
        <v>1</v>
      </c>
      <c r="DG22" s="432">
        <f t="shared" si="161"/>
        <v>1</v>
      </c>
      <c r="DH22" s="433">
        <f t="shared" si="162"/>
        <v>1</v>
      </c>
      <c r="DI22" s="333">
        <f t="shared" si="163"/>
        <v>1</v>
      </c>
      <c r="DJ22" s="432">
        <f t="shared" si="164"/>
        <v>1</v>
      </c>
      <c r="DK22" s="432">
        <f t="shared" si="165"/>
        <v>1</v>
      </c>
      <c r="DL22" s="433">
        <f t="shared" si="166"/>
        <v>1</v>
      </c>
      <c r="DM22" s="333">
        <f t="shared" si="167"/>
        <v>1</v>
      </c>
      <c r="DN22" s="432">
        <f t="shared" si="168"/>
        <v>1</v>
      </c>
      <c r="DO22" s="432">
        <f t="shared" si="169"/>
        <v>1</v>
      </c>
      <c r="DP22" s="433">
        <f t="shared" si="170"/>
        <v>1</v>
      </c>
      <c r="DQ22" s="333">
        <f t="shared" si="171"/>
        <v>1</v>
      </c>
      <c r="DR22" s="432">
        <f t="shared" si="172"/>
        <v>1</v>
      </c>
      <c r="DS22" s="432">
        <f t="shared" si="173"/>
        <v>1</v>
      </c>
      <c r="DT22" s="433">
        <f t="shared" si="174"/>
        <v>1</v>
      </c>
      <c r="DU22" s="333">
        <f t="shared" si="175"/>
        <v>1</v>
      </c>
      <c r="DV22" s="432">
        <f t="shared" si="176"/>
        <v>1</v>
      </c>
      <c r="DW22" s="432">
        <f t="shared" si="177"/>
        <v>1</v>
      </c>
      <c r="DX22" s="433">
        <f t="shared" si="178"/>
        <v>1</v>
      </c>
      <c r="DY22" s="333">
        <f t="shared" si="179"/>
        <v>1</v>
      </c>
      <c r="DZ22" s="432">
        <f t="shared" si="180"/>
        <v>1</v>
      </c>
      <c r="EA22" s="432">
        <f t="shared" si="181"/>
        <v>1</v>
      </c>
      <c r="EB22" s="433">
        <f t="shared" si="182"/>
        <v>1</v>
      </c>
      <c r="EC22" s="333">
        <f t="shared" si="183"/>
        <v>1</v>
      </c>
      <c r="ED22" s="432">
        <f t="shared" si="184"/>
        <v>1</v>
      </c>
      <c r="EE22" s="432">
        <f t="shared" si="185"/>
        <v>1</v>
      </c>
      <c r="EF22" s="433">
        <f t="shared" si="186"/>
        <v>1</v>
      </c>
      <c r="EG22" s="333">
        <f t="shared" si="187"/>
        <v>1</v>
      </c>
      <c r="EH22" s="432">
        <f t="shared" si="188"/>
        <v>1</v>
      </c>
      <c r="EI22" s="432">
        <f t="shared" si="189"/>
        <v>1</v>
      </c>
      <c r="EJ22" s="433">
        <f t="shared" si="190"/>
        <v>1</v>
      </c>
      <c r="EK22" s="333">
        <f t="shared" si="191"/>
        <v>1</v>
      </c>
      <c r="EL22" s="432">
        <f t="shared" si="192"/>
        <v>1</v>
      </c>
      <c r="EM22" s="432">
        <f t="shared" si="193"/>
        <v>1</v>
      </c>
      <c r="EN22" s="433">
        <f t="shared" si="194"/>
        <v>1</v>
      </c>
      <c r="EO22" s="333">
        <f t="shared" si="195"/>
        <v>1</v>
      </c>
      <c r="EP22" s="432">
        <f t="shared" si="196"/>
        <v>1</v>
      </c>
      <c r="EQ22" s="432">
        <f t="shared" si="197"/>
        <v>1</v>
      </c>
      <c r="ER22" s="433">
        <f t="shared" si="198"/>
        <v>1</v>
      </c>
      <c r="ES22" s="333">
        <f t="shared" si="199"/>
        <v>1</v>
      </c>
      <c r="ET22" s="432">
        <f t="shared" si="200"/>
        <v>1</v>
      </c>
      <c r="EU22" s="432">
        <f t="shared" si="201"/>
        <v>1</v>
      </c>
      <c r="EV22" s="433">
        <f t="shared" si="202"/>
        <v>1</v>
      </c>
      <c r="EW22" s="263">
        <f t="shared" si="206"/>
        <v>30</v>
      </c>
      <c r="EX22" s="263">
        <v>16</v>
      </c>
      <c r="EY22" s="263">
        <f t="shared" si="203"/>
        <v>8</v>
      </c>
      <c r="EZ22" s="263">
        <f t="shared" ref="EZ22:EZ36" si="207">+EW22*EX22*28</f>
        <v>13440</v>
      </c>
      <c r="FA22" s="263">
        <f t="shared" ref="FA22:FA36" si="208">+EW22*EY22*30</f>
        <v>7200</v>
      </c>
    </row>
    <row r="23" spans="2:157" s="268" customFormat="1" ht="29.25" customHeight="1">
      <c r="B23" s="257"/>
      <c r="C23" s="14" t="s">
        <v>248</v>
      </c>
      <c r="D23" s="15" t="s">
        <v>149</v>
      </c>
      <c r="E23" s="329">
        <v>1</v>
      </c>
      <c r="F23" s="16"/>
      <c r="G23" s="414"/>
      <c r="H23" s="17"/>
      <c r="I23" s="333"/>
      <c r="J23" s="261"/>
      <c r="K23" s="261"/>
      <c r="L23" s="262"/>
      <c r="M23" s="260"/>
      <c r="N23" s="261"/>
      <c r="O23" s="261"/>
      <c r="P23" s="262"/>
      <c r="Q23" s="260"/>
      <c r="R23" s="261"/>
      <c r="S23" s="261"/>
      <c r="T23" s="262"/>
      <c r="U23" s="260"/>
      <c r="V23" s="261"/>
      <c r="W23" s="261"/>
      <c r="X23" s="262"/>
      <c r="Y23" s="333"/>
      <c r="Z23" s="261"/>
      <c r="AA23" s="261"/>
      <c r="AB23" s="262"/>
      <c r="AC23" s="260"/>
      <c r="AD23" s="261"/>
      <c r="AE23" s="261"/>
      <c r="AF23" s="262"/>
      <c r="AG23" s="333">
        <f t="shared" si="83"/>
        <v>1</v>
      </c>
      <c r="AH23" s="432">
        <f t="shared" si="84"/>
        <v>1</v>
      </c>
      <c r="AI23" s="432">
        <f t="shared" si="85"/>
        <v>1</v>
      </c>
      <c r="AJ23" s="433">
        <f t="shared" si="86"/>
        <v>1</v>
      </c>
      <c r="AK23" s="333">
        <f t="shared" si="87"/>
        <v>1</v>
      </c>
      <c r="AL23" s="432">
        <f t="shared" si="88"/>
        <v>1</v>
      </c>
      <c r="AM23" s="432">
        <f t="shared" si="89"/>
        <v>1</v>
      </c>
      <c r="AN23" s="433">
        <f t="shared" si="90"/>
        <v>1</v>
      </c>
      <c r="AO23" s="333">
        <f t="shared" si="91"/>
        <v>1</v>
      </c>
      <c r="AP23" s="432">
        <f t="shared" si="92"/>
        <v>1</v>
      </c>
      <c r="AQ23" s="432">
        <f t="shared" si="93"/>
        <v>1</v>
      </c>
      <c r="AR23" s="433">
        <f t="shared" si="94"/>
        <v>1</v>
      </c>
      <c r="AS23" s="333">
        <f t="shared" si="95"/>
        <v>1</v>
      </c>
      <c r="AT23" s="432">
        <f t="shared" si="96"/>
        <v>1</v>
      </c>
      <c r="AU23" s="432">
        <f t="shared" si="97"/>
        <v>1</v>
      </c>
      <c r="AV23" s="433">
        <f t="shared" si="98"/>
        <v>1</v>
      </c>
      <c r="AW23" s="333">
        <f t="shared" si="99"/>
        <v>1</v>
      </c>
      <c r="AX23" s="432">
        <f t="shared" si="100"/>
        <v>1</v>
      </c>
      <c r="AY23" s="432">
        <f t="shared" si="101"/>
        <v>1</v>
      </c>
      <c r="AZ23" s="433">
        <f t="shared" si="102"/>
        <v>1</v>
      </c>
      <c r="BA23" s="333">
        <f t="shared" si="103"/>
        <v>1</v>
      </c>
      <c r="BB23" s="432">
        <f t="shared" si="104"/>
        <v>1</v>
      </c>
      <c r="BC23" s="432">
        <f t="shared" si="105"/>
        <v>1</v>
      </c>
      <c r="BD23" s="433">
        <f t="shared" si="106"/>
        <v>1</v>
      </c>
      <c r="BE23" s="333">
        <f t="shared" si="107"/>
        <v>1</v>
      </c>
      <c r="BF23" s="432">
        <f t="shared" si="108"/>
        <v>1</v>
      </c>
      <c r="BG23" s="432">
        <f t="shared" si="109"/>
        <v>1</v>
      </c>
      <c r="BH23" s="433">
        <f t="shared" si="110"/>
        <v>1</v>
      </c>
      <c r="BI23" s="333">
        <f t="shared" si="111"/>
        <v>1</v>
      </c>
      <c r="BJ23" s="432">
        <f t="shared" si="112"/>
        <v>1</v>
      </c>
      <c r="BK23" s="432">
        <f t="shared" si="113"/>
        <v>1</v>
      </c>
      <c r="BL23" s="433">
        <f t="shared" si="114"/>
        <v>1</v>
      </c>
      <c r="BM23" s="333">
        <f t="shared" si="115"/>
        <v>1</v>
      </c>
      <c r="BN23" s="432">
        <f t="shared" si="116"/>
        <v>1</v>
      </c>
      <c r="BO23" s="432">
        <f t="shared" si="117"/>
        <v>1</v>
      </c>
      <c r="BP23" s="433">
        <f t="shared" si="118"/>
        <v>1</v>
      </c>
      <c r="BQ23" s="333">
        <f t="shared" si="119"/>
        <v>1</v>
      </c>
      <c r="BR23" s="432">
        <f t="shared" si="120"/>
        <v>1</v>
      </c>
      <c r="BS23" s="432">
        <f t="shared" si="121"/>
        <v>1</v>
      </c>
      <c r="BT23" s="433">
        <f t="shared" si="122"/>
        <v>1</v>
      </c>
      <c r="BU23" s="333">
        <f t="shared" si="123"/>
        <v>1</v>
      </c>
      <c r="BV23" s="432">
        <f t="shared" si="124"/>
        <v>1</v>
      </c>
      <c r="BW23" s="432">
        <f t="shared" si="125"/>
        <v>1</v>
      </c>
      <c r="BX23" s="433">
        <f t="shared" si="126"/>
        <v>1</v>
      </c>
      <c r="BY23" s="333">
        <f t="shared" si="127"/>
        <v>1</v>
      </c>
      <c r="BZ23" s="432">
        <f t="shared" si="128"/>
        <v>1</v>
      </c>
      <c r="CA23" s="432">
        <f t="shared" si="129"/>
        <v>1</v>
      </c>
      <c r="CB23" s="433">
        <f t="shared" si="130"/>
        <v>1</v>
      </c>
      <c r="CC23" s="333">
        <f t="shared" si="131"/>
        <v>1</v>
      </c>
      <c r="CD23" s="432">
        <f t="shared" si="132"/>
        <v>1</v>
      </c>
      <c r="CE23" s="432">
        <f t="shared" si="133"/>
        <v>1</v>
      </c>
      <c r="CF23" s="433">
        <f t="shared" si="134"/>
        <v>1</v>
      </c>
      <c r="CG23" s="333">
        <f t="shared" si="135"/>
        <v>1</v>
      </c>
      <c r="CH23" s="432">
        <f t="shared" si="136"/>
        <v>1</v>
      </c>
      <c r="CI23" s="432">
        <f t="shared" si="137"/>
        <v>1</v>
      </c>
      <c r="CJ23" s="433">
        <f t="shared" si="138"/>
        <v>1</v>
      </c>
      <c r="CK23" s="333">
        <f t="shared" si="139"/>
        <v>1</v>
      </c>
      <c r="CL23" s="432">
        <f t="shared" si="140"/>
        <v>1</v>
      </c>
      <c r="CM23" s="432">
        <f t="shared" si="141"/>
        <v>1</v>
      </c>
      <c r="CN23" s="433">
        <f t="shared" si="142"/>
        <v>1</v>
      </c>
      <c r="CO23" s="333">
        <f t="shared" si="143"/>
        <v>1</v>
      </c>
      <c r="CP23" s="432">
        <f t="shared" si="144"/>
        <v>1</v>
      </c>
      <c r="CQ23" s="432">
        <f t="shared" si="145"/>
        <v>1</v>
      </c>
      <c r="CR23" s="433">
        <f t="shared" si="146"/>
        <v>1</v>
      </c>
      <c r="CS23" s="333">
        <f t="shared" si="147"/>
        <v>1</v>
      </c>
      <c r="CT23" s="432">
        <f t="shared" si="148"/>
        <v>1</v>
      </c>
      <c r="CU23" s="432">
        <f t="shared" si="149"/>
        <v>1</v>
      </c>
      <c r="CV23" s="433">
        <f t="shared" si="150"/>
        <v>1</v>
      </c>
      <c r="CW23" s="333">
        <f t="shared" si="151"/>
        <v>1</v>
      </c>
      <c r="CX23" s="432">
        <f t="shared" si="152"/>
        <v>1</v>
      </c>
      <c r="CY23" s="432">
        <f t="shared" si="153"/>
        <v>1</v>
      </c>
      <c r="CZ23" s="433">
        <f t="shared" si="154"/>
        <v>1</v>
      </c>
      <c r="DA23" s="333">
        <f t="shared" si="155"/>
        <v>1</v>
      </c>
      <c r="DB23" s="432">
        <f t="shared" si="156"/>
        <v>1</v>
      </c>
      <c r="DC23" s="432">
        <f t="shared" si="157"/>
        <v>1</v>
      </c>
      <c r="DD23" s="433">
        <f t="shared" si="158"/>
        <v>1</v>
      </c>
      <c r="DE23" s="333">
        <f t="shared" si="159"/>
        <v>1</v>
      </c>
      <c r="DF23" s="432">
        <f t="shared" si="160"/>
        <v>1</v>
      </c>
      <c r="DG23" s="432">
        <f t="shared" si="161"/>
        <v>1</v>
      </c>
      <c r="DH23" s="433">
        <f t="shared" si="162"/>
        <v>1</v>
      </c>
      <c r="DI23" s="333">
        <f t="shared" si="163"/>
        <v>1</v>
      </c>
      <c r="DJ23" s="432">
        <f t="shared" si="164"/>
        <v>1</v>
      </c>
      <c r="DK23" s="432">
        <f t="shared" si="165"/>
        <v>1</v>
      </c>
      <c r="DL23" s="433">
        <f t="shared" si="166"/>
        <v>1</v>
      </c>
      <c r="DM23" s="333">
        <f t="shared" si="167"/>
        <v>1</v>
      </c>
      <c r="DN23" s="432">
        <f t="shared" si="168"/>
        <v>1</v>
      </c>
      <c r="DO23" s="432">
        <f t="shared" si="169"/>
        <v>1</v>
      </c>
      <c r="DP23" s="433">
        <f t="shared" si="170"/>
        <v>1</v>
      </c>
      <c r="DQ23" s="333">
        <f t="shared" si="171"/>
        <v>1</v>
      </c>
      <c r="DR23" s="432">
        <f t="shared" si="172"/>
        <v>1</v>
      </c>
      <c r="DS23" s="432">
        <f t="shared" si="173"/>
        <v>1</v>
      </c>
      <c r="DT23" s="433">
        <f t="shared" si="174"/>
        <v>1</v>
      </c>
      <c r="DU23" s="333">
        <f t="shared" si="175"/>
        <v>1</v>
      </c>
      <c r="DV23" s="432">
        <f t="shared" si="176"/>
        <v>1</v>
      </c>
      <c r="DW23" s="432">
        <f t="shared" si="177"/>
        <v>1</v>
      </c>
      <c r="DX23" s="433">
        <f t="shared" si="178"/>
        <v>1</v>
      </c>
      <c r="DY23" s="333">
        <f t="shared" si="179"/>
        <v>1</v>
      </c>
      <c r="DZ23" s="432">
        <f t="shared" si="180"/>
        <v>1</v>
      </c>
      <c r="EA23" s="432">
        <f t="shared" si="181"/>
        <v>1</v>
      </c>
      <c r="EB23" s="433">
        <f t="shared" si="182"/>
        <v>1</v>
      </c>
      <c r="EC23" s="333">
        <f t="shared" si="183"/>
        <v>1</v>
      </c>
      <c r="ED23" s="432">
        <f t="shared" si="184"/>
        <v>1</v>
      </c>
      <c r="EE23" s="432">
        <f t="shared" si="185"/>
        <v>1</v>
      </c>
      <c r="EF23" s="433">
        <f t="shared" si="186"/>
        <v>1</v>
      </c>
      <c r="EG23" s="333">
        <f t="shared" si="187"/>
        <v>1</v>
      </c>
      <c r="EH23" s="432">
        <f t="shared" si="188"/>
        <v>1</v>
      </c>
      <c r="EI23" s="432">
        <f t="shared" si="189"/>
        <v>1</v>
      </c>
      <c r="EJ23" s="433">
        <f t="shared" si="190"/>
        <v>1</v>
      </c>
      <c r="EK23" s="333">
        <f t="shared" si="191"/>
        <v>1</v>
      </c>
      <c r="EL23" s="432">
        <f t="shared" si="192"/>
        <v>1</v>
      </c>
      <c r="EM23" s="432">
        <f t="shared" si="193"/>
        <v>1</v>
      </c>
      <c r="EN23" s="433">
        <f t="shared" si="194"/>
        <v>1</v>
      </c>
      <c r="EO23" s="333">
        <f t="shared" si="195"/>
        <v>1</v>
      </c>
      <c r="EP23" s="432">
        <f t="shared" si="196"/>
        <v>1</v>
      </c>
      <c r="EQ23" s="432">
        <f t="shared" si="197"/>
        <v>1</v>
      </c>
      <c r="ER23" s="433">
        <f t="shared" si="198"/>
        <v>1</v>
      </c>
      <c r="ES23" s="333">
        <f t="shared" si="199"/>
        <v>1</v>
      </c>
      <c r="ET23" s="432">
        <f t="shared" si="200"/>
        <v>1</v>
      </c>
      <c r="EU23" s="432">
        <f t="shared" si="201"/>
        <v>1</v>
      </c>
      <c r="EV23" s="433">
        <f t="shared" si="202"/>
        <v>1</v>
      </c>
      <c r="EW23" s="263">
        <f t="shared" si="206"/>
        <v>30</v>
      </c>
      <c r="EX23" s="263">
        <v>16</v>
      </c>
      <c r="EY23" s="263">
        <f t="shared" si="203"/>
        <v>8</v>
      </c>
      <c r="EZ23" s="263">
        <f t="shared" si="207"/>
        <v>13440</v>
      </c>
      <c r="FA23" s="263">
        <f t="shared" si="208"/>
        <v>7200</v>
      </c>
    </row>
    <row r="24" spans="2:157" s="268" customFormat="1" ht="29.25" customHeight="1">
      <c r="B24" s="257"/>
      <c r="C24" s="14" t="s">
        <v>249</v>
      </c>
      <c r="D24" s="310" t="s">
        <v>149</v>
      </c>
      <c r="E24" s="329">
        <v>1</v>
      </c>
      <c r="F24" s="16"/>
      <c r="G24" s="414"/>
      <c r="H24" s="17"/>
      <c r="I24" s="333"/>
      <c r="J24" s="261"/>
      <c r="K24" s="261"/>
      <c r="L24" s="262"/>
      <c r="M24" s="260"/>
      <c r="N24" s="261"/>
      <c r="O24" s="261"/>
      <c r="P24" s="262"/>
      <c r="Q24" s="260"/>
      <c r="R24" s="261"/>
      <c r="S24" s="261"/>
      <c r="T24" s="262"/>
      <c r="U24" s="260"/>
      <c r="V24" s="261"/>
      <c r="W24" s="261"/>
      <c r="X24" s="262"/>
      <c r="Y24" s="333"/>
      <c r="Z24" s="261"/>
      <c r="AA24" s="261"/>
      <c r="AB24" s="262"/>
      <c r="AC24" s="260"/>
      <c r="AD24" s="261"/>
      <c r="AE24" s="261"/>
      <c r="AF24" s="262"/>
      <c r="AG24" s="333">
        <f t="shared" si="83"/>
        <v>1</v>
      </c>
      <c r="AH24" s="432">
        <f t="shared" si="84"/>
        <v>1</v>
      </c>
      <c r="AI24" s="432">
        <f t="shared" si="85"/>
        <v>1</v>
      </c>
      <c r="AJ24" s="433">
        <f t="shared" si="86"/>
        <v>1</v>
      </c>
      <c r="AK24" s="333">
        <f t="shared" si="87"/>
        <v>1</v>
      </c>
      <c r="AL24" s="432">
        <f t="shared" si="88"/>
        <v>1</v>
      </c>
      <c r="AM24" s="432">
        <f t="shared" si="89"/>
        <v>1</v>
      </c>
      <c r="AN24" s="433">
        <f t="shared" si="90"/>
        <v>1</v>
      </c>
      <c r="AO24" s="333">
        <f t="shared" si="91"/>
        <v>1</v>
      </c>
      <c r="AP24" s="432">
        <f t="shared" si="92"/>
        <v>1</v>
      </c>
      <c r="AQ24" s="432">
        <f t="shared" si="93"/>
        <v>1</v>
      </c>
      <c r="AR24" s="433">
        <f t="shared" si="94"/>
        <v>1</v>
      </c>
      <c r="AS24" s="333">
        <f t="shared" si="95"/>
        <v>1</v>
      </c>
      <c r="AT24" s="432">
        <f t="shared" si="96"/>
        <v>1</v>
      </c>
      <c r="AU24" s="432">
        <f t="shared" si="97"/>
        <v>1</v>
      </c>
      <c r="AV24" s="433">
        <f t="shared" si="98"/>
        <v>1</v>
      </c>
      <c r="AW24" s="333">
        <f t="shared" si="99"/>
        <v>1</v>
      </c>
      <c r="AX24" s="432">
        <f t="shared" si="100"/>
        <v>1</v>
      </c>
      <c r="AY24" s="432">
        <f t="shared" si="101"/>
        <v>1</v>
      </c>
      <c r="AZ24" s="433">
        <f t="shared" si="102"/>
        <v>1</v>
      </c>
      <c r="BA24" s="333">
        <f t="shared" si="103"/>
        <v>1</v>
      </c>
      <c r="BB24" s="432">
        <f t="shared" si="104"/>
        <v>1</v>
      </c>
      <c r="BC24" s="432">
        <f t="shared" si="105"/>
        <v>1</v>
      </c>
      <c r="BD24" s="433">
        <f t="shared" si="106"/>
        <v>1</v>
      </c>
      <c r="BE24" s="333">
        <f t="shared" si="107"/>
        <v>1</v>
      </c>
      <c r="BF24" s="432">
        <f t="shared" si="108"/>
        <v>1</v>
      </c>
      <c r="BG24" s="432">
        <f t="shared" si="109"/>
        <v>1</v>
      </c>
      <c r="BH24" s="433">
        <f t="shared" si="110"/>
        <v>1</v>
      </c>
      <c r="BI24" s="333">
        <f t="shared" si="111"/>
        <v>1</v>
      </c>
      <c r="BJ24" s="432">
        <f t="shared" si="112"/>
        <v>1</v>
      </c>
      <c r="BK24" s="432">
        <f t="shared" si="113"/>
        <v>1</v>
      </c>
      <c r="BL24" s="433">
        <f t="shared" si="114"/>
        <v>1</v>
      </c>
      <c r="BM24" s="333">
        <f t="shared" si="115"/>
        <v>1</v>
      </c>
      <c r="BN24" s="432">
        <f t="shared" si="116"/>
        <v>1</v>
      </c>
      <c r="BO24" s="432">
        <f t="shared" si="117"/>
        <v>1</v>
      </c>
      <c r="BP24" s="433">
        <f t="shared" si="118"/>
        <v>1</v>
      </c>
      <c r="BQ24" s="333">
        <f t="shared" si="119"/>
        <v>1</v>
      </c>
      <c r="BR24" s="432">
        <f t="shared" si="120"/>
        <v>1</v>
      </c>
      <c r="BS24" s="432">
        <f t="shared" si="121"/>
        <v>1</v>
      </c>
      <c r="BT24" s="433">
        <f t="shared" si="122"/>
        <v>1</v>
      </c>
      <c r="BU24" s="333">
        <f t="shared" si="123"/>
        <v>1</v>
      </c>
      <c r="BV24" s="432">
        <f t="shared" si="124"/>
        <v>1</v>
      </c>
      <c r="BW24" s="432">
        <f t="shared" si="125"/>
        <v>1</v>
      </c>
      <c r="BX24" s="433">
        <f t="shared" si="126"/>
        <v>1</v>
      </c>
      <c r="BY24" s="333">
        <f t="shared" si="127"/>
        <v>1</v>
      </c>
      <c r="BZ24" s="432">
        <f t="shared" si="128"/>
        <v>1</v>
      </c>
      <c r="CA24" s="432">
        <f t="shared" si="129"/>
        <v>1</v>
      </c>
      <c r="CB24" s="433">
        <f t="shared" si="130"/>
        <v>1</v>
      </c>
      <c r="CC24" s="333">
        <f t="shared" si="131"/>
        <v>1</v>
      </c>
      <c r="CD24" s="432">
        <f t="shared" si="132"/>
        <v>1</v>
      </c>
      <c r="CE24" s="432">
        <f t="shared" si="133"/>
        <v>1</v>
      </c>
      <c r="CF24" s="433">
        <f t="shared" si="134"/>
        <v>1</v>
      </c>
      <c r="CG24" s="333">
        <f t="shared" si="135"/>
        <v>1</v>
      </c>
      <c r="CH24" s="432">
        <f t="shared" si="136"/>
        <v>1</v>
      </c>
      <c r="CI24" s="432">
        <f t="shared" si="137"/>
        <v>1</v>
      </c>
      <c r="CJ24" s="433">
        <f t="shared" si="138"/>
        <v>1</v>
      </c>
      <c r="CK24" s="333">
        <f t="shared" si="139"/>
        <v>1</v>
      </c>
      <c r="CL24" s="432">
        <f t="shared" si="140"/>
        <v>1</v>
      </c>
      <c r="CM24" s="432">
        <f t="shared" si="141"/>
        <v>1</v>
      </c>
      <c r="CN24" s="433">
        <f t="shared" si="142"/>
        <v>1</v>
      </c>
      <c r="CO24" s="333">
        <f t="shared" si="143"/>
        <v>1</v>
      </c>
      <c r="CP24" s="432">
        <f t="shared" si="144"/>
        <v>1</v>
      </c>
      <c r="CQ24" s="432">
        <f t="shared" si="145"/>
        <v>1</v>
      </c>
      <c r="CR24" s="433">
        <f t="shared" si="146"/>
        <v>1</v>
      </c>
      <c r="CS24" s="333">
        <f t="shared" si="147"/>
        <v>1</v>
      </c>
      <c r="CT24" s="432">
        <f t="shared" si="148"/>
        <v>1</v>
      </c>
      <c r="CU24" s="432">
        <f t="shared" si="149"/>
        <v>1</v>
      </c>
      <c r="CV24" s="433">
        <f t="shared" si="150"/>
        <v>1</v>
      </c>
      <c r="CW24" s="333">
        <f t="shared" si="151"/>
        <v>1</v>
      </c>
      <c r="CX24" s="432">
        <f t="shared" si="152"/>
        <v>1</v>
      </c>
      <c r="CY24" s="432">
        <f t="shared" si="153"/>
        <v>1</v>
      </c>
      <c r="CZ24" s="433">
        <f t="shared" si="154"/>
        <v>1</v>
      </c>
      <c r="DA24" s="333">
        <f t="shared" si="155"/>
        <v>1</v>
      </c>
      <c r="DB24" s="432">
        <f t="shared" si="156"/>
        <v>1</v>
      </c>
      <c r="DC24" s="432">
        <f t="shared" si="157"/>
        <v>1</v>
      </c>
      <c r="DD24" s="433">
        <f t="shared" si="158"/>
        <v>1</v>
      </c>
      <c r="DE24" s="333">
        <f t="shared" si="159"/>
        <v>1</v>
      </c>
      <c r="DF24" s="432">
        <f t="shared" si="160"/>
        <v>1</v>
      </c>
      <c r="DG24" s="432">
        <f t="shared" si="161"/>
        <v>1</v>
      </c>
      <c r="DH24" s="433">
        <f t="shared" si="162"/>
        <v>1</v>
      </c>
      <c r="DI24" s="333">
        <f t="shared" si="163"/>
        <v>1</v>
      </c>
      <c r="DJ24" s="432">
        <f t="shared" si="164"/>
        <v>1</v>
      </c>
      <c r="DK24" s="432">
        <f t="shared" si="165"/>
        <v>1</v>
      </c>
      <c r="DL24" s="433">
        <f t="shared" si="166"/>
        <v>1</v>
      </c>
      <c r="DM24" s="333">
        <f t="shared" si="167"/>
        <v>1</v>
      </c>
      <c r="DN24" s="432">
        <f t="shared" si="168"/>
        <v>1</v>
      </c>
      <c r="DO24" s="432">
        <f t="shared" si="169"/>
        <v>1</v>
      </c>
      <c r="DP24" s="433">
        <f t="shared" si="170"/>
        <v>1</v>
      </c>
      <c r="DQ24" s="333">
        <f t="shared" si="171"/>
        <v>1</v>
      </c>
      <c r="DR24" s="432">
        <f t="shared" si="172"/>
        <v>1</v>
      </c>
      <c r="DS24" s="432">
        <f t="shared" si="173"/>
        <v>1</v>
      </c>
      <c r="DT24" s="433">
        <f t="shared" si="174"/>
        <v>1</v>
      </c>
      <c r="DU24" s="333">
        <f t="shared" si="175"/>
        <v>1</v>
      </c>
      <c r="DV24" s="432">
        <f t="shared" si="176"/>
        <v>1</v>
      </c>
      <c r="DW24" s="432">
        <f t="shared" si="177"/>
        <v>1</v>
      </c>
      <c r="DX24" s="433">
        <f t="shared" si="178"/>
        <v>1</v>
      </c>
      <c r="DY24" s="333">
        <f t="shared" si="179"/>
        <v>1</v>
      </c>
      <c r="DZ24" s="432">
        <f t="shared" si="180"/>
        <v>1</v>
      </c>
      <c r="EA24" s="432">
        <f t="shared" si="181"/>
        <v>1</v>
      </c>
      <c r="EB24" s="433">
        <f t="shared" si="182"/>
        <v>1</v>
      </c>
      <c r="EC24" s="333">
        <f t="shared" si="183"/>
        <v>1</v>
      </c>
      <c r="ED24" s="432">
        <f t="shared" si="184"/>
        <v>1</v>
      </c>
      <c r="EE24" s="432">
        <f t="shared" si="185"/>
        <v>1</v>
      </c>
      <c r="EF24" s="433">
        <f t="shared" si="186"/>
        <v>1</v>
      </c>
      <c r="EG24" s="333">
        <f t="shared" si="187"/>
        <v>1</v>
      </c>
      <c r="EH24" s="432">
        <f t="shared" si="188"/>
        <v>1</v>
      </c>
      <c r="EI24" s="432">
        <f t="shared" si="189"/>
        <v>1</v>
      </c>
      <c r="EJ24" s="433">
        <f t="shared" si="190"/>
        <v>1</v>
      </c>
      <c r="EK24" s="333">
        <f t="shared" si="191"/>
        <v>1</v>
      </c>
      <c r="EL24" s="432">
        <f t="shared" si="192"/>
        <v>1</v>
      </c>
      <c r="EM24" s="432">
        <f t="shared" si="193"/>
        <v>1</v>
      </c>
      <c r="EN24" s="433">
        <f t="shared" si="194"/>
        <v>1</v>
      </c>
      <c r="EO24" s="333">
        <f t="shared" si="195"/>
        <v>1</v>
      </c>
      <c r="EP24" s="432">
        <f t="shared" si="196"/>
        <v>1</v>
      </c>
      <c r="EQ24" s="432">
        <f t="shared" si="197"/>
        <v>1</v>
      </c>
      <c r="ER24" s="433">
        <f t="shared" si="198"/>
        <v>1</v>
      </c>
      <c r="ES24" s="333">
        <f t="shared" si="199"/>
        <v>1</v>
      </c>
      <c r="ET24" s="432">
        <f t="shared" si="200"/>
        <v>1</v>
      </c>
      <c r="EU24" s="432">
        <f t="shared" si="201"/>
        <v>1</v>
      </c>
      <c r="EV24" s="433">
        <f t="shared" si="202"/>
        <v>1</v>
      </c>
      <c r="EW24" s="263">
        <f t="shared" si="206"/>
        <v>30</v>
      </c>
      <c r="EX24" s="263">
        <v>16</v>
      </c>
      <c r="EY24" s="263">
        <f t="shared" si="203"/>
        <v>8</v>
      </c>
      <c r="EZ24" s="263">
        <f t="shared" si="207"/>
        <v>13440</v>
      </c>
      <c r="FA24" s="263">
        <f t="shared" si="208"/>
        <v>7200</v>
      </c>
    </row>
    <row r="25" spans="2:157" s="268" customFormat="1" ht="29.25" customHeight="1">
      <c r="B25" s="257"/>
      <c r="C25" s="14" t="s">
        <v>253</v>
      </c>
      <c r="D25" s="310" t="s">
        <v>149</v>
      </c>
      <c r="E25" s="362">
        <v>5</v>
      </c>
      <c r="F25" s="16"/>
      <c r="G25" s="414"/>
      <c r="H25" s="17"/>
      <c r="I25" s="333"/>
      <c r="J25" s="261"/>
      <c r="K25" s="261"/>
      <c r="L25" s="262"/>
      <c r="M25" s="260"/>
      <c r="N25" s="261"/>
      <c r="O25" s="261"/>
      <c r="P25" s="262"/>
      <c r="Q25" s="260"/>
      <c r="R25" s="261"/>
      <c r="S25" s="261"/>
      <c r="T25" s="262"/>
      <c r="U25" s="260"/>
      <c r="V25" s="261"/>
      <c r="W25" s="261"/>
      <c r="X25" s="262"/>
      <c r="Y25" s="333"/>
      <c r="Z25" s="261"/>
      <c r="AA25" s="261"/>
      <c r="AB25" s="262"/>
      <c r="AC25" s="260"/>
      <c r="AD25" s="261"/>
      <c r="AE25" s="261"/>
      <c r="AF25" s="262"/>
      <c r="AG25" s="333">
        <f t="shared" si="83"/>
        <v>5</v>
      </c>
      <c r="AH25" s="432">
        <f t="shared" si="84"/>
        <v>5</v>
      </c>
      <c r="AI25" s="432">
        <f t="shared" si="85"/>
        <v>5</v>
      </c>
      <c r="AJ25" s="433">
        <f t="shared" si="86"/>
        <v>5</v>
      </c>
      <c r="AK25" s="333">
        <f>+E25</f>
        <v>5</v>
      </c>
      <c r="AL25" s="432">
        <f>+E25</f>
        <v>5</v>
      </c>
      <c r="AM25" s="432">
        <f>+E25</f>
        <v>5</v>
      </c>
      <c r="AN25" s="433">
        <f>+E25</f>
        <v>5</v>
      </c>
      <c r="AO25" s="333">
        <f>+E25</f>
        <v>5</v>
      </c>
      <c r="AP25" s="432">
        <f>+E25</f>
        <v>5</v>
      </c>
      <c r="AQ25" s="432">
        <f>+E25</f>
        <v>5</v>
      </c>
      <c r="AR25" s="433">
        <f>+E25</f>
        <v>5</v>
      </c>
      <c r="AS25" s="333">
        <f>+E25</f>
        <v>5</v>
      </c>
      <c r="AT25" s="432">
        <f>+E25</f>
        <v>5</v>
      </c>
      <c r="AU25" s="432">
        <f>+E25</f>
        <v>5</v>
      </c>
      <c r="AV25" s="433">
        <f>+E25</f>
        <v>5</v>
      </c>
      <c r="AW25" s="333">
        <f>+E25</f>
        <v>5</v>
      </c>
      <c r="AX25" s="432">
        <f>+E25</f>
        <v>5</v>
      </c>
      <c r="AY25" s="432">
        <f>+E25</f>
        <v>5</v>
      </c>
      <c r="AZ25" s="433">
        <f>+E25</f>
        <v>5</v>
      </c>
      <c r="BA25" s="333">
        <f>+E25</f>
        <v>5</v>
      </c>
      <c r="BB25" s="432">
        <f>+E25</f>
        <v>5</v>
      </c>
      <c r="BC25" s="432">
        <f>+E25</f>
        <v>5</v>
      </c>
      <c r="BD25" s="433">
        <f>+E25</f>
        <v>5</v>
      </c>
      <c r="BE25" s="333">
        <f>+E25</f>
        <v>5</v>
      </c>
      <c r="BF25" s="432">
        <f>+E25</f>
        <v>5</v>
      </c>
      <c r="BG25" s="432">
        <f>+E25</f>
        <v>5</v>
      </c>
      <c r="BH25" s="433">
        <f>+E25</f>
        <v>5</v>
      </c>
      <c r="BI25" s="333">
        <f>+E25</f>
        <v>5</v>
      </c>
      <c r="BJ25" s="432">
        <f>+E25</f>
        <v>5</v>
      </c>
      <c r="BK25" s="432">
        <f>+E25</f>
        <v>5</v>
      </c>
      <c r="BL25" s="433">
        <f>+E25</f>
        <v>5</v>
      </c>
      <c r="BM25" s="333">
        <f>+E25</f>
        <v>5</v>
      </c>
      <c r="BN25" s="432">
        <f>+E25</f>
        <v>5</v>
      </c>
      <c r="BO25" s="432">
        <f>+E25</f>
        <v>5</v>
      </c>
      <c r="BP25" s="433">
        <f>+E25</f>
        <v>5</v>
      </c>
      <c r="BQ25" s="333">
        <f>+AK25</f>
        <v>5</v>
      </c>
      <c r="BR25" s="432">
        <f>+AK25</f>
        <v>5</v>
      </c>
      <c r="BS25" s="432">
        <f>+AK25</f>
        <v>5</v>
      </c>
      <c r="BT25" s="433">
        <f>+AK25</f>
        <v>5</v>
      </c>
      <c r="BU25" s="333">
        <f t="shared" si="123"/>
        <v>5</v>
      </c>
      <c r="BV25" s="432">
        <f t="shared" si="124"/>
        <v>5</v>
      </c>
      <c r="BW25" s="432">
        <f t="shared" si="125"/>
        <v>5</v>
      </c>
      <c r="BX25" s="433">
        <f t="shared" si="126"/>
        <v>5</v>
      </c>
      <c r="BY25" s="333">
        <f t="shared" si="127"/>
        <v>5</v>
      </c>
      <c r="BZ25" s="432">
        <f t="shared" si="128"/>
        <v>5</v>
      </c>
      <c r="CA25" s="432">
        <f t="shared" si="129"/>
        <v>5</v>
      </c>
      <c r="CB25" s="433">
        <f t="shared" si="130"/>
        <v>5</v>
      </c>
      <c r="CC25" s="333">
        <f t="shared" si="131"/>
        <v>5</v>
      </c>
      <c r="CD25" s="432">
        <f t="shared" si="132"/>
        <v>5</v>
      </c>
      <c r="CE25" s="432">
        <f t="shared" si="133"/>
        <v>5</v>
      </c>
      <c r="CF25" s="433">
        <f t="shared" si="134"/>
        <v>5</v>
      </c>
      <c r="CG25" s="333">
        <f t="shared" si="135"/>
        <v>5</v>
      </c>
      <c r="CH25" s="432">
        <f t="shared" si="136"/>
        <v>5</v>
      </c>
      <c r="CI25" s="432">
        <f t="shared" si="137"/>
        <v>5</v>
      </c>
      <c r="CJ25" s="433">
        <f t="shared" si="138"/>
        <v>5</v>
      </c>
      <c r="CK25" s="333">
        <f t="shared" si="139"/>
        <v>5</v>
      </c>
      <c r="CL25" s="432">
        <f t="shared" si="140"/>
        <v>5</v>
      </c>
      <c r="CM25" s="432">
        <f t="shared" si="141"/>
        <v>5</v>
      </c>
      <c r="CN25" s="433">
        <f t="shared" si="142"/>
        <v>5</v>
      </c>
      <c r="CO25" s="333">
        <f t="shared" si="143"/>
        <v>5</v>
      </c>
      <c r="CP25" s="432">
        <f t="shared" si="144"/>
        <v>5</v>
      </c>
      <c r="CQ25" s="432">
        <f t="shared" si="145"/>
        <v>5</v>
      </c>
      <c r="CR25" s="433">
        <f t="shared" si="146"/>
        <v>5</v>
      </c>
      <c r="CS25" s="333">
        <f t="shared" si="147"/>
        <v>5</v>
      </c>
      <c r="CT25" s="432">
        <f t="shared" si="148"/>
        <v>5</v>
      </c>
      <c r="CU25" s="432">
        <f t="shared" si="149"/>
        <v>5</v>
      </c>
      <c r="CV25" s="433">
        <f t="shared" si="150"/>
        <v>5</v>
      </c>
      <c r="CW25" s="333">
        <f t="shared" si="151"/>
        <v>5</v>
      </c>
      <c r="CX25" s="432">
        <f t="shared" si="152"/>
        <v>5</v>
      </c>
      <c r="CY25" s="432">
        <f t="shared" si="153"/>
        <v>5</v>
      </c>
      <c r="CZ25" s="433">
        <f t="shared" si="154"/>
        <v>5</v>
      </c>
      <c r="DA25" s="333">
        <f t="shared" si="155"/>
        <v>5</v>
      </c>
      <c r="DB25" s="432">
        <f t="shared" si="156"/>
        <v>5</v>
      </c>
      <c r="DC25" s="432">
        <f t="shared" si="157"/>
        <v>5</v>
      </c>
      <c r="DD25" s="433">
        <f t="shared" si="158"/>
        <v>5</v>
      </c>
      <c r="DE25" s="333">
        <f t="shared" si="159"/>
        <v>5</v>
      </c>
      <c r="DF25" s="432">
        <f t="shared" si="160"/>
        <v>5</v>
      </c>
      <c r="DG25" s="432">
        <f t="shared" si="161"/>
        <v>5</v>
      </c>
      <c r="DH25" s="433">
        <f t="shared" si="162"/>
        <v>5</v>
      </c>
      <c r="DI25" s="333">
        <f t="shared" si="163"/>
        <v>5</v>
      </c>
      <c r="DJ25" s="432">
        <f t="shared" si="164"/>
        <v>5</v>
      </c>
      <c r="DK25" s="432">
        <f t="shared" si="165"/>
        <v>5</v>
      </c>
      <c r="DL25" s="433">
        <f t="shared" si="166"/>
        <v>5</v>
      </c>
      <c r="DM25" s="333">
        <f t="shared" si="167"/>
        <v>5</v>
      </c>
      <c r="DN25" s="432">
        <f t="shared" si="168"/>
        <v>5</v>
      </c>
      <c r="DO25" s="432">
        <f t="shared" si="169"/>
        <v>5</v>
      </c>
      <c r="DP25" s="433">
        <f t="shared" si="170"/>
        <v>5</v>
      </c>
      <c r="DQ25" s="333">
        <f t="shared" si="171"/>
        <v>5</v>
      </c>
      <c r="DR25" s="432">
        <f t="shared" si="172"/>
        <v>5</v>
      </c>
      <c r="DS25" s="432">
        <f t="shared" si="173"/>
        <v>5</v>
      </c>
      <c r="DT25" s="433">
        <f t="shared" si="174"/>
        <v>5</v>
      </c>
      <c r="DU25" s="333">
        <f t="shared" si="175"/>
        <v>5</v>
      </c>
      <c r="DV25" s="432">
        <f t="shared" si="176"/>
        <v>5</v>
      </c>
      <c r="DW25" s="432">
        <f t="shared" si="177"/>
        <v>5</v>
      </c>
      <c r="DX25" s="433">
        <f t="shared" si="178"/>
        <v>5</v>
      </c>
      <c r="DY25" s="333">
        <f t="shared" si="179"/>
        <v>5</v>
      </c>
      <c r="DZ25" s="432">
        <f t="shared" si="180"/>
        <v>5</v>
      </c>
      <c r="EA25" s="432">
        <f t="shared" si="181"/>
        <v>5</v>
      </c>
      <c r="EB25" s="433">
        <f t="shared" si="182"/>
        <v>5</v>
      </c>
      <c r="EC25" s="333">
        <f t="shared" si="183"/>
        <v>5</v>
      </c>
      <c r="ED25" s="432">
        <f t="shared" si="184"/>
        <v>5</v>
      </c>
      <c r="EE25" s="432">
        <f t="shared" si="185"/>
        <v>5</v>
      </c>
      <c r="EF25" s="433">
        <f t="shared" si="186"/>
        <v>5</v>
      </c>
      <c r="EG25" s="333">
        <f t="shared" si="187"/>
        <v>5</v>
      </c>
      <c r="EH25" s="432">
        <f t="shared" si="188"/>
        <v>5</v>
      </c>
      <c r="EI25" s="432">
        <f t="shared" si="189"/>
        <v>5</v>
      </c>
      <c r="EJ25" s="433">
        <f t="shared" si="190"/>
        <v>5</v>
      </c>
      <c r="EK25" s="333">
        <f t="shared" si="191"/>
        <v>5</v>
      </c>
      <c r="EL25" s="432">
        <f t="shared" si="192"/>
        <v>5</v>
      </c>
      <c r="EM25" s="432">
        <f t="shared" si="193"/>
        <v>5</v>
      </c>
      <c r="EN25" s="433">
        <f t="shared" si="194"/>
        <v>5</v>
      </c>
      <c r="EO25" s="333">
        <f t="shared" si="195"/>
        <v>5</v>
      </c>
      <c r="EP25" s="432">
        <f t="shared" si="196"/>
        <v>5</v>
      </c>
      <c r="EQ25" s="432">
        <f t="shared" si="197"/>
        <v>5</v>
      </c>
      <c r="ER25" s="433">
        <f t="shared" si="198"/>
        <v>5</v>
      </c>
      <c r="ES25" s="333">
        <f t="shared" si="199"/>
        <v>5</v>
      </c>
      <c r="ET25" s="432">
        <f t="shared" si="200"/>
        <v>5</v>
      </c>
      <c r="EU25" s="432">
        <f t="shared" si="201"/>
        <v>5</v>
      </c>
      <c r="EV25" s="433">
        <f t="shared" si="202"/>
        <v>5</v>
      </c>
      <c r="EW25" s="263">
        <f t="shared" si="206"/>
        <v>150</v>
      </c>
      <c r="EX25" s="263">
        <v>16</v>
      </c>
      <c r="EY25" s="263">
        <f t="shared" si="203"/>
        <v>8</v>
      </c>
      <c r="EZ25" s="263">
        <f t="shared" si="207"/>
        <v>67200</v>
      </c>
      <c r="FA25" s="263">
        <f t="shared" si="208"/>
        <v>36000</v>
      </c>
    </row>
    <row r="26" spans="2:157" s="268" customFormat="1" ht="29.25" customHeight="1">
      <c r="B26" s="257"/>
      <c r="C26" s="14" t="s">
        <v>250</v>
      </c>
      <c r="D26" s="310" t="s">
        <v>149</v>
      </c>
      <c r="E26" s="362">
        <v>1</v>
      </c>
      <c r="F26" s="16"/>
      <c r="G26" s="414"/>
      <c r="H26" s="17"/>
      <c r="I26" s="333"/>
      <c r="J26" s="261"/>
      <c r="K26" s="261"/>
      <c r="L26" s="262"/>
      <c r="M26" s="260"/>
      <c r="N26" s="261"/>
      <c r="O26" s="261"/>
      <c r="P26" s="262"/>
      <c r="Q26" s="260"/>
      <c r="R26" s="261"/>
      <c r="S26" s="261"/>
      <c r="T26" s="262"/>
      <c r="U26" s="260"/>
      <c r="V26" s="261"/>
      <c r="W26" s="261"/>
      <c r="X26" s="262"/>
      <c r="Y26" s="333"/>
      <c r="Z26" s="261"/>
      <c r="AA26" s="261"/>
      <c r="AB26" s="262"/>
      <c r="AC26" s="260"/>
      <c r="AD26" s="261"/>
      <c r="AE26" s="261"/>
      <c r="AF26" s="262"/>
      <c r="AG26" s="333">
        <f t="shared" si="83"/>
        <v>1</v>
      </c>
      <c r="AH26" s="432">
        <f t="shared" si="84"/>
        <v>1</v>
      </c>
      <c r="AI26" s="432">
        <f t="shared" si="85"/>
        <v>1</v>
      </c>
      <c r="AJ26" s="433">
        <f t="shared" si="86"/>
        <v>1</v>
      </c>
      <c r="AK26" s="333">
        <f>+E26</f>
        <v>1</v>
      </c>
      <c r="AL26" s="432">
        <f>+E26</f>
        <v>1</v>
      </c>
      <c r="AM26" s="432">
        <f>+E26</f>
        <v>1</v>
      </c>
      <c r="AN26" s="433">
        <f>+E26</f>
        <v>1</v>
      </c>
      <c r="AO26" s="333">
        <f>+E26</f>
        <v>1</v>
      </c>
      <c r="AP26" s="432">
        <f>+E26</f>
        <v>1</v>
      </c>
      <c r="AQ26" s="432">
        <f>+E26</f>
        <v>1</v>
      </c>
      <c r="AR26" s="433">
        <f>+E26</f>
        <v>1</v>
      </c>
      <c r="AS26" s="333">
        <f>+E26</f>
        <v>1</v>
      </c>
      <c r="AT26" s="432">
        <f>+E26</f>
        <v>1</v>
      </c>
      <c r="AU26" s="432">
        <f>+E26</f>
        <v>1</v>
      </c>
      <c r="AV26" s="433">
        <f>+E26</f>
        <v>1</v>
      </c>
      <c r="AW26" s="333">
        <f>+E26</f>
        <v>1</v>
      </c>
      <c r="AX26" s="432">
        <f>+E26</f>
        <v>1</v>
      </c>
      <c r="AY26" s="432">
        <f>+E26</f>
        <v>1</v>
      </c>
      <c r="AZ26" s="433">
        <f>+E26</f>
        <v>1</v>
      </c>
      <c r="BA26" s="333">
        <f>+E26</f>
        <v>1</v>
      </c>
      <c r="BB26" s="432">
        <f>+E26</f>
        <v>1</v>
      </c>
      <c r="BC26" s="432">
        <f>+E26</f>
        <v>1</v>
      </c>
      <c r="BD26" s="433">
        <f>+E26</f>
        <v>1</v>
      </c>
      <c r="BE26" s="333">
        <f>+E26</f>
        <v>1</v>
      </c>
      <c r="BF26" s="432">
        <f>+E26</f>
        <v>1</v>
      </c>
      <c r="BG26" s="432">
        <f>+E26</f>
        <v>1</v>
      </c>
      <c r="BH26" s="433">
        <f>+E26</f>
        <v>1</v>
      </c>
      <c r="BI26" s="333">
        <f>+E26</f>
        <v>1</v>
      </c>
      <c r="BJ26" s="432">
        <f>+E26</f>
        <v>1</v>
      </c>
      <c r="BK26" s="432">
        <f>+E26</f>
        <v>1</v>
      </c>
      <c r="BL26" s="433">
        <f>+E26</f>
        <v>1</v>
      </c>
      <c r="BM26" s="333">
        <f>+E26</f>
        <v>1</v>
      </c>
      <c r="BN26" s="432">
        <f>+E26</f>
        <v>1</v>
      </c>
      <c r="BO26" s="432">
        <f>+E26</f>
        <v>1</v>
      </c>
      <c r="BP26" s="433">
        <f>+E26</f>
        <v>1</v>
      </c>
      <c r="BQ26" s="333">
        <f>+AK26</f>
        <v>1</v>
      </c>
      <c r="BR26" s="432">
        <f>+AK26</f>
        <v>1</v>
      </c>
      <c r="BS26" s="432">
        <f>+AK26</f>
        <v>1</v>
      </c>
      <c r="BT26" s="433">
        <f>+AK26</f>
        <v>1</v>
      </c>
      <c r="BU26" s="333">
        <f t="shared" si="123"/>
        <v>1</v>
      </c>
      <c r="BV26" s="432">
        <f t="shared" si="124"/>
        <v>1</v>
      </c>
      <c r="BW26" s="432">
        <f t="shared" si="125"/>
        <v>1</v>
      </c>
      <c r="BX26" s="433">
        <f t="shared" si="126"/>
        <v>1</v>
      </c>
      <c r="BY26" s="333">
        <f t="shared" si="127"/>
        <v>1</v>
      </c>
      <c r="BZ26" s="432">
        <f t="shared" si="128"/>
        <v>1</v>
      </c>
      <c r="CA26" s="432">
        <f t="shared" si="129"/>
        <v>1</v>
      </c>
      <c r="CB26" s="433">
        <f t="shared" si="130"/>
        <v>1</v>
      </c>
      <c r="CC26" s="333">
        <f t="shared" si="131"/>
        <v>1</v>
      </c>
      <c r="CD26" s="432">
        <f t="shared" si="132"/>
        <v>1</v>
      </c>
      <c r="CE26" s="432">
        <f t="shared" si="133"/>
        <v>1</v>
      </c>
      <c r="CF26" s="433">
        <f t="shared" si="134"/>
        <v>1</v>
      </c>
      <c r="CG26" s="333">
        <f t="shared" si="135"/>
        <v>1</v>
      </c>
      <c r="CH26" s="432">
        <f t="shared" si="136"/>
        <v>1</v>
      </c>
      <c r="CI26" s="432">
        <f t="shared" si="137"/>
        <v>1</v>
      </c>
      <c r="CJ26" s="433">
        <f t="shared" si="138"/>
        <v>1</v>
      </c>
      <c r="CK26" s="333">
        <f t="shared" si="139"/>
        <v>1</v>
      </c>
      <c r="CL26" s="432">
        <f t="shared" si="140"/>
        <v>1</v>
      </c>
      <c r="CM26" s="432">
        <f t="shared" si="141"/>
        <v>1</v>
      </c>
      <c r="CN26" s="433">
        <f t="shared" si="142"/>
        <v>1</v>
      </c>
      <c r="CO26" s="333">
        <f t="shared" si="143"/>
        <v>1</v>
      </c>
      <c r="CP26" s="432">
        <f t="shared" si="144"/>
        <v>1</v>
      </c>
      <c r="CQ26" s="432">
        <f t="shared" si="145"/>
        <v>1</v>
      </c>
      <c r="CR26" s="433">
        <f t="shared" si="146"/>
        <v>1</v>
      </c>
      <c r="CS26" s="333">
        <f t="shared" si="147"/>
        <v>1</v>
      </c>
      <c r="CT26" s="432">
        <f t="shared" si="148"/>
        <v>1</v>
      </c>
      <c r="CU26" s="432">
        <f t="shared" si="149"/>
        <v>1</v>
      </c>
      <c r="CV26" s="433">
        <f t="shared" si="150"/>
        <v>1</v>
      </c>
      <c r="CW26" s="333">
        <f t="shared" si="151"/>
        <v>1</v>
      </c>
      <c r="CX26" s="432">
        <f t="shared" si="152"/>
        <v>1</v>
      </c>
      <c r="CY26" s="432">
        <f t="shared" si="153"/>
        <v>1</v>
      </c>
      <c r="CZ26" s="433">
        <f t="shared" si="154"/>
        <v>1</v>
      </c>
      <c r="DA26" s="333">
        <f t="shared" si="155"/>
        <v>1</v>
      </c>
      <c r="DB26" s="432">
        <f t="shared" si="156"/>
        <v>1</v>
      </c>
      <c r="DC26" s="432">
        <f t="shared" si="157"/>
        <v>1</v>
      </c>
      <c r="DD26" s="433">
        <f t="shared" si="158"/>
        <v>1</v>
      </c>
      <c r="DE26" s="333">
        <f t="shared" si="159"/>
        <v>1</v>
      </c>
      <c r="DF26" s="432">
        <f t="shared" si="160"/>
        <v>1</v>
      </c>
      <c r="DG26" s="432">
        <f t="shared" si="161"/>
        <v>1</v>
      </c>
      <c r="DH26" s="433">
        <f t="shared" si="162"/>
        <v>1</v>
      </c>
      <c r="DI26" s="333">
        <f t="shared" si="163"/>
        <v>1</v>
      </c>
      <c r="DJ26" s="432">
        <f t="shared" si="164"/>
        <v>1</v>
      </c>
      <c r="DK26" s="432">
        <f t="shared" si="165"/>
        <v>1</v>
      </c>
      <c r="DL26" s="433">
        <f t="shared" si="166"/>
        <v>1</v>
      </c>
      <c r="DM26" s="333">
        <f t="shared" si="167"/>
        <v>1</v>
      </c>
      <c r="DN26" s="432">
        <f t="shared" si="168"/>
        <v>1</v>
      </c>
      <c r="DO26" s="432">
        <f t="shared" si="169"/>
        <v>1</v>
      </c>
      <c r="DP26" s="433">
        <f t="shared" si="170"/>
        <v>1</v>
      </c>
      <c r="DQ26" s="333">
        <f t="shared" si="171"/>
        <v>1</v>
      </c>
      <c r="DR26" s="432">
        <f t="shared" si="172"/>
        <v>1</v>
      </c>
      <c r="DS26" s="432">
        <f t="shared" si="173"/>
        <v>1</v>
      </c>
      <c r="DT26" s="433">
        <f t="shared" si="174"/>
        <v>1</v>
      </c>
      <c r="DU26" s="333">
        <f t="shared" si="175"/>
        <v>1</v>
      </c>
      <c r="DV26" s="432">
        <f t="shared" si="176"/>
        <v>1</v>
      </c>
      <c r="DW26" s="432">
        <f t="shared" si="177"/>
        <v>1</v>
      </c>
      <c r="DX26" s="433">
        <f t="shared" si="178"/>
        <v>1</v>
      </c>
      <c r="DY26" s="333">
        <f t="shared" si="179"/>
        <v>1</v>
      </c>
      <c r="DZ26" s="432">
        <f t="shared" si="180"/>
        <v>1</v>
      </c>
      <c r="EA26" s="432">
        <f t="shared" si="181"/>
        <v>1</v>
      </c>
      <c r="EB26" s="433">
        <f t="shared" si="182"/>
        <v>1</v>
      </c>
      <c r="EC26" s="333">
        <f t="shared" si="183"/>
        <v>1</v>
      </c>
      <c r="ED26" s="432">
        <f t="shared" si="184"/>
        <v>1</v>
      </c>
      <c r="EE26" s="432">
        <f t="shared" si="185"/>
        <v>1</v>
      </c>
      <c r="EF26" s="433">
        <f t="shared" si="186"/>
        <v>1</v>
      </c>
      <c r="EG26" s="333">
        <f t="shared" si="187"/>
        <v>1</v>
      </c>
      <c r="EH26" s="432">
        <f t="shared" si="188"/>
        <v>1</v>
      </c>
      <c r="EI26" s="432">
        <f t="shared" si="189"/>
        <v>1</v>
      </c>
      <c r="EJ26" s="433">
        <f t="shared" si="190"/>
        <v>1</v>
      </c>
      <c r="EK26" s="333">
        <f t="shared" si="191"/>
        <v>1</v>
      </c>
      <c r="EL26" s="432">
        <f t="shared" si="192"/>
        <v>1</v>
      </c>
      <c r="EM26" s="432">
        <f t="shared" si="193"/>
        <v>1</v>
      </c>
      <c r="EN26" s="433">
        <f t="shared" si="194"/>
        <v>1</v>
      </c>
      <c r="EO26" s="333">
        <f t="shared" si="195"/>
        <v>1</v>
      </c>
      <c r="EP26" s="432">
        <f t="shared" si="196"/>
        <v>1</v>
      </c>
      <c r="EQ26" s="432">
        <f t="shared" si="197"/>
        <v>1</v>
      </c>
      <c r="ER26" s="433">
        <f t="shared" si="198"/>
        <v>1</v>
      </c>
      <c r="ES26" s="333">
        <f t="shared" si="199"/>
        <v>1</v>
      </c>
      <c r="ET26" s="432">
        <f t="shared" si="200"/>
        <v>1</v>
      </c>
      <c r="EU26" s="432">
        <f t="shared" si="201"/>
        <v>1</v>
      </c>
      <c r="EV26" s="433">
        <f t="shared" si="202"/>
        <v>1</v>
      </c>
      <c r="EW26" s="263">
        <f t="shared" si="206"/>
        <v>30</v>
      </c>
      <c r="EX26" s="263">
        <v>16</v>
      </c>
      <c r="EY26" s="263">
        <f t="shared" si="203"/>
        <v>8</v>
      </c>
      <c r="EZ26" s="263">
        <f t="shared" si="207"/>
        <v>13440</v>
      </c>
      <c r="FA26" s="263">
        <f t="shared" si="208"/>
        <v>7200</v>
      </c>
    </row>
    <row r="27" spans="2:157" s="268" customFormat="1" ht="29.25" customHeight="1">
      <c r="B27" s="257"/>
      <c r="C27" s="14" t="s">
        <v>216</v>
      </c>
      <c r="D27" s="310" t="s">
        <v>149</v>
      </c>
      <c r="E27" s="362">
        <v>1</v>
      </c>
      <c r="F27" s="16"/>
      <c r="G27" s="414"/>
      <c r="H27" s="17"/>
      <c r="I27" s="333"/>
      <c r="J27" s="261"/>
      <c r="K27" s="261"/>
      <c r="L27" s="262"/>
      <c r="M27" s="260"/>
      <c r="N27" s="261"/>
      <c r="O27" s="261"/>
      <c r="P27" s="262"/>
      <c r="Q27" s="260"/>
      <c r="R27" s="261"/>
      <c r="S27" s="261"/>
      <c r="T27" s="262"/>
      <c r="U27" s="260"/>
      <c r="V27" s="261"/>
      <c r="W27" s="261"/>
      <c r="X27" s="262"/>
      <c r="Y27" s="333"/>
      <c r="Z27" s="261"/>
      <c r="AA27" s="261"/>
      <c r="AB27" s="262"/>
      <c r="AC27" s="260"/>
      <c r="AD27" s="261"/>
      <c r="AE27" s="261"/>
      <c r="AF27" s="262"/>
      <c r="AG27" s="333">
        <f t="shared" si="83"/>
        <v>1</v>
      </c>
      <c r="AH27" s="432">
        <f t="shared" si="84"/>
        <v>1</v>
      </c>
      <c r="AI27" s="432">
        <f t="shared" si="85"/>
        <v>1</v>
      </c>
      <c r="AJ27" s="433">
        <f t="shared" si="86"/>
        <v>1</v>
      </c>
      <c r="AK27" s="333">
        <f t="shared" ref="AK27:AK36" si="209">+E27</f>
        <v>1</v>
      </c>
      <c r="AL27" s="432">
        <f t="shared" ref="AL27:AL36" si="210">+E27</f>
        <v>1</v>
      </c>
      <c r="AM27" s="432">
        <f t="shared" ref="AM27:AM36" si="211">+E27</f>
        <v>1</v>
      </c>
      <c r="AN27" s="433">
        <f t="shared" ref="AN27:AN36" si="212">+E27</f>
        <v>1</v>
      </c>
      <c r="AO27" s="333">
        <f t="shared" ref="AO27:AO36" si="213">+E27</f>
        <v>1</v>
      </c>
      <c r="AP27" s="432">
        <f t="shared" ref="AP27:AP36" si="214">+E27</f>
        <v>1</v>
      </c>
      <c r="AQ27" s="432">
        <f t="shared" ref="AQ27:AQ36" si="215">+E27</f>
        <v>1</v>
      </c>
      <c r="AR27" s="433">
        <f t="shared" ref="AR27:AR36" si="216">+E27</f>
        <v>1</v>
      </c>
      <c r="AS27" s="333">
        <f t="shared" ref="AS27:AS36" si="217">+E27</f>
        <v>1</v>
      </c>
      <c r="AT27" s="432">
        <f t="shared" ref="AT27:AT36" si="218">+E27</f>
        <v>1</v>
      </c>
      <c r="AU27" s="432">
        <f t="shared" ref="AU27:AU36" si="219">+E27</f>
        <v>1</v>
      </c>
      <c r="AV27" s="433">
        <f t="shared" ref="AV27:AV36" si="220">+E27</f>
        <v>1</v>
      </c>
      <c r="AW27" s="333">
        <f t="shared" ref="AW27:AW36" si="221">+E27</f>
        <v>1</v>
      </c>
      <c r="AX27" s="432">
        <f t="shared" ref="AX27:AX36" si="222">+E27</f>
        <v>1</v>
      </c>
      <c r="AY27" s="432">
        <f t="shared" ref="AY27:AY36" si="223">+E27</f>
        <v>1</v>
      </c>
      <c r="AZ27" s="433">
        <f t="shared" ref="AZ27:AZ36" si="224">+E27</f>
        <v>1</v>
      </c>
      <c r="BA27" s="333">
        <f t="shared" ref="BA27:BA36" si="225">+E27</f>
        <v>1</v>
      </c>
      <c r="BB27" s="432">
        <f t="shared" ref="BB27:BB36" si="226">+E27</f>
        <v>1</v>
      </c>
      <c r="BC27" s="432">
        <f t="shared" ref="BC27:BC36" si="227">+E27</f>
        <v>1</v>
      </c>
      <c r="BD27" s="433">
        <f t="shared" ref="BD27:BD36" si="228">+E27</f>
        <v>1</v>
      </c>
      <c r="BE27" s="333">
        <f t="shared" ref="BE27:BE36" si="229">+E27</f>
        <v>1</v>
      </c>
      <c r="BF27" s="432">
        <f t="shared" ref="BF27:BF36" si="230">+E27</f>
        <v>1</v>
      </c>
      <c r="BG27" s="432">
        <f t="shared" ref="BG27:BG36" si="231">+E27</f>
        <v>1</v>
      </c>
      <c r="BH27" s="433">
        <f t="shared" ref="BH27:BH36" si="232">+E27</f>
        <v>1</v>
      </c>
      <c r="BI27" s="333">
        <f t="shared" ref="BI27:BI36" si="233">+E27</f>
        <v>1</v>
      </c>
      <c r="BJ27" s="432">
        <f t="shared" ref="BJ27:BJ36" si="234">+E27</f>
        <v>1</v>
      </c>
      <c r="BK27" s="432">
        <f t="shared" ref="BK27:BK36" si="235">+E27</f>
        <v>1</v>
      </c>
      <c r="BL27" s="433">
        <f t="shared" ref="BL27:BL36" si="236">+E27</f>
        <v>1</v>
      </c>
      <c r="BM27" s="333">
        <f t="shared" ref="BM27:BM36" si="237">+E27</f>
        <v>1</v>
      </c>
      <c r="BN27" s="432">
        <f t="shared" ref="BN27:BN36" si="238">+E27</f>
        <v>1</v>
      </c>
      <c r="BO27" s="432">
        <f t="shared" ref="BO27:BO36" si="239">+E27</f>
        <v>1</v>
      </c>
      <c r="BP27" s="433">
        <f t="shared" ref="BP27:BP36" si="240">+E27</f>
        <v>1</v>
      </c>
      <c r="BQ27" s="333">
        <f t="shared" ref="BQ27:BQ36" si="241">+AK27</f>
        <v>1</v>
      </c>
      <c r="BR27" s="432">
        <f t="shared" ref="BR27:BR36" si="242">+AK27</f>
        <v>1</v>
      </c>
      <c r="BS27" s="432">
        <f t="shared" ref="BS27:BS36" si="243">+AK27</f>
        <v>1</v>
      </c>
      <c r="BT27" s="433">
        <f t="shared" ref="BT27:BT36" si="244">+AK27</f>
        <v>1</v>
      </c>
      <c r="BU27" s="333">
        <f t="shared" ref="BU27:BU36" si="245">+AO27</f>
        <v>1</v>
      </c>
      <c r="BV27" s="432">
        <f t="shared" ref="BV27:BV36" si="246">+AO27</f>
        <v>1</v>
      </c>
      <c r="BW27" s="432">
        <f t="shared" ref="BW27:BW36" si="247">+AO27</f>
        <v>1</v>
      </c>
      <c r="BX27" s="433">
        <f t="shared" ref="BX27:BX36" si="248">+AO27</f>
        <v>1</v>
      </c>
      <c r="BY27" s="333">
        <f t="shared" ref="BY27:BY36" si="249">+AS27</f>
        <v>1</v>
      </c>
      <c r="BZ27" s="432">
        <f t="shared" ref="BZ27:BZ36" si="250">+AS27</f>
        <v>1</v>
      </c>
      <c r="CA27" s="432">
        <f t="shared" ref="CA27:CA36" si="251">+AS27</f>
        <v>1</v>
      </c>
      <c r="CB27" s="433">
        <f t="shared" ref="CB27:CB36" si="252">+AS27</f>
        <v>1</v>
      </c>
      <c r="CC27" s="333">
        <f t="shared" ref="CC27:CC36" si="253">+AW27</f>
        <v>1</v>
      </c>
      <c r="CD27" s="432">
        <f t="shared" ref="CD27:CD36" si="254">+AW27</f>
        <v>1</v>
      </c>
      <c r="CE27" s="432">
        <f t="shared" ref="CE27:CE36" si="255">+AW27</f>
        <v>1</v>
      </c>
      <c r="CF27" s="433">
        <f t="shared" ref="CF27:CF36" si="256">+AW27</f>
        <v>1</v>
      </c>
      <c r="CG27" s="333">
        <f t="shared" ref="CG27:CG36" si="257">+BA27</f>
        <v>1</v>
      </c>
      <c r="CH27" s="432">
        <f t="shared" ref="CH27:CH36" si="258">+BA27</f>
        <v>1</v>
      </c>
      <c r="CI27" s="432">
        <f t="shared" ref="CI27:CI36" si="259">+BA27</f>
        <v>1</v>
      </c>
      <c r="CJ27" s="433">
        <f t="shared" ref="CJ27:CJ36" si="260">+BA27</f>
        <v>1</v>
      </c>
      <c r="CK27" s="333">
        <f t="shared" ref="CK27:CK36" si="261">+BE27</f>
        <v>1</v>
      </c>
      <c r="CL27" s="432">
        <f t="shared" ref="CL27:CL36" si="262">+BE27</f>
        <v>1</v>
      </c>
      <c r="CM27" s="432">
        <f t="shared" ref="CM27:CM36" si="263">+BE27</f>
        <v>1</v>
      </c>
      <c r="CN27" s="433">
        <f t="shared" ref="CN27:CN36" si="264">+BE27</f>
        <v>1</v>
      </c>
      <c r="CO27" s="333">
        <f t="shared" ref="CO27:CO36" si="265">+BI27</f>
        <v>1</v>
      </c>
      <c r="CP27" s="432">
        <f t="shared" ref="CP27:CP36" si="266">+BI27</f>
        <v>1</v>
      </c>
      <c r="CQ27" s="432">
        <f t="shared" ref="CQ27:CQ36" si="267">+BI27</f>
        <v>1</v>
      </c>
      <c r="CR27" s="433">
        <f t="shared" ref="CR27:CR36" si="268">+BI27</f>
        <v>1</v>
      </c>
      <c r="CS27" s="333">
        <f t="shared" ref="CS27:CS36" si="269">+BM27</f>
        <v>1</v>
      </c>
      <c r="CT27" s="432">
        <f t="shared" ref="CT27:CT36" si="270">+BM27</f>
        <v>1</v>
      </c>
      <c r="CU27" s="432">
        <f t="shared" ref="CU27:CU36" si="271">+BM27</f>
        <v>1</v>
      </c>
      <c r="CV27" s="433">
        <f t="shared" ref="CV27:CV36" si="272">+BM27</f>
        <v>1</v>
      </c>
      <c r="CW27" s="333">
        <f t="shared" ref="CW27:CW36" si="273">+BQ27</f>
        <v>1</v>
      </c>
      <c r="CX27" s="432">
        <f t="shared" ref="CX27:CX36" si="274">+BQ27</f>
        <v>1</v>
      </c>
      <c r="CY27" s="432">
        <f t="shared" ref="CY27:CY36" si="275">+BQ27</f>
        <v>1</v>
      </c>
      <c r="CZ27" s="433">
        <f t="shared" ref="CZ27:CZ36" si="276">+BQ27</f>
        <v>1</v>
      </c>
      <c r="DA27" s="333">
        <f t="shared" ref="DA27:DA36" si="277">+BU27</f>
        <v>1</v>
      </c>
      <c r="DB27" s="432">
        <f t="shared" ref="DB27:DB36" si="278">+BU27</f>
        <v>1</v>
      </c>
      <c r="DC27" s="432">
        <f t="shared" ref="DC27:DC36" si="279">+BU27</f>
        <v>1</v>
      </c>
      <c r="DD27" s="433">
        <f t="shared" ref="DD27:DD36" si="280">+BU27</f>
        <v>1</v>
      </c>
      <c r="DE27" s="333">
        <f t="shared" ref="DE27:DE36" si="281">+BY27</f>
        <v>1</v>
      </c>
      <c r="DF27" s="432">
        <f t="shared" ref="DF27:DF36" si="282">+BY27</f>
        <v>1</v>
      </c>
      <c r="DG27" s="432">
        <f t="shared" ref="DG27:DG36" si="283">+BY27</f>
        <v>1</v>
      </c>
      <c r="DH27" s="433">
        <f t="shared" ref="DH27:DH36" si="284">+BY27</f>
        <v>1</v>
      </c>
      <c r="DI27" s="333">
        <f t="shared" ref="DI27:DI36" si="285">+CC27</f>
        <v>1</v>
      </c>
      <c r="DJ27" s="432">
        <f t="shared" ref="DJ27:DJ36" si="286">+CC27</f>
        <v>1</v>
      </c>
      <c r="DK27" s="432">
        <f t="shared" ref="DK27:DK36" si="287">+CC27</f>
        <v>1</v>
      </c>
      <c r="DL27" s="433">
        <f t="shared" ref="DL27:DL36" si="288">+CC27</f>
        <v>1</v>
      </c>
      <c r="DM27" s="333">
        <f t="shared" ref="DM27:DM36" si="289">+CG27</f>
        <v>1</v>
      </c>
      <c r="DN27" s="432">
        <f t="shared" ref="DN27:DN36" si="290">+CG27</f>
        <v>1</v>
      </c>
      <c r="DO27" s="432">
        <f t="shared" ref="DO27:DO36" si="291">+CG27</f>
        <v>1</v>
      </c>
      <c r="DP27" s="433">
        <f t="shared" ref="DP27:DP36" si="292">+CG27</f>
        <v>1</v>
      </c>
      <c r="DQ27" s="333">
        <f t="shared" ref="DQ27:DQ36" si="293">+CK27</f>
        <v>1</v>
      </c>
      <c r="DR27" s="432">
        <f t="shared" ref="DR27:DR36" si="294">+CK27</f>
        <v>1</v>
      </c>
      <c r="DS27" s="432">
        <f t="shared" ref="DS27:DS36" si="295">+CK27</f>
        <v>1</v>
      </c>
      <c r="DT27" s="433">
        <f t="shared" ref="DT27:DT36" si="296">+CK27</f>
        <v>1</v>
      </c>
      <c r="DU27" s="333">
        <f t="shared" ref="DU27:DU36" si="297">+CO27</f>
        <v>1</v>
      </c>
      <c r="DV27" s="432">
        <f t="shared" ref="DV27:DV36" si="298">+CO27</f>
        <v>1</v>
      </c>
      <c r="DW27" s="432">
        <f t="shared" ref="DW27:DW36" si="299">+CO27</f>
        <v>1</v>
      </c>
      <c r="DX27" s="433">
        <f t="shared" ref="DX27:DX36" si="300">+CO27</f>
        <v>1</v>
      </c>
      <c r="DY27" s="333">
        <f t="shared" ref="DY27:DY36" si="301">+CS27</f>
        <v>1</v>
      </c>
      <c r="DZ27" s="432">
        <f t="shared" ref="DZ27:DZ36" si="302">+CS27</f>
        <v>1</v>
      </c>
      <c r="EA27" s="432">
        <f t="shared" ref="EA27:EA36" si="303">+CS27</f>
        <v>1</v>
      </c>
      <c r="EB27" s="433">
        <f t="shared" ref="EB27:EB36" si="304">+CS27</f>
        <v>1</v>
      </c>
      <c r="EC27" s="333">
        <f t="shared" ref="EC27:EC36" si="305">+CW27</f>
        <v>1</v>
      </c>
      <c r="ED27" s="432">
        <f t="shared" ref="ED27:ED36" si="306">+CW27</f>
        <v>1</v>
      </c>
      <c r="EE27" s="432">
        <f t="shared" ref="EE27:EE36" si="307">+CW27</f>
        <v>1</v>
      </c>
      <c r="EF27" s="433">
        <f t="shared" ref="EF27:EF36" si="308">+CW27</f>
        <v>1</v>
      </c>
      <c r="EG27" s="333">
        <f t="shared" ref="EG27:EG36" si="309">+DA27</f>
        <v>1</v>
      </c>
      <c r="EH27" s="432">
        <f t="shared" ref="EH27:EH36" si="310">+DA27</f>
        <v>1</v>
      </c>
      <c r="EI27" s="432">
        <f t="shared" ref="EI27:EI36" si="311">+DA27</f>
        <v>1</v>
      </c>
      <c r="EJ27" s="433">
        <f t="shared" ref="EJ27:EJ36" si="312">+DA27</f>
        <v>1</v>
      </c>
      <c r="EK27" s="333">
        <f t="shared" ref="EK27:EK36" si="313">+DE27</f>
        <v>1</v>
      </c>
      <c r="EL27" s="432">
        <f t="shared" ref="EL27:EL36" si="314">+DE27</f>
        <v>1</v>
      </c>
      <c r="EM27" s="432">
        <f t="shared" ref="EM27:EM36" si="315">+DE27</f>
        <v>1</v>
      </c>
      <c r="EN27" s="433">
        <f t="shared" ref="EN27:EN36" si="316">+DE27</f>
        <v>1</v>
      </c>
      <c r="EO27" s="333">
        <f t="shared" ref="EO27:EO36" si="317">+DI27</f>
        <v>1</v>
      </c>
      <c r="EP27" s="432">
        <f t="shared" ref="EP27:EP36" si="318">+DI27</f>
        <v>1</v>
      </c>
      <c r="EQ27" s="432">
        <f t="shared" ref="EQ27:EQ36" si="319">+DI27</f>
        <v>1</v>
      </c>
      <c r="ER27" s="433">
        <f t="shared" ref="ER27:ER36" si="320">+DI27</f>
        <v>1</v>
      </c>
      <c r="ES27" s="333">
        <f t="shared" ref="ES27:ES36" si="321">+DM27</f>
        <v>1</v>
      </c>
      <c r="ET27" s="432">
        <f t="shared" ref="ET27:ET36" si="322">+DM27</f>
        <v>1</v>
      </c>
      <c r="EU27" s="432">
        <f t="shared" ref="EU27:EU36" si="323">+DM27</f>
        <v>1</v>
      </c>
      <c r="EV27" s="433">
        <f t="shared" ref="EV27:EV36" si="324">+DM27</f>
        <v>1</v>
      </c>
      <c r="EW27" s="263">
        <f t="shared" si="206"/>
        <v>30</v>
      </c>
      <c r="EX27" s="263">
        <v>16</v>
      </c>
      <c r="EY27" s="263">
        <f t="shared" si="203"/>
        <v>8</v>
      </c>
      <c r="EZ27" s="263">
        <f t="shared" si="207"/>
        <v>13440</v>
      </c>
      <c r="FA27" s="263">
        <f t="shared" si="208"/>
        <v>7200</v>
      </c>
    </row>
    <row r="28" spans="2:157" s="268" customFormat="1" ht="29.25" customHeight="1">
      <c r="B28" s="257"/>
      <c r="C28" s="14" t="s">
        <v>251</v>
      </c>
      <c r="D28" s="310" t="s">
        <v>149</v>
      </c>
      <c r="E28" s="362">
        <v>1</v>
      </c>
      <c r="F28" s="16"/>
      <c r="G28" s="414"/>
      <c r="H28" s="17"/>
      <c r="I28" s="333"/>
      <c r="J28" s="261"/>
      <c r="K28" s="261"/>
      <c r="L28" s="262"/>
      <c r="M28" s="260"/>
      <c r="N28" s="261"/>
      <c r="O28" s="261"/>
      <c r="P28" s="262"/>
      <c r="Q28" s="260"/>
      <c r="R28" s="261"/>
      <c r="S28" s="261"/>
      <c r="T28" s="262"/>
      <c r="U28" s="260"/>
      <c r="V28" s="261"/>
      <c r="W28" s="261"/>
      <c r="X28" s="262"/>
      <c r="Y28" s="333"/>
      <c r="Z28" s="261"/>
      <c r="AA28" s="261"/>
      <c r="AB28" s="262"/>
      <c r="AC28" s="260"/>
      <c r="AD28" s="261"/>
      <c r="AE28" s="261"/>
      <c r="AF28" s="262"/>
      <c r="AG28" s="333">
        <f t="shared" si="83"/>
        <v>1</v>
      </c>
      <c r="AH28" s="432">
        <f t="shared" si="84"/>
        <v>1</v>
      </c>
      <c r="AI28" s="432">
        <f t="shared" si="85"/>
        <v>1</v>
      </c>
      <c r="AJ28" s="433">
        <f t="shared" si="86"/>
        <v>1</v>
      </c>
      <c r="AK28" s="333">
        <f t="shared" si="209"/>
        <v>1</v>
      </c>
      <c r="AL28" s="432">
        <f t="shared" si="210"/>
        <v>1</v>
      </c>
      <c r="AM28" s="432">
        <f t="shared" si="211"/>
        <v>1</v>
      </c>
      <c r="AN28" s="433">
        <f t="shared" si="212"/>
        <v>1</v>
      </c>
      <c r="AO28" s="333">
        <f t="shared" si="213"/>
        <v>1</v>
      </c>
      <c r="AP28" s="432">
        <f t="shared" si="214"/>
        <v>1</v>
      </c>
      <c r="AQ28" s="432">
        <f t="shared" si="215"/>
        <v>1</v>
      </c>
      <c r="AR28" s="433">
        <f t="shared" si="216"/>
        <v>1</v>
      </c>
      <c r="AS28" s="333">
        <f t="shared" si="217"/>
        <v>1</v>
      </c>
      <c r="AT28" s="432">
        <f t="shared" si="218"/>
        <v>1</v>
      </c>
      <c r="AU28" s="432">
        <f t="shared" si="219"/>
        <v>1</v>
      </c>
      <c r="AV28" s="433">
        <f t="shared" si="220"/>
        <v>1</v>
      </c>
      <c r="AW28" s="333">
        <f t="shared" si="221"/>
        <v>1</v>
      </c>
      <c r="AX28" s="432">
        <f t="shared" si="222"/>
        <v>1</v>
      </c>
      <c r="AY28" s="432">
        <f t="shared" si="223"/>
        <v>1</v>
      </c>
      <c r="AZ28" s="433">
        <f t="shared" si="224"/>
        <v>1</v>
      </c>
      <c r="BA28" s="333">
        <f t="shared" si="225"/>
        <v>1</v>
      </c>
      <c r="BB28" s="432">
        <f t="shared" si="226"/>
        <v>1</v>
      </c>
      <c r="BC28" s="432">
        <f t="shared" si="227"/>
        <v>1</v>
      </c>
      <c r="BD28" s="433">
        <f t="shared" si="228"/>
        <v>1</v>
      </c>
      <c r="BE28" s="333">
        <f t="shared" si="229"/>
        <v>1</v>
      </c>
      <c r="BF28" s="432">
        <f t="shared" si="230"/>
        <v>1</v>
      </c>
      <c r="BG28" s="432">
        <f t="shared" si="231"/>
        <v>1</v>
      </c>
      <c r="BH28" s="433">
        <f t="shared" si="232"/>
        <v>1</v>
      </c>
      <c r="BI28" s="333">
        <f t="shared" si="233"/>
        <v>1</v>
      </c>
      <c r="BJ28" s="432">
        <f t="shared" si="234"/>
        <v>1</v>
      </c>
      <c r="BK28" s="432">
        <f t="shared" si="235"/>
        <v>1</v>
      </c>
      <c r="BL28" s="433">
        <f t="shared" si="236"/>
        <v>1</v>
      </c>
      <c r="BM28" s="333">
        <f t="shared" si="237"/>
        <v>1</v>
      </c>
      <c r="BN28" s="432">
        <f t="shared" si="238"/>
        <v>1</v>
      </c>
      <c r="BO28" s="432">
        <f t="shared" si="239"/>
        <v>1</v>
      </c>
      <c r="BP28" s="433">
        <f t="shared" si="240"/>
        <v>1</v>
      </c>
      <c r="BQ28" s="333">
        <f t="shared" si="241"/>
        <v>1</v>
      </c>
      <c r="BR28" s="432">
        <f t="shared" si="242"/>
        <v>1</v>
      </c>
      <c r="BS28" s="432">
        <f t="shared" si="243"/>
        <v>1</v>
      </c>
      <c r="BT28" s="433">
        <f t="shared" si="244"/>
        <v>1</v>
      </c>
      <c r="BU28" s="333">
        <f t="shared" si="245"/>
        <v>1</v>
      </c>
      <c r="BV28" s="432">
        <f t="shared" si="246"/>
        <v>1</v>
      </c>
      <c r="BW28" s="432">
        <f t="shared" si="247"/>
        <v>1</v>
      </c>
      <c r="BX28" s="433">
        <f t="shared" si="248"/>
        <v>1</v>
      </c>
      <c r="BY28" s="333">
        <f t="shared" si="249"/>
        <v>1</v>
      </c>
      <c r="BZ28" s="432">
        <f t="shared" si="250"/>
        <v>1</v>
      </c>
      <c r="CA28" s="432">
        <f t="shared" si="251"/>
        <v>1</v>
      </c>
      <c r="CB28" s="433">
        <f t="shared" si="252"/>
        <v>1</v>
      </c>
      <c r="CC28" s="333">
        <f t="shared" si="253"/>
        <v>1</v>
      </c>
      <c r="CD28" s="432">
        <f t="shared" si="254"/>
        <v>1</v>
      </c>
      <c r="CE28" s="432">
        <f t="shared" si="255"/>
        <v>1</v>
      </c>
      <c r="CF28" s="433">
        <f t="shared" si="256"/>
        <v>1</v>
      </c>
      <c r="CG28" s="333">
        <f t="shared" si="257"/>
        <v>1</v>
      </c>
      <c r="CH28" s="432">
        <f t="shared" si="258"/>
        <v>1</v>
      </c>
      <c r="CI28" s="432">
        <f t="shared" si="259"/>
        <v>1</v>
      </c>
      <c r="CJ28" s="433">
        <f t="shared" si="260"/>
        <v>1</v>
      </c>
      <c r="CK28" s="333">
        <f t="shared" si="261"/>
        <v>1</v>
      </c>
      <c r="CL28" s="432">
        <f t="shared" si="262"/>
        <v>1</v>
      </c>
      <c r="CM28" s="432">
        <f t="shared" si="263"/>
        <v>1</v>
      </c>
      <c r="CN28" s="433">
        <f t="shared" si="264"/>
        <v>1</v>
      </c>
      <c r="CO28" s="333">
        <f t="shared" si="265"/>
        <v>1</v>
      </c>
      <c r="CP28" s="432">
        <f t="shared" si="266"/>
        <v>1</v>
      </c>
      <c r="CQ28" s="432">
        <f t="shared" si="267"/>
        <v>1</v>
      </c>
      <c r="CR28" s="433">
        <f t="shared" si="268"/>
        <v>1</v>
      </c>
      <c r="CS28" s="333">
        <f t="shared" si="269"/>
        <v>1</v>
      </c>
      <c r="CT28" s="432">
        <f t="shared" si="270"/>
        <v>1</v>
      </c>
      <c r="CU28" s="432">
        <f t="shared" si="271"/>
        <v>1</v>
      </c>
      <c r="CV28" s="433">
        <f t="shared" si="272"/>
        <v>1</v>
      </c>
      <c r="CW28" s="333">
        <f t="shared" si="273"/>
        <v>1</v>
      </c>
      <c r="CX28" s="432">
        <f t="shared" si="274"/>
        <v>1</v>
      </c>
      <c r="CY28" s="432">
        <f t="shared" si="275"/>
        <v>1</v>
      </c>
      <c r="CZ28" s="433">
        <f t="shared" si="276"/>
        <v>1</v>
      </c>
      <c r="DA28" s="333">
        <f t="shared" si="277"/>
        <v>1</v>
      </c>
      <c r="DB28" s="432">
        <f t="shared" si="278"/>
        <v>1</v>
      </c>
      <c r="DC28" s="432">
        <f t="shared" si="279"/>
        <v>1</v>
      </c>
      <c r="DD28" s="433">
        <f t="shared" si="280"/>
        <v>1</v>
      </c>
      <c r="DE28" s="333">
        <f t="shared" si="281"/>
        <v>1</v>
      </c>
      <c r="DF28" s="432">
        <f t="shared" si="282"/>
        <v>1</v>
      </c>
      <c r="DG28" s="432">
        <f t="shared" si="283"/>
        <v>1</v>
      </c>
      <c r="DH28" s="433">
        <f t="shared" si="284"/>
        <v>1</v>
      </c>
      <c r="DI28" s="333">
        <f t="shared" si="285"/>
        <v>1</v>
      </c>
      <c r="DJ28" s="432">
        <f t="shared" si="286"/>
        <v>1</v>
      </c>
      <c r="DK28" s="432">
        <f t="shared" si="287"/>
        <v>1</v>
      </c>
      <c r="DL28" s="433">
        <f t="shared" si="288"/>
        <v>1</v>
      </c>
      <c r="DM28" s="333">
        <f t="shared" si="289"/>
        <v>1</v>
      </c>
      <c r="DN28" s="432">
        <f t="shared" si="290"/>
        <v>1</v>
      </c>
      <c r="DO28" s="432">
        <f t="shared" si="291"/>
        <v>1</v>
      </c>
      <c r="DP28" s="433">
        <f t="shared" si="292"/>
        <v>1</v>
      </c>
      <c r="DQ28" s="333">
        <f t="shared" si="293"/>
        <v>1</v>
      </c>
      <c r="DR28" s="432">
        <f t="shared" si="294"/>
        <v>1</v>
      </c>
      <c r="DS28" s="432">
        <f t="shared" si="295"/>
        <v>1</v>
      </c>
      <c r="DT28" s="433">
        <f t="shared" si="296"/>
        <v>1</v>
      </c>
      <c r="DU28" s="333">
        <f t="shared" si="297"/>
        <v>1</v>
      </c>
      <c r="DV28" s="432">
        <f t="shared" si="298"/>
        <v>1</v>
      </c>
      <c r="DW28" s="432">
        <f t="shared" si="299"/>
        <v>1</v>
      </c>
      <c r="DX28" s="433">
        <f t="shared" si="300"/>
        <v>1</v>
      </c>
      <c r="DY28" s="333">
        <f t="shared" si="301"/>
        <v>1</v>
      </c>
      <c r="DZ28" s="432">
        <f t="shared" si="302"/>
        <v>1</v>
      </c>
      <c r="EA28" s="432">
        <f t="shared" si="303"/>
        <v>1</v>
      </c>
      <c r="EB28" s="433">
        <f t="shared" si="304"/>
        <v>1</v>
      </c>
      <c r="EC28" s="333">
        <f t="shared" si="305"/>
        <v>1</v>
      </c>
      <c r="ED28" s="432">
        <f t="shared" si="306"/>
        <v>1</v>
      </c>
      <c r="EE28" s="432">
        <f t="shared" si="307"/>
        <v>1</v>
      </c>
      <c r="EF28" s="433">
        <f t="shared" si="308"/>
        <v>1</v>
      </c>
      <c r="EG28" s="333">
        <f t="shared" si="309"/>
        <v>1</v>
      </c>
      <c r="EH28" s="432">
        <f t="shared" si="310"/>
        <v>1</v>
      </c>
      <c r="EI28" s="432">
        <f t="shared" si="311"/>
        <v>1</v>
      </c>
      <c r="EJ28" s="433">
        <f t="shared" si="312"/>
        <v>1</v>
      </c>
      <c r="EK28" s="333">
        <f t="shared" si="313"/>
        <v>1</v>
      </c>
      <c r="EL28" s="432">
        <f t="shared" si="314"/>
        <v>1</v>
      </c>
      <c r="EM28" s="432">
        <f t="shared" si="315"/>
        <v>1</v>
      </c>
      <c r="EN28" s="433">
        <f t="shared" si="316"/>
        <v>1</v>
      </c>
      <c r="EO28" s="333">
        <f t="shared" si="317"/>
        <v>1</v>
      </c>
      <c r="EP28" s="432">
        <f t="shared" si="318"/>
        <v>1</v>
      </c>
      <c r="EQ28" s="432">
        <f t="shared" si="319"/>
        <v>1</v>
      </c>
      <c r="ER28" s="433">
        <f t="shared" si="320"/>
        <v>1</v>
      </c>
      <c r="ES28" s="333">
        <f t="shared" si="321"/>
        <v>1</v>
      </c>
      <c r="ET28" s="432">
        <f t="shared" si="322"/>
        <v>1</v>
      </c>
      <c r="EU28" s="432">
        <f t="shared" si="323"/>
        <v>1</v>
      </c>
      <c r="EV28" s="433">
        <f t="shared" si="324"/>
        <v>1</v>
      </c>
      <c r="EW28" s="263">
        <f t="shared" si="206"/>
        <v>30</v>
      </c>
      <c r="EX28" s="263">
        <v>16</v>
      </c>
      <c r="EY28" s="263">
        <f t="shared" si="203"/>
        <v>8</v>
      </c>
      <c r="EZ28" s="263">
        <f t="shared" si="207"/>
        <v>13440</v>
      </c>
      <c r="FA28" s="263">
        <f t="shared" si="208"/>
        <v>7200</v>
      </c>
    </row>
    <row r="29" spans="2:157" s="268" customFormat="1" ht="29.25" customHeight="1">
      <c r="B29" s="257"/>
      <c r="C29" s="14" t="s">
        <v>252</v>
      </c>
      <c r="D29" s="15" t="s">
        <v>149</v>
      </c>
      <c r="E29" s="362">
        <v>1</v>
      </c>
      <c r="F29" s="16"/>
      <c r="G29" s="414"/>
      <c r="H29" s="17"/>
      <c r="I29" s="333"/>
      <c r="J29" s="261"/>
      <c r="K29" s="261"/>
      <c r="L29" s="262"/>
      <c r="M29" s="260"/>
      <c r="N29" s="261"/>
      <c r="O29" s="261"/>
      <c r="P29" s="262"/>
      <c r="Q29" s="260"/>
      <c r="R29" s="261"/>
      <c r="S29" s="261"/>
      <c r="T29" s="262"/>
      <c r="U29" s="260"/>
      <c r="V29" s="261"/>
      <c r="W29" s="261"/>
      <c r="X29" s="262"/>
      <c r="Y29" s="333"/>
      <c r="Z29" s="261"/>
      <c r="AA29" s="261"/>
      <c r="AB29" s="262"/>
      <c r="AC29" s="260"/>
      <c r="AD29" s="261"/>
      <c r="AE29" s="261"/>
      <c r="AF29" s="262"/>
      <c r="AG29" s="333">
        <f t="shared" si="83"/>
        <v>1</v>
      </c>
      <c r="AH29" s="432">
        <f t="shared" si="84"/>
        <v>1</v>
      </c>
      <c r="AI29" s="432">
        <f t="shared" si="85"/>
        <v>1</v>
      </c>
      <c r="AJ29" s="433">
        <f t="shared" si="86"/>
        <v>1</v>
      </c>
      <c r="AK29" s="333">
        <f t="shared" si="209"/>
        <v>1</v>
      </c>
      <c r="AL29" s="432">
        <f t="shared" si="210"/>
        <v>1</v>
      </c>
      <c r="AM29" s="432">
        <f t="shared" si="211"/>
        <v>1</v>
      </c>
      <c r="AN29" s="433">
        <f t="shared" si="212"/>
        <v>1</v>
      </c>
      <c r="AO29" s="333">
        <f t="shared" si="213"/>
        <v>1</v>
      </c>
      <c r="AP29" s="432">
        <f t="shared" si="214"/>
        <v>1</v>
      </c>
      <c r="AQ29" s="432">
        <f t="shared" si="215"/>
        <v>1</v>
      </c>
      <c r="AR29" s="433">
        <f t="shared" si="216"/>
        <v>1</v>
      </c>
      <c r="AS29" s="333">
        <f t="shared" si="217"/>
        <v>1</v>
      </c>
      <c r="AT29" s="432">
        <f t="shared" si="218"/>
        <v>1</v>
      </c>
      <c r="AU29" s="432">
        <f t="shared" si="219"/>
        <v>1</v>
      </c>
      <c r="AV29" s="433">
        <f t="shared" si="220"/>
        <v>1</v>
      </c>
      <c r="AW29" s="333">
        <f t="shared" si="221"/>
        <v>1</v>
      </c>
      <c r="AX29" s="432">
        <f t="shared" si="222"/>
        <v>1</v>
      </c>
      <c r="AY29" s="432">
        <f t="shared" si="223"/>
        <v>1</v>
      </c>
      <c r="AZ29" s="433">
        <f t="shared" si="224"/>
        <v>1</v>
      </c>
      <c r="BA29" s="333">
        <f t="shared" si="225"/>
        <v>1</v>
      </c>
      <c r="BB29" s="432">
        <f t="shared" si="226"/>
        <v>1</v>
      </c>
      <c r="BC29" s="432">
        <f t="shared" si="227"/>
        <v>1</v>
      </c>
      <c r="BD29" s="433">
        <f t="shared" si="228"/>
        <v>1</v>
      </c>
      <c r="BE29" s="333">
        <f t="shared" si="229"/>
        <v>1</v>
      </c>
      <c r="BF29" s="432">
        <f t="shared" si="230"/>
        <v>1</v>
      </c>
      <c r="BG29" s="432">
        <f t="shared" si="231"/>
        <v>1</v>
      </c>
      <c r="BH29" s="433">
        <f t="shared" si="232"/>
        <v>1</v>
      </c>
      <c r="BI29" s="333">
        <f t="shared" si="233"/>
        <v>1</v>
      </c>
      <c r="BJ29" s="432">
        <f t="shared" si="234"/>
        <v>1</v>
      </c>
      <c r="BK29" s="432">
        <f t="shared" si="235"/>
        <v>1</v>
      </c>
      <c r="BL29" s="433">
        <f t="shared" si="236"/>
        <v>1</v>
      </c>
      <c r="BM29" s="333">
        <f t="shared" si="237"/>
        <v>1</v>
      </c>
      <c r="BN29" s="432">
        <f t="shared" si="238"/>
        <v>1</v>
      </c>
      <c r="BO29" s="432">
        <f t="shared" si="239"/>
        <v>1</v>
      </c>
      <c r="BP29" s="433">
        <f t="shared" si="240"/>
        <v>1</v>
      </c>
      <c r="BQ29" s="333">
        <f t="shared" si="241"/>
        <v>1</v>
      </c>
      <c r="BR29" s="432">
        <f t="shared" si="242"/>
        <v>1</v>
      </c>
      <c r="BS29" s="432">
        <f t="shared" si="243"/>
        <v>1</v>
      </c>
      <c r="BT29" s="433">
        <f t="shared" si="244"/>
        <v>1</v>
      </c>
      <c r="BU29" s="333">
        <f t="shared" si="245"/>
        <v>1</v>
      </c>
      <c r="BV29" s="432">
        <f t="shared" si="246"/>
        <v>1</v>
      </c>
      <c r="BW29" s="432">
        <f t="shared" si="247"/>
        <v>1</v>
      </c>
      <c r="BX29" s="433">
        <f t="shared" si="248"/>
        <v>1</v>
      </c>
      <c r="BY29" s="333">
        <f t="shared" si="249"/>
        <v>1</v>
      </c>
      <c r="BZ29" s="432">
        <f t="shared" si="250"/>
        <v>1</v>
      </c>
      <c r="CA29" s="432">
        <f t="shared" si="251"/>
        <v>1</v>
      </c>
      <c r="CB29" s="433">
        <f t="shared" si="252"/>
        <v>1</v>
      </c>
      <c r="CC29" s="333">
        <f t="shared" si="253"/>
        <v>1</v>
      </c>
      <c r="CD29" s="432">
        <f t="shared" si="254"/>
        <v>1</v>
      </c>
      <c r="CE29" s="432">
        <f t="shared" si="255"/>
        <v>1</v>
      </c>
      <c r="CF29" s="433">
        <f t="shared" si="256"/>
        <v>1</v>
      </c>
      <c r="CG29" s="333">
        <f t="shared" si="257"/>
        <v>1</v>
      </c>
      <c r="CH29" s="432">
        <f t="shared" si="258"/>
        <v>1</v>
      </c>
      <c r="CI29" s="432">
        <f t="shared" si="259"/>
        <v>1</v>
      </c>
      <c r="CJ29" s="433">
        <f t="shared" si="260"/>
        <v>1</v>
      </c>
      <c r="CK29" s="333">
        <f t="shared" si="261"/>
        <v>1</v>
      </c>
      <c r="CL29" s="432">
        <f t="shared" si="262"/>
        <v>1</v>
      </c>
      <c r="CM29" s="432">
        <f t="shared" si="263"/>
        <v>1</v>
      </c>
      <c r="CN29" s="433">
        <f t="shared" si="264"/>
        <v>1</v>
      </c>
      <c r="CO29" s="333">
        <f t="shared" si="265"/>
        <v>1</v>
      </c>
      <c r="CP29" s="432">
        <f t="shared" si="266"/>
        <v>1</v>
      </c>
      <c r="CQ29" s="432">
        <f t="shared" si="267"/>
        <v>1</v>
      </c>
      <c r="CR29" s="433">
        <f t="shared" si="268"/>
        <v>1</v>
      </c>
      <c r="CS29" s="333">
        <f t="shared" si="269"/>
        <v>1</v>
      </c>
      <c r="CT29" s="432">
        <f t="shared" si="270"/>
        <v>1</v>
      </c>
      <c r="CU29" s="432">
        <f t="shared" si="271"/>
        <v>1</v>
      </c>
      <c r="CV29" s="433">
        <f t="shared" si="272"/>
        <v>1</v>
      </c>
      <c r="CW29" s="333">
        <f t="shared" si="273"/>
        <v>1</v>
      </c>
      <c r="CX29" s="432">
        <f t="shared" si="274"/>
        <v>1</v>
      </c>
      <c r="CY29" s="432">
        <f t="shared" si="275"/>
        <v>1</v>
      </c>
      <c r="CZ29" s="433">
        <f t="shared" si="276"/>
        <v>1</v>
      </c>
      <c r="DA29" s="333">
        <f t="shared" si="277"/>
        <v>1</v>
      </c>
      <c r="DB29" s="432">
        <f t="shared" si="278"/>
        <v>1</v>
      </c>
      <c r="DC29" s="432">
        <f t="shared" si="279"/>
        <v>1</v>
      </c>
      <c r="DD29" s="433">
        <f t="shared" si="280"/>
        <v>1</v>
      </c>
      <c r="DE29" s="333">
        <f t="shared" si="281"/>
        <v>1</v>
      </c>
      <c r="DF29" s="432">
        <f t="shared" si="282"/>
        <v>1</v>
      </c>
      <c r="DG29" s="432">
        <f t="shared" si="283"/>
        <v>1</v>
      </c>
      <c r="DH29" s="433">
        <f t="shared" si="284"/>
        <v>1</v>
      </c>
      <c r="DI29" s="333">
        <f t="shared" si="285"/>
        <v>1</v>
      </c>
      <c r="DJ29" s="432">
        <f t="shared" si="286"/>
        <v>1</v>
      </c>
      <c r="DK29" s="432">
        <f t="shared" si="287"/>
        <v>1</v>
      </c>
      <c r="DL29" s="433">
        <f t="shared" si="288"/>
        <v>1</v>
      </c>
      <c r="DM29" s="333">
        <f t="shared" si="289"/>
        <v>1</v>
      </c>
      <c r="DN29" s="432">
        <f t="shared" si="290"/>
        <v>1</v>
      </c>
      <c r="DO29" s="432">
        <f t="shared" si="291"/>
        <v>1</v>
      </c>
      <c r="DP29" s="433">
        <f t="shared" si="292"/>
        <v>1</v>
      </c>
      <c r="DQ29" s="333">
        <f t="shared" si="293"/>
        <v>1</v>
      </c>
      <c r="DR29" s="432">
        <f t="shared" si="294"/>
        <v>1</v>
      </c>
      <c r="DS29" s="432">
        <f t="shared" si="295"/>
        <v>1</v>
      </c>
      <c r="DT29" s="433">
        <f t="shared" si="296"/>
        <v>1</v>
      </c>
      <c r="DU29" s="333">
        <f t="shared" si="297"/>
        <v>1</v>
      </c>
      <c r="DV29" s="432">
        <f t="shared" si="298"/>
        <v>1</v>
      </c>
      <c r="DW29" s="432">
        <f t="shared" si="299"/>
        <v>1</v>
      </c>
      <c r="DX29" s="433">
        <f t="shared" si="300"/>
        <v>1</v>
      </c>
      <c r="DY29" s="333">
        <f t="shared" si="301"/>
        <v>1</v>
      </c>
      <c r="DZ29" s="432">
        <f t="shared" si="302"/>
        <v>1</v>
      </c>
      <c r="EA29" s="432">
        <f t="shared" si="303"/>
        <v>1</v>
      </c>
      <c r="EB29" s="433">
        <f t="shared" si="304"/>
        <v>1</v>
      </c>
      <c r="EC29" s="333">
        <f t="shared" si="305"/>
        <v>1</v>
      </c>
      <c r="ED29" s="432">
        <f t="shared" si="306"/>
        <v>1</v>
      </c>
      <c r="EE29" s="432">
        <f t="shared" si="307"/>
        <v>1</v>
      </c>
      <c r="EF29" s="433">
        <f t="shared" si="308"/>
        <v>1</v>
      </c>
      <c r="EG29" s="333">
        <f t="shared" si="309"/>
        <v>1</v>
      </c>
      <c r="EH29" s="432">
        <f t="shared" si="310"/>
        <v>1</v>
      </c>
      <c r="EI29" s="432">
        <f t="shared" si="311"/>
        <v>1</v>
      </c>
      <c r="EJ29" s="433">
        <f t="shared" si="312"/>
        <v>1</v>
      </c>
      <c r="EK29" s="333">
        <f t="shared" si="313"/>
        <v>1</v>
      </c>
      <c r="EL29" s="432">
        <f t="shared" si="314"/>
        <v>1</v>
      </c>
      <c r="EM29" s="432">
        <f t="shared" si="315"/>
        <v>1</v>
      </c>
      <c r="EN29" s="433">
        <f t="shared" si="316"/>
        <v>1</v>
      </c>
      <c r="EO29" s="333">
        <f t="shared" si="317"/>
        <v>1</v>
      </c>
      <c r="EP29" s="432">
        <f t="shared" si="318"/>
        <v>1</v>
      </c>
      <c r="EQ29" s="432">
        <f t="shared" si="319"/>
        <v>1</v>
      </c>
      <c r="ER29" s="433">
        <f t="shared" si="320"/>
        <v>1</v>
      </c>
      <c r="ES29" s="333">
        <f t="shared" si="321"/>
        <v>1</v>
      </c>
      <c r="ET29" s="432">
        <f t="shared" si="322"/>
        <v>1</v>
      </c>
      <c r="EU29" s="432">
        <f t="shared" si="323"/>
        <v>1</v>
      </c>
      <c r="EV29" s="433">
        <f t="shared" si="324"/>
        <v>1</v>
      </c>
      <c r="EW29" s="263">
        <f t="shared" si="206"/>
        <v>30</v>
      </c>
      <c r="EX29" s="263">
        <v>16</v>
      </c>
      <c r="EY29" s="263">
        <f t="shared" si="203"/>
        <v>8</v>
      </c>
      <c r="EZ29" s="263">
        <f t="shared" si="207"/>
        <v>13440</v>
      </c>
      <c r="FA29" s="263">
        <f t="shared" si="208"/>
        <v>7200</v>
      </c>
    </row>
    <row r="30" spans="2:157" s="268" customFormat="1" ht="29.25" customHeight="1">
      <c r="B30" s="257"/>
      <c r="C30" s="14" t="s">
        <v>261</v>
      </c>
      <c r="D30" s="15" t="s">
        <v>149</v>
      </c>
      <c r="E30" s="362">
        <v>1</v>
      </c>
      <c r="F30" s="16"/>
      <c r="G30" s="414"/>
      <c r="H30" s="17"/>
      <c r="I30" s="333"/>
      <c r="J30" s="261"/>
      <c r="K30" s="261"/>
      <c r="L30" s="262"/>
      <c r="M30" s="260"/>
      <c r="N30" s="261"/>
      <c r="O30" s="261"/>
      <c r="P30" s="262"/>
      <c r="Q30" s="260"/>
      <c r="R30" s="261"/>
      <c r="S30" s="261"/>
      <c r="T30" s="262"/>
      <c r="U30" s="260"/>
      <c r="V30" s="261"/>
      <c r="W30" s="261"/>
      <c r="X30" s="262"/>
      <c r="Y30" s="333"/>
      <c r="Z30" s="261"/>
      <c r="AA30" s="261"/>
      <c r="AB30" s="262"/>
      <c r="AC30" s="260"/>
      <c r="AD30" s="261"/>
      <c r="AE30" s="261"/>
      <c r="AF30" s="262"/>
      <c r="AG30" s="333">
        <f t="shared" si="83"/>
        <v>1</v>
      </c>
      <c r="AH30" s="432">
        <f t="shared" si="84"/>
        <v>1</v>
      </c>
      <c r="AI30" s="432">
        <f t="shared" si="85"/>
        <v>1</v>
      </c>
      <c r="AJ30" s="433">
        <f t="shared" si="86"/>
        <v>1</v>
      </c>
      <c r="AK30" s="333">
        <f t="shared" si="209"/>
        <v>1</v>
      </c>
      <c r="AL30" s="432">
        <f t="shared" si="210"/>
        <v>1</v>
      </c>
      <c r="AM30" s="432">
        <f t="shared" si="211"/>
        <v>1</v>
      </c>
      <c r="AN30" s="433">
        <f t="shared" si="212"/>
        <v>1</v>
      </c>
      <c r="AO30" s="333">
        <f t="shared" si="213"/>
        <v>1</v>
      </c>
      <c r="AP30" s="432">
        <f t="shared" si="214"/>
        <v>1</v>
      </c>
      <c r="AQ30" s="432">
        <f t="shared" si="215"/>
        <v>1</v>
      </c>
      <c r="AR30" s="433">
        <f t="shared" si="216"/>
        <v>1</v>
      </c>
      <c r="AS30" s="333">
        <f t="shared" si="217"/>
        <v>1</v>
      </c>
      <c r="AT30" s="432">
        <f t="shared" si="218"/>
        <v>1</v>
      </c>
      <c r="AU30" s="432">
        <f t="shared" si="219"/>
        <v>1</v>
      </c>
      <c r="AV30" s="433">
        <f t="shared" si="220"/>
        <v>1</v>
      </c>
      <c r="AW30" s="333">
        <f t="shared" si="221"/>
        <v>1</v>
      </c>
      <c r="AX30" s="432">
        <f t="shared" si="222"/>
        <v>1</v>
      </c>
      <c r="AY30" s="432">
        <f t="shared" si="223"/>
        <v>1</v>
      </c>
      <c r="AZ30" s="433">
        <f t="shared" si="224"/>
        <v>1</v>
      </c>
      <c r="BA30" s="333">
        <f t="shared" si="225"/>
        <v>1</v>
      </c>
      <c r="BB30" s="432">
        <f t="shared" si="226"/>
        <v>1</v>
      </c>
      <c r="BC30" s="432">
        <f t="shared" si="227"/>
        <v>1</v>
      </c>
      <c r="BD30" s="433">
        <f t="shared" si="228"/>
        <v>1</v>
      </c>
      <c r="BE30" s="333">
        <f t="shared" si="229"/>
        <v>1</v>
      </c>
      <c r="BF30" s="432">
        <f t="shared" si="230"/>
        <v>1</v>
      </c>
      <c r="BG30" s="432">
        <f t="shared" si="231"/>
        <v>1</v>
      </c>
      <c r="BH30" s="433">
        <f t="shared" si="232"/>
        <v>1</v>
      </c>
      <c r="BI30" s="333">
        <f t="shared" si="233"/>
        <v>1</v>
      </c>
      <c r="BJ30" s="432">
        <f t="shared" si="234"/>
        <v>1</v>
      </c>
      <c r="BK30" s="432">
        <f t="shared" si="235"/>
        <v>1</v>
      </c>
      <c r="BL30" s="433">
        <f t="shared" si="236"/>
        <v>1</v>
      </c>
      <c r="BM30" s="333">
        <f t="shared" si="237"/>
        <v>1</v>
      </c>
      <c r="BN30" s="432">
        <f t="shared" si="238"/>
        <v>1</v>
      </c>
      <c r="BO30" s="432">
        <f t="shared" si="239"/>
        <v>1</v>
      </c>
      <c r="BP30" s="433">
        <f t="shared" si="240"/>
        <v>1</v>
      </c>
      <c r="BQ30" s="333">
        <f t="shared" si="241"/>
        <v>1</v>
      </c>
      <c r="BR30" s="432">
        <f t="shared" si="242"/>
        <v>1</v>
      </c>
      <c r="BS30" s="432">
        <f t="shared" si="243"/>
        <v>1</v>
      </c>
      <c r="BT30" s="433">
        <f t="shared" si="244"/>
        <v>1</v>
      </c>
      <c r="BU30" s="333">
        <f t="shared" si="245"/>
        <v>1</v>
      </c>
      <c r="BV30" s="432">
        <f t="shared" si="246"/>
        <v>1</v>
      </c>
      <c r="BW30" s="432">
        <f t="shared" si="247"/>
        <v>1</v>
      </c>
      <c r="BX30" s="433">
        <f t="shared" si="248"/>
        <v>1</v>
      </c>
      <c r="BY30" s="333">
        <f t="shared" si="249"/>
        <v>1</v>
      </c>
      <c r="BZ30" s="432">
        <f t="shared" si="250"/>
        <v>1</v>
      </c>
      <c r="CA30" s="432">
        <f t="shared" si="251"/>
        <v>1</v>
      </c>
      <c r="CB30" s="433">
        <f t="shared" si="252"/>
        <v>1</v>
      </c>
      <c r="CC30" s="333">
        <f t="shared" si="253"/>
        <v>1</v>
      </c>
      <c r="CD30" s="432">
        <f t="shared" si="254"/>
        <v>1</v>
      </c>
      <c r="CE30" s="432">
        <f t="shared" si="255"/>
        <v>1</v>
      </c>
      <c r="CF30" s="433">
        <f t="shared" si="256"/>
        <v>1</v>
      </c>
      <c r="CG30" s="333">
        <f t="shared" si="257"/>
        <v>1</v>
      </c>
      <c r="CH30" s="432">
        <f t="shared" si="258"/>
        <v>1</v>
      </c>
      <c r="CI30" s="432">
        <f t="shared" si="259"/>
        <v>1</v>
      </c>
      <c r="CJ30" s="433">
        <f t="shared" si="260"/>
        <v>1</v>
      </c>
      <c r="CK30" s="333">
        <f t="shared" si="261"/>
        <v>1</v>
      </c>
      <c r="CL30" s="432">
        <f t="shared" si="262"/>
        <v>1</v>
      </c>
      <c r="CM30" s="432">
        <f t="shared" si="263"/>
        <v>1</v>
      </c>
      <c r="CN30" s="433">
        <f t="shared" si="264"/>
        <v>1</v>
      </c>
      <c r="CO30" s="333">
        <f t="shared" si="265"/>
        <v>1</v>
      </c>
      <c r="CP30" s="432">
        <f t="shared" si="266"/>
        <v>1</v>
      </c>
      <c r="CQ30" s="432">
        <f t="shared" si="267"/>
        <v>1</v>
      </c>
      <c r="CR30" s="433">
        <f t="shared" si="268"/>
        <v>1</v>
      </c>
      <c r="CS30" s="333">
        <f t="shared" si="269"/>
        <v>1</v>
      </c>
      <c r="CT30" s="432">
        <f t="shared" si="270"/>
        <v>1</v>
      </c>
      <c r="CU30" s="432">
        <f t="shared" si="271"/>
        <v>1</v>
      </c>
      <c r="CV30" s="433">
        <f t="shared" si="272"/>
        <v>1</v>
      </c>
      <c r="CW30" s="333">
        <f t="shared" si="273"/>
        <v>1</v>
      </c>
      <c r="CX30" s="432">
        <f t="shared" si="274"/>
        <v>1</v>
      </c>
      <c r="CY30" s="432">
        <f t="shared" si="275"/>
        <v>1</v>
      </c>
      <c r="CZ30" s="433">
        <f t="shared" si="276"/>
        <v>1</v>
      </c>
      <c r="DA30" s="333">
        <f t="shared" si="277"/>
        <v>1</v>
      </c>
      <c r="DB30" s="432">
        <f t="shared" si="278"/>
        <v>1</v>
      </c>
      <c r="DC30" s="432">
        <f t="shared" si="279"/>
        <v>1</v>
      </c>
      <c r="DD30" s="433">
        <f t="shared" si="280"/>
        <v>1</v>
      </c>
      <c r="DE30" s="333">
        <f t="shared" si="281"/>
        <v>1</v>
      </c>
      <c r="DF30" s="432">
        <f t="shared" si="282"/>
        <v>1</v>
      </c>
      <c r="DG30" s="432">
        <f t="shared" si="283"/>
        <v>1</v>
      </c>
      <c r="DH30" s="433">
        <f t="shared" si="284"/>
        <v>1</v>
      </c>
      <c r="DI30" s="333">
        <f t="shared" si="285"/>
        <v>1</v>
      </c>
      <c r="DJ30" s="432">
        <f t="shared" si="286"/>
        <v>1</v>
      </c>
      <c r="DK30" s="432">
        <f t="shared" si="287"/>
        <v>1</v>
      </c>
      <c r="DL30" s="433">
        <f t="shared" si="288"/>
        <v>1</v>
      </c>
      <c r="DM30" s="333">
        <f t="shared" si="289"/>
        <v>1</v>
      </c>
      <c r="DN30" s="432">
        <f t="shared" si="290"/>
        <v>1</v>
      </c>
      <c r="DO30" s="432">
        <f t="shared" si="291"/>
        <v>1</v>
      </c>
      <c r="DP30" s="433">
        <f t="shared" si="292"/>
        <v>1</v>
      </c>
      <c r="DQ30" s="333">
        <f t="shared" si="293"/>
        <v>1</v>
      </c>
      <c r="DR30" s="432">
        <f t="shared" si="294"/>
        <v>1</v>
      </c>
      <c r="DS30" s="432">
        <f t="shared" si="295"/>
        <v>1</v>
      </c>
      <c r="DT30" s="433">
        <f t="shared" si="296"/>
        <v>1</v>
      </c>
      <c r="DU30" s="333">
        <f t="shared" si="297"/>
        <v>1</v>
      </c>
      <c r="DV30" s="432">
        <f t="shared" si="298"/>
        <v>1</v>
      </c>
      <c r="DW30" s="432">
        <f t="shared" si="299"/>
        <v>1</v>
      </c>
      <c r="DX30" s="433">
        <f t="shared" si="300"/>
        <v>1</v>
      </c>
      <c r="DY30" s="333">
        <f t="shared" si="301"/>
        <v>1</v>
      </c>
      <c r="DZ30" s="432">
        <f t="shared" si="302"/>
        <v>1</v>
      </c>
      <c r="EA30" s="432">
        <f t="shared" si="303"/>
        <v>1</v>
      </c>
      <c r="EB30" s="433">
        <f t="shared" si="304"/>
        <v>1</v>
      </c>
      <c r="EC30" s="333">
        <f t="shared" si="305"/>
        <v>1</v>
      </c>
      <c r="ED30" s="432">
        <f t="shared" si="306"/>
        <v>1</v>
      </c>
      <c r="EE30" s="432">
        <f t="shared" si="307"/>
        <v>1</v>
      </c>
      <c r="EF30" s="433">
        <f t="shared" si="308"/>
        <v>1</v>
      </c>
      <c r="EG30" s="333">
        <f t="shared" si="309"/>
        <v>1</v>
      </c>
      <c r="EH30" s="432">
        <f t="shared" si="310"/>
        <v>1</v>
      </c>
      <c r="EI30" s="432">
        <f t="shared" si="311"/>
        <v>1</v>
      </c>
      <c r="EJ30" s="433">
        <f t="shared" si="312"/>
        <v>1</v>
      </c>
      <c r="EK30" s="333">
        <f t="shared" si="313"/>
        <v>1</v>
      </c>
      <c r="EL30" s="432">
        <f t="shared" si="314"/>
        <v>1</v>
      </c>
      <c r="EM30" s="432">
        <f t="shared" si="315"/>
        <v>1</v>
      </c>
      <c r="EN30" s="433">
        <f t="shared" si="316"/>
        <v>1</v>
      </c>
      <c r="EO30" s="333">
        <f t="shared" si="317"/>
        <v>1</v>
      </c>
      <c r="EP30" s="432">
        <f t="shared" si="318"/>
        <v>1</v>
      </c>
      <c r="EQ30" s="432">
        <f t="shared" si="319"/>
        <v>1</v>
      </c>
      <c r="ER30" s="433">
        <f t="shared" si="320"/>
        <v>1</v>
      </c>
      <c r="ES30" s="333">
        <f t="shared" si="321"/>
        <v>1</v>
      </c>
      <c r="ET30" s="432">
        <f t="shared" si="322"/>
        <v>1</v>
      </c>
      <c r="EU30" s="432">
        <f t="shared" si="323"/>
        <v>1</v>
      </c>
      <c r="EV30" s="433">
        <f t="shared" si="324"/>
        <v>1</v>
      </c>
      <c r="EW30" s="263">
        <f t="shared" si="206"/>
        <v>30</v>
      </c>
      <c r="EX30" s="263">
        <v>16</v>
      </c>
      <c r="EY30" s="263">
        <f t="shared" ref="EY30:EY31" si="325">24-EX30</f>
        <v>8</v>
      </c>
      <c r="EZ30" s="263">
        <f t="shared" ref="EZ30:EZ31" si="326">+EW30*EX30*28</f>
        <v>13440</v>
      </c>
      <c r="FA30" s="263">
        <f t="shared" ref="FA30:FA31" si="327">+EW30*EY30*30</f>
        <v>7200</v>
      </c>
    </row>
    <row r="31" spans="2:157" s="268" customFormat="1" ht="29.25" customHeight="1">
      <c r="B31" s="257"/>
      <c r="C31" s="14" t="s">
        <v>262</v>
      </c>
      <c r="D31" s="15" t="s">
        <v>149</v>
      </c>
      <c r="E31" s="362">
        <v>1</v>
      </c>
      <c r="F31" s="16"/>
      <c r="G31" s="414"/>
      <c r="H31" s="17"/>
      <c r="I31" s="333"/>
      <c r="J31" s="261"/>
      <c r="K31" s="261"/>
      <c r="L31" s="262"/>
      <c r="M31" s="260"/>
      <c r="N31" s="261"/>
      <c r="O31" s="261"/>
      <c r="P31" s="262"/>
      <c r="Q31" s="260"/>
      <c r="R31" s="261"/>
      <c r="S31" s="261"/>
      <c r="T31" s="262"/>
      <c r="U31" s="260"/>
      <c r="V31" s="261"/>
      <c r="W31" s="261"/>
      <c r="X31" s="262"/>
      <c r="Y31" s="333"/>
      <c r="Z31" s="261"/>
      <c r="AA31" s="261"/>
      <c r="AB31" s="262"/>
      <c r="AC31" s="260"/>
      <c r="AD31" s="261"/>
      <c r="AE31" s="261"/>
      <c r="AF31" s="262"/>
      <c r="AG31" s="333">
        <f t="shared" si="83"/>
        <v>1</v>
      </c>
      <c r="AH31" s="432">
        <f t="shared" si="84"/>
        <v>1</v>
      </c>
      <c r="AI31" s="432">
        <f t="shared" si="85"/>
        <v>1</v>
      </c>
      <c r="AJ31" s="433">
        <f t="shared" si="86"/>
        <v>1</v>
      </c>
      <c r="AK31" s="333">
        <f t="shared" si="209"/>
        <v>1</v>
      </c>
      <c r="AL31" s="432">
        <f t="shared" si="210"/>
        <v>1</v>
      </c>
      <c r="AM31" s="432">
        <f t="shared" si="211"/>
        <v>1</v>
      </c>
      <c r="AN31" s="433">
        <f t="shared" si="212"/>
        <v>1</v>
      </c>
      <c r="AO31" s="333">
        <f t="shared" si="213"/>
        <v>1</v>
      </c>
      <c r="AP31" s="432">
        <f t="shared" si="214"/>
        <v>1</v>
      </c>
      <c r="AQ31" s="432">
        <f t="shared" si="215"/>
        <v>1</v>
      </c>
      <c r="AR31" s="433">
        <f t="shared" si="216"/>
        <v>1</v>
      </c>
      <c r="AS31" s="333">
        <f t="shared" si="217"/>
        <v>1</v>
      </c>
      <c r="AT31" s="432">
        <f t="shared" si="218"/>
        <v>1</v>
      </c>
      <c r="AU31" s="432">
        <f t="shared" si="219"/>
        <v>1</v>
      </c>
      <c r="AV31" s="433">
        <f t="shared" si="220"/>
        <v>1</v>
      </c>
      <c r="AW31" s="333">
        <f t="shared" si="221"/>
        <v>1</v>
      </c>
      <c r="AX31" s="432">
        <f t="shared" si="222"/>
        <v>1</v>
      </c>
      <c r="AY31" s="432">
        <f t="shared" si="223"/>
        <v>1</v>
      </c>
      <c r="AZ31" s="433">
        <f t="shared" si="224"/>
        <v>1</v>
      </c>
      <c r="BA31" s="333">
        <f t="shared" si="225"/>
        <v>1</v>
      </c>
      <c r="BB31" s="432">
        <f t="shared" si="226"/>
        <v>1</v>
      </c>
      <c r="BC31" s="432">
        <f t="shared" si="227"/>
        <v>1</v>
      </c>
      <c r="BD31" s="433">
        <f t="shared" si="228"/>
        <v>1</v>
      </c>
      <c r="BE31" s="333">
        <f t="shared" si="229"/>
        <v>1</v>
      </c>
      <c r="BF31" s="432">
        <f t="shared" si="230"/>
        <v>1</v>
      </c>
      <c r="BG31" s="432">
        <f t="shared" si="231"/>
        <v>1</v>
      </c>
      <c r="BH31" s="433">
        <f t="shared" si="232"/>
        <v>1</v>
      </c>
      <c r="BI31" s="333">
        <f t="shared" si="233"/>
        <v>1</v>
      </c>
      <c r="BJ31" s="432">
        <f t="shared" si="234"/>
        <v>1</v>
      </c>
      <c r="BK31" s="432">
        <f t="shared" si="235"/>
        <v>1</v>
      </c>
      <c r="BL31" s="433">
        <f t="shared" si="236"/>
        <v>1</v>
      </c>
      <c r="BM31" s="333">
        <f t="shared" si="237"/>
        <v>1</v>
      </c>
      <c r="BN31" s="432">
        <f t="shared" si="238"/>
        <v>1</v>
      </c>
      <c r="BO31" s="432">
        <f t="shared" si="239"/>
        <v>1</v>
      </c>
      <c r="BP31" s="433">
        <f t="shared" si="240"/>
        <v>1</v>
      </c>
      <c r="BQ31" s="333">
        <f t="shared" si="241"/>
        <v>1</v>
      </c>
      <c r="BR31" s="432">
        <f t="shared" si="242"/>
        <v>1</v>
      </c>
      <c r="BS31" s="432">
        <f t="shared" si="243"/>
        <v>1</v>
      </c>
      <c r="BT31" s="433">
        <f t="shared" si="244"/>
        <v>1</v>
      </c>
      <c r="BU31" s="333">
        <f t="shared" si="245"/>
        <v>1</v>
      </c>
      <c r="BV31" s="432">
        <f t="shared" si="246"/>
        <v>1</v>
      </c>
      <c r="BW31" s="432">
        <f t="shared" si="247"/>
        <v>1</v>
      </c>
      <c r="BX31" s="433">
        <f t="shared" si="248"/>
        <v>1</v>
      </c>
      <c r="BY31" s="333">
        <f t="shared" si="249"/>
        <v>1</v>
      </c>
      <c r="BZ31" s="432">
        <f t="shared" si="250"/>
        <v>1</v>
      </c>
      <c r="CA31" s="432">
        <f t="shared" si="251"/>
        <v>1</v>
      </c>
      <c r="CB31" s="433">
        <f t="shared" si="252"/>
        <v>1</v>
      </c>
      <c r="CC31" s="333">
        <f t="shared" si="253"/>
        <v>1</v>
      </c>
      <c r="CD31" s="432">
        <f t="shared" si="254"/>
        <v>1</v>
      </c>
      <c r="CE31" s="432">
        <f t="shared" si="255"/>
        <v>1</v>
      </c>
      <c r="CF31" s="433">
        <f t="shared" si="256"/>
        <v>1</v>
      </c>
      <c r="CG31" s="333">
        <f t="shared" si="257"/>
        <v>1</v>
      </c>
      <c r="CH31" s="432">
        <f t="shared" si="258"/>
        <v>1</v>
      </c>
      <c r="CI31" s="432">
        <f t="shared" si="259"/>
        <v>1</v>
      </c>
      <c r="CJ31" s="433">
        <f t="shared" si="260"/>
        <v>1</v>
      </c>
      <c r="CK31" s="333">
        <f t="shared" si="261"/>
        <v>1</v>
      </c>
      <c r="CL31" s="432">
        <f t="shared" si="262"/>
        <v>1</v>
      </c>
      <c r="CM31" s="432">
        <f t="shared" si="263"/>
        <v>1</v>
      </c>
      <c r="CN31" s="433">
        <f t="shared" si="264"/>
        <v>1</v>
      </c>
      <c r="CO31" s="333">
        <f t="shared" si="265"/>
        <v>1</v>
      </c>
      <c r="CP31" s="432">
        <f t="shared" si="266"/>
        <v>1</v>
      </c>
      <c r="CQ31" s="432">
        <f t="shared" si="267"/>
        <v>1</v>
      </c>
      <c r="CR31" s="433">
        <f t="shared" si="268"/>
        <v>1</v>
      </c>
      <c r="CS31" s="333">
        <f t="shared" si="269"/>
        <v>1</v>
      </c>
      <c r="CT31" s="432">
        <f t="shared" si="270"/>
        <v>1</v>
      </c>
      <c r="CU31" s="432">
        <f t="shared" si="271"/>
        <v>1</v>
      </c>
      <c r="CV31" s="433">
        <f t="shared" si="272"/>
        <v>1</v>
      </c>
      <c r="CW31" s="333">
        <f t="shared" si="273"/>
        <v>1</v>
      </c>
      <c r="CX31" s="432">
        <f t="shared" si="274"/>
        <v>1</v>
      </c>
      <c r="CY31" s="432">
        <f t="shared" si="275"/>
        <v>1</v>
      </c>
      <c r="CZ31" s="433">
        <f t="shared" si="276"/>
        <v>1</v>
      </c>
      <c r="DA31" s="333">
        <f t="shared" si="277"/>
        <v>1</v>
      </c>
      <c r="DB31" s="432">
        <f t="shared" si="278"/>
        <v>1</v>
      </c>
      <c r="DC31" s="432">
        <f t="shared" si="279"/>
        <v>1</v>
      </c>
      <c r="DD31" s="433">
        <f t="shared" si="280"/>
        <v>1</v>
      </c>
      <c r="DE31" s="333">
        <f t="shared" si="281"/>
        <v>1</v>
      </c>
      <c r="DF31" s="432">
        <f t="shared" si="282"/>
        <v>1</v>
      </c>
      <c r="DG31" s="432">
        <f t="shared" si="283"/>
        <v>1</v>
      </c>
      <c r="DH31" s="433">
        <f t="shared" si="284"/>
        <v>1</v>
      </c>
      <c r="DI31" s="333">
        <f t="shared" si="285"/>
        <v>1</v>
      </c>
      <c r="DJ31" s="432">
        <f t="shared" si="286"/>
        <v>1</v>
      </c>
      <c r="DK31" s="432">
        <f t="shared" si="287"/>
        <v>1</v>
      </c>
      <c r="DL31" s="433">
        <f t="shared" si="288"/>
        <v>1</v>
      </c>
      <c r="DM31" s="333">
        <f t="shared" si="289"/>
        <v>1</v>
      </c>
      <c r="DN31" s="432">
        <f t="shared" si="290"/>
        <v>1</v>
      </c>
      <c r="DO31" s="432">
        <f t="shared" si="291"/>
        <v>1</v>
      </c>
      <c r="DP31" s="433">
        <f t="shared" si="292"/>
        <v>1</v>
      </c>
      <c r="DQ31" s="333">
        <f t="shared" si="293"/>
        <v>1</v>
      </c>
      <c r="DR31" s="432">
        <f t="shared" si="294"/>
        <v>1</v>
      </c>
      <c r="DS31" s="432">
        <f t="shared" si="295"/>
        <v>1</v>
      </c>
      <c r="DT31" s="433">
        <f t="shared" si="296"/>
        <v>1</v>
      </c>
      <c r="DU31" s="333">
        <f t="shared" si="297"/>
        <v>1</v>
      </c>
      <c r="DV31" s="432">
        <f t="shared" si="298"/>
        <v>1</v>
      </c>
      <c r="DW31" s="432">
        <f t="shared" si="299"/>
        <v>1</v>
      </c>
      <c r="DX31" s="433">
        <f t="shared" si="300"/>
        <v>1</v>
      </c>
      <c r="DY31" s="333">
        <f t="shared" si="301"/>
        <v>1</v>
      </c>
      <c r="DZ31" s="432">
        <f t="shared" si="302"/>
        <v>1</v>
      </c>
      <c r="EA31" s="432">
        <f t="shared" si="303"/>
        <v>1</v>
      </c>
      <c r="EB31" s="433">
        <f t="shared" si="304"/>
        <v>1</v>
      </c>
      <c r="EC31" s="333">
        <f t="shared" si="305"/>
        <v>1</v>
      </c>
      <c r="ED31" s="432">
        <f t="shared" si="306"/>
        <v>1</v>
      </c>
      <c r="EE31" s="432">
        <f t="shared" si="307"/>
        <v>1</v>
      </c>
      <c r="EF31" s="433">
        <f t="shared" si="308"/>
        <v>1</v>
      </c>
      <c r="EG31" s="333">
        <f t="shared" si="309"/>
        <v>1</v>
      </c>
      <c r="EH31" s="432">
        <f t="shared" si="310"/>
        <v>1</v>
      </c>
      <c r="EI31" s="432">
        <f t="shared" si="311"/>
        <v>1</v>
      </c>
      <c r="EJ31" s="433">
        <f t="shared" si="312"/>
        <v>1</v>
      </c>
      <c r="EK31" s="333">
        <f t="shared" si="313"/>
        <v>1</v>
      </c>
      <c r="EL31" s="432">
        <f t="shared" si="314"/>
        <v>1</v>
      </c>
      <c r="EM31" s="432">
        <f t="shared" si="315"/>
        <v>1</v>
      </c>
      <c r="EN31" s="433">
        <f t="shared" si="316"/>
        <v>1</v>
      </c>
      <c r="EO31" s="333">
        <f t="shared" si="317"/>
        <v>1</v>
      </c>
      <c r="EP31" s="432">
        <f t="shared" si="318"/>
        <v>1</v>
      </c>
      <c r="EQ31" s="432">
        <f t="shared" si="319"/>
        <v>1</v>
      </c>
      <c r="ER31" s="433">
        <f t="shared" si="320"/>
        <v>1</v>
      </c>
      <c r="ES31" s="333">
        <f t="shared" si="321"/>
        <v>1</v>
      </c>
      <c r="ET31" s="432">
        <f t="shared" si="322"/>
        <v>1</v>
      </c>
      <c r="EU31" s="432">
        <f t="shared" si="323"/>
        <v>1</v>
      </c>
      <c r="EV31" s="433">
        <f t="shared" si="324"/>
        <v>1</v>
      </c>
      <c r="EW31" s="263">
        <f t="shared" si="206"/>
        <v>30</v>
      </c>
      <c r="EX31" s="263">
        <v>16</v>
      </c>
      <c r="EY31" s="263">
        <f t="shared" si="325"/>
        <v>8</v>
      </c>
      <c r="EZ31" s="263">
        <f t="shared" si="326"/>
        <v>13440</v>
      </c>
      <c r="FA31" s="263">
        <f t="shared" si="327"/>
        <v>7200</v>
      </c>
    </row>
    <row r="32" spans="2:157" s="268" customFormat="1" ht="29.25" customHeight="1">
      <c r="B32" s="257"/>
      <c r="C32" s="14" t="s">
        <v>254</v>
      </c>
      <c r="D32" s="15" t="s">
        <v>149</v>
      </c>
      <c r="E32" s="362">
        <v>5</v>
      </c>
      <c r="F32" s="16"/>
      <c r="G32" s="414"/>
      <c r="H32" s="17"/>
      <c r="I32" s="333"/>
      <c r="J32" s="261"/>
      <c r="K32" s="261"/>
      <c r="L32" s="262"/>
      <c r="M32" s="260"/>
      <c r="N32" s="261"/>
      <c r="O32" s="261"/>
      <c r="P32" s="262"/>
      <c r="Q32" s="260"/>
      <c r="R32" s="261"/>
      <c r="S32" s="261"/>
      <c r="T32" s="262"/>
      <c r="U32" s="260"/>
      <c r="V32" s="261"/>
      <c r="W32" s="261"/>
      <c r="X32" s="262"/>
      <c r="Y32" s="333"/>
      <c r="Z32" s="261"/>
      <c r="AA32" s="261"/>
      <c r="AB32" s="262"/>
      <c r="AC32" s="260"/>
      <c r="AD32" s="261"/>
      <c r="AE32" s="261"/>
      <c r="AF32" s="262"/>
      <c r="AG32" s="333">
        <f t="shared" si="83"/>
        <v>5</v>
      </c>
      <c r="AH32" s="432">
        <f t="shared" si="84"/>
        <v>5</v>
      </c>
      <c r="AI32" s="432">
        <f t="shared" si="85"/>
        <v>5</v>
      </c>
      <c r="AJ32" s="433">
        <f t="shared" si="86"/>
        <v>5</v>
      </c>
      <c r="AK32" s="333">
        <f t="shared" si="209"/>
        <v>5</v>
      </c>
      <c r="AL32" s="432">
        <f t="shared" si="210"/>
        <v>5</v>
      </c>
      <c r="AM32" s="432">
        <f t="shared" si="211"/>
        <v>5</v>
      </c>
      <c r="AN32" s="433">
        <f t="shared" si="212"/>
        <v>5</v>
      </c>
      <c r="AO32" s="333">
        <f t="shared" si="213"/>
        <v>5</v>
      </c>
      <c r="AP32" s="432">
        <f t="shared" si="214"/>
        <v>5</v>
      </c>
      <c r="AQ32" s="432">
        <f t="shared" si="215"/>
        <v>5</v>
      </c>
      <c r="AR32" s="433">
        <f t="shared" si="216"/>
        <v>5</v>
      </c>
      <c r="AS32" s="333">
        <f t="shared" si="217"/>
        <v>5</v>
      </c>
      <c r="AT32" s="432">
        <f t="shared" si="218"/>
        <v>5</v>
      </c>
      <c r="AU32" s="432">
        <f t="shared" si="219"/>
        <v>5</v>
      </c>
      <c r="AV32" s="433">
        <f t="shared" si="220"/>
        <v>5</v>
      </c>
      <c r="AW32" s="333">
        <f t="shared" si="221"/>
        <v>5</v>
      </c>
      <c r="AX32" s="432">
        <f t="shared" si="222"/>
        <v>5</v>
      </c>
      <c r="AY32" s="432">
        <f t="shared" si="223"/>
        <v>5</v>
      </c>
      <c r="AZ32" s="433">
        <f t="shared" si="224"/>
        <v>5</v>
      </c>
      <c r="BA32" s="333">
        <f t="shared" si="225"/>
        <v>5</v>
      </c>
      <c r="BB32" s="432">
        <f t="shared" si="226"/>
        <v>5</v>
      </c>
      <c r="BC32" s="432">
        <f t="shared" si="227"/>
        <v>5</v>
      </c>
      <c r="BD32" s="433">
        <f t="shared" si="228"/>
        <v>5</v>
      </c>
      <c r="BE32" s="333">
        <f t="shared" si="229"/>
        <v>5</v>
      </c>
      <c r="BF32" s="432">
        <f t="shared" si="230"/>
        <v>5</v>
      </c>
      <c r="BG32" s="432">
        <f t="shared" si="231"/>
        <v>5</v>
      </c>
      <c r="BH32" s="433">
        <f t="shared" si="232"/>
        <v>5</v>
      </c>
      <c r="BI32" s="333">
        <f t="shared" si="233"/>
        <v>5</v>
      </c>
      <c r="BJ32" s="432">
        <f t="shared" si="234"/>
        <v>5</v>
      </c>
      <c r="BK32" s="432">
        <f t="shared" si="235"/>
        <v>5</v>
      </c>
      <c r="BL32" s="433">
        <f t="shared" si="236"/>
        <v>5</v>
      </c>
      <c r="BM32" s="333">
        <f t="shared" si="237"/>
        <v>5</v>
      </c>
      <c r="BN32" s="432">
        <f t="shared" si="238"/>
        <v>5</v>
      </c>
      <c r="BO32" s="432">
        <f t="shared" si="239"/>
        <v>5</v>
      </c>
      <c r="BP32" s="433">
        <f t="shared" si="240"/>
        <v>5</v>
      </c>
      <c r="BQ32" s="333">
        <f t="shared" si="241"/>
        <v>5</v>
      </c>
      <c r="BR32" s="432">
        <f t="shared" si="242"/>
        <v>5</v>
      </c>
      <c r="BS32" s="432">
        <f t="shared" si="243"/>
        <v>5</v>
      </c>
      <c r="BT32" s="433">
        <f t="shared" si="244"/>
        <v>5</v>
      </c>
      <c r="BU32" s="333">
        <f t="shared" si="245"/>
        <v>5</v>
      </c>
      <c r="BV32" s="432">
        <f t="shared" si="246"/>
        <v>5</v>
      </c>
      <c r="BW32" s="432">
        <f t="shared" si="247"/>
        <v>5</v>
      </c>
      <c r="BX32" s="433">
        <f t="shared" si="248"/>
        <v>5</v>
      </c>
      <c r="BY32" s="333">
        <f t="shared" si="249"/>
        <v>5</v>
      </c>
      <c r="BZ32" s="432">
        <f t="shared" si="250"/>
        <v>5</v>
      </c>
      <c r="CA32" s="432">
        <f t="shared" si="251"/>
        <v>5</v>
      </c>
      <c r="CB32" s="433">
        <f t="shared" si="252"/>
        <v>5</v>
      </c>
      <c r="CC32" s="333">
        <f t="shared" si="253"/>
        <v>5</v>
      </c>
      <c r="CD32" s="432">
        <f t="shared" si="254"/>
        <v>5</v>
      </c>
      <c r="CE32" s="432">
        <f t="shared" si="255"/>
        <v>5</v>
      </c>
      <c r="CF32" s="433">
        <f t="shared" si="256"/>
        <v>5</v>
      </c>
      <c r="CG32" s="333">
        <f t="shared" si="257"/>
        <v>5</v>
      </c>
      <c r="CH32" s="432">
        <f t="shared" si="258"/>
        <v>5</v>
      </c>
      <c r="CI32" s="432">
        <f t="shared" si="259"/>
        <v>5</v>
      </c>
      <c r="CJ32" s="433">
        <f t="shared" si="260"/>
        <v>5</v>
      </c>
      <c r="CK32" s="333">
        <f t="shared" si="261"/>
        <v>5</v>
      </c>
      <c r="CL32" s="432">
        <f t="shared" si="262"/>
        <v>5</v>
      </c>
      <c r="CM32" s="432">
        <f t="shared" si="263"/>
        <v>5</v>
      </c>
      <c r="CN32" s="433">
        <f t="shared" si="264"/>
        <v>5</v>
      </c>
      <c r="CO32" s="333">
        <f t="shared" si="265"/>
        <v>5</v>
      </c>
      <c r="CP32" s="432">
        <f t="shared" si="266"/>
        <v>5</v>
      </c>
      <c r="CQ32" s="432">
        <f t="shared" si="267"/>
        <v>5</v>
      </c>
      <c r="CR32" s="433">
        <f t="shared" si="268"/>
        <v>5</v>
      </c>
      <c r="CS32" s="333">
        <f t="shared" si="269"/>
        <v>5</v>
      </c>
      <c r="CT32" s="432">
        <f t="shared" si="270"/>
        <v>5</v>
      </c>
      <c r="CU32" s="432">
        <f t="shared" si="271"/>
        <v>5</v>
      </c>
      <c r="CV32" s="433">
        <f t="shared" si="272"/>
        <v>5</v>
      </c>
      <c r="CW32" s="333">
        <f t="shared" si="273"/>
        <v>5</v>
      </c>
      <c r="CX32" s="432">
        <f t="shared" si="274"/>
        <v>5</v>
      </c>
      <c r="CY32" s="432">
        <f t="shared" si="275"/>
        <v>5</v>
      </c>
      <c r="CZ32" s="433">
        <f t="shared" si="276"/>
        <v>5</v>
      </c>
      <c r="DA32" s="333">
        <f t="shared" si="277"/>
        <v>5</v>
      </c>
      <c r="DB32" s="432">
        <f t="shared" si="278"/>
        <v>5</v>
      </c>
      <c r="DC32" s="432">
        <f t="shared" si="279"/>
        <v>5</v>
      </c>
      <c r="DD32" s="433">
        <f t="shared" si="280"/>
        <v>5</v>
      </c>
      <c r="DE32" s="333">
        <f t="shared" si="281"/>
        <v>5</v>
      </c>
      <c r="DF32" s="432">
        <f t="shared" si="282"/>
        <v>5</v>
      </c>
      <c r="DG32" s="432">
        <f t="shared" si="283"/>
        <v>5</v>
      </c>
      <c r="DH32" s="433">
        <f t="shared" si="284"/>
        <v>5</v>
      </c>
      <c r="DI32" s="333">
        <f t="shared" si="285"/>
        <v>5</v>
      </c>
      <c r="DJ32" s="432">
        <f t="shared" si="286"/>
        <v>5</v>
      </c>
      <c r="DK32" s="432">
        <f t="shared" si="287"/>
        <v>5</v>
      </c>
      <c r="DL32" s="433">
        <f t="shared" si="288"/>
        <v>5</v>
      </c>
      <c r="DM32" s="333">
        <f t="shared" si="289"/>
        <v>5</v>
      </c>
      <c r="DN32" s="432">
        <f t="shared" si="290"/>
        <v>5</v>
      </c>
      <c r="DO32" s="432">
        <f t="shared" si="291"/>
        <v>5</v>
      </c>
      <c r="DP32" s="433">
        <f t="shared" si="292"/>
        <v>5</v>
      </c>
      <c r="DQ32" s="333">
        <f t="shared" si="293"/>
        <v>5</v>
      </c>
      <c r="DR32" s="432">
        <f t="shared" si="294"/>
        <v>5</v>
      </c>
      <c r="DS32" s="432">
        <f t="shared" si="295"/>
        <v>5</v>
      </c>
      <c r="DT32" s="433">
        <f t="shared" si="296"/>
        <v>5</v>
      </c>
      <c r="DU32" s="333">
        <f t="shared" si="297"/>
        <v>5</v>
      </c>
      <c r="DV32" s="432">
        <f t="shared" si="298"/>
        <v>5</v>
      </c>
      <c r="DW32" s="432">
        <f t="shared" si="299"/>
        <v>5</v>
      </c>
      <c r="DX32" s="433">
        <f t="shared" si="300"/>
        <v>5</v>
      </c>
      <c r="DY32" s="333">
        <f t="shared" si="301"/>
        <v>5</v>
      </c>
      <c r="DZ32" s="432">
        <f t="shared" si="302"/>
        <v>5</v>
      </c>
      <c r="EA32" s="432">
        <f t="shared" si="303"/>
        <v>5</v>
      </c>
      <c r="EB32" s="433">
        <f t="shared" si="304"/>
        <v>5</v>
      </c>
      <c r="EC32" s="333">
        <f t="shared" si="305"/>
        <v>5</v>
      </c>
      <c r="ED32" s="432">
        <f t="shared" si="306"/>
        <v>5</v>
      </c>
      <c r="EE32" s="432">
        <f t="shared" si="307"/>
        <v>5</v>
      </c>
      <c r="EF32" s="433">
        <f t="shared" si="308"/>
        <v>5</v>
      </c>
      <c r="EG32" s="333">
        <f t="shared" si="309"/>
        <v>5</v>
      </c>
      <c r="EH32" s="432">
        <f t="shared" si="310"/>
        <v>5</v>
      </c>
      <c r="EI32" s="432">
        <f t="shared" si="311"/>
        <v>5</v>
      </c>
      <c r="EJ32" s="433">
        <f t="shared" si="312"/>
        <v>5</v>
      </c>
      <c r="EK32" s="333">
        <f t="shared" si="313"/>
        <v>5</v>
      </c>
      <c r="EL32" s="432">
        <f t="shared" si="314"/>
        <v>5</v>
      </c>
      <c r="EM32" s="432">
        <f t="shared" si="315"/>
        <v>5</v>
      </c>
      <c r="EN32" s="433">
        <f t="shared" si="316"/>
        <v>5</v>
      </c>
      <c r="EO32" s="333">
        <f t="shared" si="317"/>
        <v>5</v>
      </c>
      <c r="EP32" s="432">
        <f t="shared" si="318"/>
        <v>5</v>
      </c>
      <c r="EQ32" s="432">
        <f t="shared" si="319"/>
        <v>5</v>
      </c>
      <c r="ER32" s="433">
        <f t="shared" si="320"/>
        <v>5</v>
      </c>
      <c r="ES32" s="333">
        <f t="shared" si="321"/>
        <v>5</v>
      </c>
      <c r="ET32" s="432">
        <f t="shared" si="322"/>
        <v>5</v>
      </c>
      <c r="EU32" s="432">
        <f t="shared" si="323"/>
        <v>5</v>
      </c>
      <c r="EV32" s="433">
        <f t="shared" si="324"/>
        <v>5</v>
      </c>
      <c r="EW32" s="263">
        <f t="shared" si="206"/>
        <v>150</v>
      </c>
      <c r="EX32" s="263">
        <v>16</v>
      </c>
      <c r="EY32" s="263">
        <f t="shared" si="203"/>
        <v>8</v>
      </c>
      <c r="EZ32" s="263">
        <f t="shared" si="207"/>
        <v>67200</v>
      </c>
      <c r="FA32" s="263">
        <f t="shared" si="208"/>
        <v>36000</v>
      </c>
    </row>
    <row r="33" spans="2:157" s="268" customFormat="1" ht="29.25" customHeight="1">
      <c r="B33" s="257"/>
      <c r="C33" s="14" t="s">
        <v>255</v>
      </c>
      <c r="D33" s="15" t="s">
        <v>149</v>
      </c>
      <c r="E33" s="362">
        <v>5</v>
      </c>
      <c r="F33" s="16"/>
      <c r="G33" s="414"/>
      <c r="H33" s="17"/>
      <c r="I33" s="333"/>
      <c r="J33" s="261"/>
      <c r="K33" s="261"/>
      <c r="L33" s="262"/>
      <c r="M33" s="260"/>
      <c r="N33" s="261"/>
      <c r="O33" s="261"/>
      <c r="P33" s="262"/>
      <c r="Q33" s="260"/>
      <c r="R33" s="261"/>
      <c r="S33" s="261"/>
      <c r="T33" s="262"/>
      <c r="U33" s="260"/>
      <c r="V33" s="261"/>
      <c r="W33" s="261"/>
      <c r="X33" s="262"/>
      <c r="Y33" s="333"/>
      <c r="Z33" s="261"/>
      <c r="AA33" s="261"/>
      <c r="AB33" s="262"/>
      <c r="AC33" s="260"/>
      <c r="AD33" s="261"/>
      <c r="AE33" s="261"/>
      <c r="AF33" s="262"/>
      <c r="AG33" s="333">
        <f t="shared" si="83"/>
        <v>5</v>
      </c>
      <c r="AH33" s="432">
        <f t="shared" si="84"/>
        <v>5</v>
      </c>
      <c r="AI33" s="432">
        <f t="shared" si="85"/>
        <v>5</v>
      </c>
      <c r="AJ33" s="433">
        <f t="shared" si="86"/>
        <v>5</v>
      </c>
      <c r="AK33" s="333">
        <f t="shared" si="209"/>
        <v>5</v>
      </c>
      <c r="AL33" s="432">
        <f t="shared" si="210"/>
        <v>5</v>
      </c>
      <c r="AM33" s="432">
        <f t="shared" si="211"/>
        <v>5</v>
      </c>
      <c r="AN33" s="433">
        <f t="shared" si="212"/>
        <v>5</v>
      </c>
      <c r="AO33" s="333">
        <f t="shared" si="213"/>
        <v>5</v>
      </c>
      <c r="AP33" s="432">
        <f t="shared" si="214"/>
        <v>5</v>
      </c>
      <c r="AQ33" s="432">
        <f t="shared" si="215"/>
        <v>5</v>
      </c>
      <c r="AR33" s="433">
        <f t="shared" si="216"/>
        <v>5</v>
      </c>
      <c r="AS33" s="333">
        <f t="shared" si="217"/>
        <v>5</v>
      </c>
      <c r="AT33" s="432">
        <f t="shared" si="218"/>
        <v>5</v>
      </c>
      <c r="AU33" s="432">
        <f t="shared" si="219"/>
        <v>5</v>
      </c>
      <c r="AV33" s="433">
        <f t="shared" si="220"/>
        <v>5</v>
      </c>
      <c r="AW33" s="333">
        <f t="shared" si="221"/>
        <v>5</v>
      </c>
      <c r="AX33" s="432">
        <f t="shared" si="222"/>
        <v>5</v>
      </c>
      <c r="AY33" s="432">
        <f t="shared" si="223"/>
        <v>5</v>
      </c>
      <c r="AZ33" s="433">
        <f t="shared" si="224"/>
        <v>5</v>
      </c>
      <c r="BA33" s="333">
        <f t="shared" si="225"/>
        <v>5</v>
      </c>
      <c r="BB33" s="432">
        <f t="shared" si="226"/>
        <v>5</v>
      </c>
      <c r="BC33" s="432">
        <f t="shared" si="227"/>
        <v>5</v>
      </c>
      <c r="BD33" s="433">
        <f t="shared" si="228"/>
        <v>5</v>
      </c>
      <c r="BE33" s="333">
        <f t="shared" si="229"/>
        <v>5</v>
      </c>
      <c r="BF33" s="432">
        <f t="shared" si="230"/>
        <v>5</v>
      </c>
      <c r="BG33" s="432">
        <f t="shared" si="231"/>
        <v>5</v>
      </c>
      <c r="BH33" s="433">
        <f t="shared" si="232"/>
        <v>5</v>
      </c>
      <c r="BI33" s="333">
        <f t="shared" si="233"/>
        <v>5</v>
      </c>
      <c r="BJ33" s="432">
        <f t="shared" si="234"/>
        <v>5</v>
      </c>
      <c r="BK33" s="432">
        <f t="shared" si="235"/>
        <v>5</v>
      </c>
      <c r="BL33" s="433">
        <f t="shared" si="236"/>
        <v>5</v>
      </c>
      <c r="BM33" s="333">
        <f t="shared" si="237"/>
        <v>5</v>
      </c>
      <c r="BN33" s="432">
        <f t="shared" si="238"/>
        <v>5</v>
      </c>
      <c r="BO33" s="432">
        <f t="shared" si="239"/>
        <v>5</v>
      </c>
      <c r="BP33" s="433">
        <f t="shared" si="240"/>
        <v>5</v>
      </c>
      <c r="BQ33" s="333">
        <f t="shared" si="241"/>
        <v>5</v>
      </c>
      <c r="BR33" s="432">
        <f t="shared" si="242"/>
        <v>5</v>
      </c>
      <c r="BS33" s="432">
        <f t="shared" si="243"/>
        <v>5</v>
      </c>
      <c r="BT33" s="433">
        <f t="shared" si="244"/>
        <v>5</v>
      </c>
      <c r="BU33" s="333">
        <f t="shared" si="245"/>
        <v>5</v>
      </c>
      <c r="BV33" s="432">
        <f t="shared" si="246"/>
        <v>5</v>
      </c>
      <c r="BW33" s="432">
        <f t="shared" si="247"/>
        <v>5</v>
      </c>
      <c r="BX33" s="433">
        <f t="shared" si="248"/>
        <v>5</v>
      </c>
      <c r="BY33" s="333">
        <f t="shared" si="249"/>
        <v>5</v>
      </c>
      <c r="BZ33" s="432">
        <f t="shared" si="250"/>
        <v>5</v>
      </c>
      <c r="CA33" s="432">
        <f t="shared" si="251"/>
        <v>5</v>
      </c>
      <c r="CB33" s="433">
        <f t="shared" si="252"/>
        <v>5</v>
      </c>
      <c r="CC33" s="333">
        <f t="shared" si="253"/>
        <v>5</v>
      </c>
      <c r="CD33" s="432">
        <f t="shared" si="254"/>
        <v>5</v>
      </c>
      <c r="CE33" s="432">
        <f t="shared" si="255"/>
        <v>5</v>
      </c>
      <c r="CF33" s="433">
        <f t="shared" si="256"/>
        <v>5</v>
      </c>
      <c r="CG33" s="333">
        <f t="shared" si="257"/>
        <v>5</v>
      </c>
      <c r="CH33" s="432">
        <f t="shared" si="258"/>
        <v>5</v>
      </c>
      <c r="CI33" s="432">
        <f t="shared" si="259"/>
        <v>5</v>
      </c>
      <c r="CJ33" s="433">
        <f t="shared" si="260"/>
        <v>5</v>
      </c>
      <c r="CK33" s="333">
        <f t="shared" si="261"/>
        <v>5</v>
      </c>
      <c r="CL33" s="432">
        <f t="shared" si="262"/>
        <v>5</v>
      </c>
      <c r="CM33" s="432">
        <f t="shared" si="263"/>
        <v>5</v>
      </c>
      <c r="CN33" s="433">
        <f t="shared" si="264"/>
        <v>5</v>
      </c>
      <c r="CO33" s="333">
        <f t="shared" si="265"/>
        <v>5</v>
      </c>
      <c r="CP33" s="432">
        <f t="shared" si="266"/>
        <v>5</v>
      </c>
      <c r="CQ33" s="432">
        <f t="shared" si="267"/>
        <v>5</v>
      </c>
      <c r="CR33" s="433">
        <f t="shared" si="268"/>
        <v>5</v>
      </c>
      <c r="CS33" s="333">
        <f t="shared" si="269"/>
        <v>5</v>
      </c>
      <c r="CT33" s="432">
        <f t="shared" si="270"/>
        <v>5</v>
      </c>
      <c r="CU33" s="432">
        <f t="shared" si="271"/>
        <v>5</v>
      </c>
      <c r="CV33" s="433">
        <f t="shared" si="272"/>
        <v>5</v>
      </c>
      <c r="CW33" s="333">
        <f t="shared" si="273"/>
        <v>5</v>
      </c>
      <c r="CX33" s="432">
        <f t="shared" si="274"/>
        <v>5</v>
      </c>
      <c r="CY33" s="432">
        <f t="shared" si="275"/>
        <v>5</v>
      </c>
      <c r="CZ33" s="433">
        <f t="shared" si="276"/>
        <v>5</v>
      </c>
      <c r="DA33" s="333">
        <f t="shared" si="277"/>
        <v>5</v>
      </c>
      <c r="DB33" s="432">
        <f t="shared" si="278"/>
        <v>5</v>
      </c>
      <c r="DC33" s="432">
        <f t="shared" si="279"/>
        <v>5</v>
      </c>
      <c r="DD33" s="433">
        <f t="shared" si="280"/>
        <v>5</v>
      </c>
      <c r="DE33" s="333">
        <f t="shared" si="281"/>
        <v>5</v>
      </c>
      <c r="DF33" s="432">
        <f t="shared" si="282"/>
        <v>5</v>
      </c>
      <c r="DG33" s="432">
        <f t="shared" si="283"/>
        <v>5</v>
      </c>
      <c r="DH33" s="433">
        <f t="shared" si="284"/>
        <v>5</v>
      </c>
      <c r="DI33" s="333">
        <f t="shared" si="285"/>
        <v>5</v>
      </c>
      <c r="DJ33" s="432">
        <f t="shared" si="286"/>
        <v>5</v>
      </c>
      <c r="DK33" s="432">
        <f t="shared" si="287"/>
        <v>5</v>
      </c>
      <c r="DL33" s="433">
        <f t="shared" si="288"/>
        <v>5</v>
      </c>
      <c r="DM33" s="333">
        <f t="shared" si="289"/>
        <v>5</v>
      </c>
      <c r="DN33" s="432">
        <f t="shared" si="290"/>
        <v>5</v>
      </c>
      <c r="DO33" s="432">
        <f t="shared" si="291"/>
        <v>5</v>
      </c>
      <c r="DP33" s="433">
        <f t="shared" si="292"/>
        <v>5</v>
      </c>
      <c r="DQ33" s="333">
        <f t="shared" si="293"/>
        <v>5</v>
      </c>
      <c r="DR33" s="432">
        <f t="shared" si="294"/>
        <v>5</v>
      </c>
      <c r="DS33" s="432">
        <f t="shared" si="295"/>
        <v>5</v>
      </c>
      <c r="DT33" s="433">
        <f t="shared" si="296"/>
        <v>5</v>
      </c>
      <c r="DU33" s="333">
        <f t="shared" si="297"/>
        <v>5</v>
      </c>
      <c r="DV33" s="432">
        <f t="shared" si="298"/>
        <v>5</v>
      </c>
      <c r="DW33" s="432">
        <f t="shared" si="299"/>
        <v>5</v>
      </c>
      <c r="DX33" s="433">
        <f t="shared" si="300"/>
        <v>5</v>
      </c>
      <c r="DY33" s="333">
        <f t="shared" si="301"/>
        <v>5</v>
      </c>
      <c r="DZ33" s="432">
        <f t="shared" si="302"/>
        <v>5</v>
      </c>
      <c r="EA33" s="432">
        <f t="shared" si="303"/>
        <v>5</v>
      </c>
      <c r="EB33" s="433">
        <f t="shared" si="304"/>
        <v>5</v>
      </c>
      <c r="EC33" s="333">
        <f t="shared" si="305"/>
        <v>5</v>
      </c>
      <c r="ED33" s="432">
        <f t="shared" si="306"/>
        <v>5</v>
      </c>
      <c r="EE33" s="432">
        <f t="shared" si="307"/>
        <v>5</v>
      </c>
      <c r="EF33" s="433">
        <f t="shared" si="308"/>
        <v>5</v>
      </c>
      <c r="EG33" s="333">
        <f t="shared" si="309"/>
        <v>5</v>
      </c>
      <c r="EH33" s="432">
        <f t="shared" si="310"/>
        <v>5</v>
      </c>
      <c r="EI33" s="432">
        <f t="shared" si="311"/>
        <v>5</v>
      </c>
      <c r="EJ33" s="433">
        <f t="shared" si="312"/>
        <v>5</v>
      </c>
      <c r="EK33" s="333">
        <f t="shared" si="313"/>
        <v>5</v>
      </c>
      <c r="EL33" s="432">
        <f t="shared" si="314"/>
        <v>5</v>
      </c>
      <c r="EM33" s="432">
        <f t="shared" si="315"/>
        <v>5</v>
      </c>
      <c r="EN33" s="433">
        <f t="shared" si="316"/>
        <v>5</v>
      </c>
      <c r="EO33" s="333">
        <f t="shared" si="317"/>
        <v>5</v>
      </c>
      <c r="EP33" s="432">
        <f t="shared" si="318"/>
        <v>5</v>
      </c>
      <c r="EQ33" s="432">
        <f t="shared" si="319"/>
        <v>5</v>
      </c>
      <c r="ER33" s="433">
        <f t="shared" si="320"/>
        <v>5</v>
      </c>
      <c r="ES33" s="333">
        <f t="shared" si="321"/>
        <v>5</v>
      </c>
      <c r="ET33" s="432">
        <f t="shared" si="322"/>
        <v>5</v>
      </c>
      <c r="EU33" s="432">
        <f t="shared" si="323"/>
        <v>5</v>
      </c>
      <c r="EV33" s="433">
        <f t="shared" si="324"/>
        <v>5</v>
      </c>
      <c r="EW33" s="263">
        <f t="shared" si="206"/>
        <v>150</v>
      </c>
      <c r="EX33" s="263">
        <v>16</v>
      </c>
      <c r="EY33" s="263">
        <f t="shared" si="203"/>
        <v>8</v>
      </c>
      <c r="EZ33" s="263">
        <f t="shared" si="207"/>
        <v>67200</v>
      </c>
      <c r="FA33" s="263">
        <f t="shared" si="208"/>
        <v>36000</v>
      </c>
    </row>
    <row r="34" spans="2:157" s="268" customFormat="1" ht="29.25" customHeight="1">
      <c r="B34" s="257"/>
      <c r="C34" s="14" t="s">
        <v>256</v>
      </c>
      <c r="D34" s="15" t="s">
        <v>149</v>
      </c>
      <c r="E34" s="362">
        <v>3</v>
      </c>
      <c r="F34" s="16"/>
      <c r="G34" s="414"/>
      <c r="H34" s="17"/>
      <c r="I34" s="333"/>
      <c r="J34" s="261"/>
      <c r="K34" s="261"/>
      <c r="L34" s="262"/>
      <c r="M34" s="260"/>
      <c r="N34" s="261"/>
      <c r="O34" s="261"/>
      <c r="P34" s="262"/>
      <c r="Q34" s="260"/>
      <c r="R34" s="261"/>
      <c r="S34" s="261"/>
      <c r="T34" s="262"/>
      <c r="U34" s="260"/>
      <c r="V34" s="261"/>
      <c r="W34" s="261"/>
      <c r="X34" s="262"/>
      <c r="Y34" s="333"/>
      <c r="Z34" s="261"/>
      <c r="AA34" s="261"/>
      <c r="AB34" s="262"/>
      <c r="AC34" s="260"/>
      <c r="AD34" s="261"/>
      <c r="AE34" s="261"/>
      <c r="AF34" s="262"/>
      <c r="AG34" s="333">
        <f t="shared" si="83"/>
        <v>3</v>
      </c>
      <c r="AH34" s="432">
        <f t="shared" si="84"/>
        <v>3</v>
      </c>
      <c r="AI34" s="432">
        <f t="shared" si="85"/>
        <v>3</v>
      </c>
      <c r="AJ34" s="433">
        <f t="shared" si="86"/>
        <v>3</v>
      </c>
      <c r="AK34" s="333">
        <f t="shared" si="209"/>
        <v>3</v>
      </c>
      <c r="AL34" s="432">
        <f t="shared" si="210"/>
        <v>3</v>
      </c>
      <c r="AM34" s="432">
        <f t="shared" si="211"/>
        <v>3</v>
      </c>
      <c r="AN34" s="433">
        <f t="shared" si="212"/>
        <v>3</v>
      </c>
      <c r="AO34" s="333">
        <f t="shared" si="213"/>
        <v>3</v>
      </c>
      <c r="AP34" s="432">
        <f t="shared" si="214"/>
        <v>3</v>
      </c>
      <c r="AQ34" s="432">
        <f t="shared" si="215"/>
        <v>3</v>
      </c>
      <c r="AR34" s="433">
        <f t="shared" si="216"/>
        <v>3</v>
      </c>
      <c r="AS34" s="333">
        <f t="shared" si="217"/>
        <v>3</v>
      </c>
      <c r="AT34" s="432">
        <f t="shared" si="218"/>
        <v>3</v>
      </c>
      <c r="AU34" s="432">
        <f t="shared" si="219"/>
        <v>3</v>
      </c>
      <c r="AV34" s="433">
        <f t="shared" si="220"/>
        <v>3</v>
      </c>
      <c r="AW34" s="333">
        <f t="shared" si="221"/>
        <v>3</v>
      </c>
      <c r="AX34" s="432">
        <f t="shared" si="222"/>
        <v>3</v>
      </c>
      <c r="AY34" s="432">
        <f t="shared" si="223"/>
        <v>3</v>
      </c>
      <c r="AZ34" s="433">
        <f t="shared" si="224"/>
        <v>3</v>
      </c>
      <c r="BA34" s="333">
        <f t="shared" si="225"/>
        <v>3</v>
      </c>
      <c r="BB34" s="432">
        <f t="shared" si="226"/>
        <v>3</v>
      </c>
      <c r="BC34" s="432">
        <f t="shared" si="227"/>
        <v>3</v>
      </c>
      <c r="BD34" s="433">
        <f t="shared" si="228"/>
        <v>3</v>
      </c>
      <c r="BE34" s="333">
        <f t="shared" si="229"/>
        <v>3</v>
      </c>
      <c r="BF34" s="432">
        <f t="shared" si="230"/>
        <v>3</v>
      </c>
      <c r="BG34" s="432">
        <f t="shared" si="231"/>
        <v>3</v>
      </c>
      <c r="BH34" s="433">
        <f t="shared" si="232"/>
        <v>3</v>
      </c>
      <c r="BI34" s="333">
        <f t="shared" si="233"/>
        <v>3</v>
      </c>
      <c r="BJ34" s="432">
        <f t="shared" si="234"/>
        <v>3</v>
      </c>
      <c r="BK34" s="432">
        <f t="shared" si="235"/>
        <v>3</v>
      </c>
      <c r="BL34" s="433">
        <f t="shared" si="236"/>
        <v>3</v>
      </c>
      <c r="BM34" s="333">
        <f t="shared" si="237"/>
        <v>3</v>
      </c>
      <c r="BN34" s="432">
        <f t="shared" si="238"/>
        <v>3</v>
      </c>
      <c r="BO34" s="432">
        <f t="shared" si="239"/>
        <v>3</v>
      </c>
      <c r="BP34" s="433">
        <f t="shared" si="240"/>
        <v>3</v>
      </c>
      <c r="BQ34" s="333">
        <f t="shared" si="241"/>
        <v>3</v>
      </c>
      <c r="BR34" s="432">
        <f t="shared" si="242"/>
        <v>3</v>
      </c>
      <c r="BS34" s="432">
        <f t="shared" si="243"/>
        <v>3</v>
      </c>
      <c r="BT34" s="433">
        <f t="shared" si="244"/>
        <v>3</v>
      </c>
      <c r="BU34" s="333">
        <f t="shared" si="245"/>
        <v>3</v>
      </c>
      <c r="BV34" s="432">
        <f t="shared" si="246"/>
        <v>3</v>
      </c>
      <c r="BW34" s="432">
        <f t="shared" si="247"/>
        <v>3</v>
      </c>
      <c r="BX34" s="433">
        <f t="shared" si="248"/>
        <v>3</v>
      </c>
      <c r="BY34" s="333">
        <f t="shared" si="249"/>
        <v>3</v>
      </c>
      <c r="BZ34" s="432">
        <f t="shared" si="250"/>
        <v>3</v>
      </c>
      <c r="CA34" s="432">
        <f t="shared" si="251"/>
        <v>3</v>
      </c>
      <c r="CB34" s="433">
        <f t="shared" si="252"/>
        <v>3</v>
      </c>
      <c r="CC34" s="333">
        <f t="shared" si="253"/>
        <v>3</v>
      </c>
      <c r="CD34" s="432">
        <f t="shared" si="254"/>
        <v>3</v>
      </c>
      <c r="CE34" s="432">
        <f t="shared" si="255"/>
        <v>3</v>
      </c>
      <c r="CF34" s="433">
        <f t="shared" si="256"/>
        <v>3</v>
      </c>
      <c r="CG34" s="333">
        <f t="shared" si="257"/>
        <v>3</v>
      </c>
      <c r="CH34" s="432">
        <f t="shared" si="258"/>
        <v>3</v>
      </c>
      <c r="CI34" s="432">
        <f t="shared" si="259"/>
        <v>3</v>
      </c>
      <c r="CJ34" s="433">
        <f t="shared" si="260"/>
        <v>3</v>
      </c>
      <c r="CK34" s="333">
        <f t="shared" si="261"/>
        <v>3</v>
      </c>
      <c r="CL34" s="432">
        <f t="shared" si="262"/>
        <v>3</v>
      </c>
      <c r="CM34" s="432">
        <f t="shared" si="263"/>
        <v>3</v>
      </c>
      <c r="CN34" s="433">
        <f t="shared" si="264"/>
        <v>3</v>
      </c>
      <c r="CO34" s="333">
        <f t="shared" si="265"/>
        <v>3</v>
      </c>
      <c r="CP34" s="432">
        <f t="shared" si="266"/>
        <v>3</v>
      </c>
      <c r="CQ34" s="432">
        <f t="shared" si="267"/>
        <v>3</v>
      </c>
      <c r="CR34" s="433">
        <f t="shared" si="268"/>
        <v>3</v>
      </c>
      <c r="CS34" s="333">
        <f t="shared" si="269"/>
        <v>3</v>
      </c>
      <c r="CT34" s="432">
        <f t="shared" si="270"/>
        <v>3</v>
      </c>
      <c r="CU34" s="432">
        <f t="shared" si="271"/>
        <v>3</v>
      </c>
      <c r="CV34" s="433">
        <f t="shared" si="272"/>
        <v>3</v>
      </c>
      <c r="CW34" s="333">
        <f t="shared" si="273"/>
        <v>3</v>
      </c>
      <c r="CX34" s="432">
        <f t="shared" si="274"/>
        <v>3</v>
      </c>
      <c r="CY34" s="432">
        <f t="shared" si="275"/>
        <v>3</v>
      </c>
      <c r="CZ34" s="433">
        <f t="shared" si="276"/>
        <v>3</v>
      </c>
      <c r="DA34" s="333">
        <f t="shared" si="277"/>
        <v>3</v>
      </c>
      <c r="DB34" s="432">
        <f t="shared" si="278"/>
        <v>3</v>
      </c>
      <c r="DC34" s="432">
        <f t="shared" si="279"/>
        <v>3</v>
      </c>
      <c r="DD34" s="433">
        <f t="shared" si="280"/>
        <v>3</v>
      </c>
      <c r="DE34" s="333">
        <f t="shared" si="281"/>
        <v>3</v>
      </c>
      <c r="DF34" s="432">
        <f t="shared" si="282"/>
        <v>3</v>
      </c>
      <c r="DG34" s="432">
        <f t="shared" si="283"/>
        <v>3</v>
      </c>
      <c r="DH34" s="433">
        <f t="shared" si="284"/>
        <v>3</v>
      </c>
      <c r="DI34" s="333">
        <f t="shared" si="285"/>
        <v>3</v>
      </c>
      <c r="DJ34" s="432">
        <f t="shared" si="286"/>
        <v>3</v>
      </c>
      <c r="DK34" s="432">
        <f t="shared" si="287"/>
        <v>3</v>
      </c>
      <c r="DL34" s="433">
        <f t="shared" si="288"/>
        <v>3</v>
      </c>
      <c r="DM34" s="333">
        <f t="shared" si="289"/>
        <v>3</v>
      </c>
      <c r="DN34" s="432">
        <f t="shared" si="290"/>
        <v>3</v>
      </c>
      <c r="DO34" s="432">
        <f t="shared" si="291"/>
        <v>3</v>
      </c>
      <c r="DP34" s="433">
        <f t="shared" si="292"/>
        <v>3</v>
      </c>
      <c r="DQ34" s="333">
        <f t="shared" si="293"/>
        <v>3</v>
      </c>
      <c r="DR34" s="432">
        <f t="shared" si="294"/>
        <v>3</v>
      </c>
      <c r="DS34" s="432">
        <f t="shared" si="295"/>
        <v>3</v>
      </c>
      <c r="DT34" s="433">
        <f t="shared" si="296"/>
        <v>3</v>
      </c>
      <c r="DU34" s="333">
        <f t="shared" si="297"/>
        <v>3</v>
      </c>
      <c r="DV34" s="432">
        <f t="shared" si="298"/>
        <v>3</v>
      </c>
      <c r="DW34" s="432">
        <f t="shared" si="299"/>
        <v>3</v>
      </c>
      <c r="DX34" s="433">
        <f t="shared" si="300"/>
        <v>3</v>
      </c>
      <c r="DY34" s="333">
        <f t="shared" si="301"/>
        <v>3</v>
      </c>
      <c r="DZ34" s="432">
        <f t="shared" si="302"/>
        <v>3</v>
      </c>
      <c r="EA34" s="432">
        <f t="shared" si="303"/>
        <v>3</v>
      </c>
      <c r="EB34" s="433">
        <f t="shared" si="304"/>
        <v>3</v>
      </c>
      <c r="EC34" s="333">
        <f t="shared" si="305"/>
        <v>3</v>
      </c>
      <c r="ED34" s="432">
        <f t="shared" si="306"/>
        <v>3</v>
      </c>
      <c r="EE34" s="432">
        <f t="shared" si="307"/>
        <v>3</v>
      </c>
      <c r="EF34" s="433">
        <f t="shared" si="308"/>
        <v>3</v>
      </c>
      <c r="EG34" s="333">
        <f t="shared" si="309"/>
        <v>3</v>
      </c>
      <c r="EH34" s="432">
        <f t="shared" si="310"/>
        <v>3</v>
      </c>
      <c r="EI34" s="432">
        <f t="shared" si="311"/>
        <v>3</v>
      </c>
      <c r="EJ34" s="433">
        <f t="shared" si="312"/>
        <v>3</v>
      </c>
      <c r="EK34" s="333">
        <f t="shared" si="313"/>
        <v>3</v>
      </c>
      <c r="EL34" s="432">
        <f t="shared" si="314"/>
        <v>3</v>
      </c>
      <c r="EM34" s="432">
        <f t="shared" si="315"/>
        <v>3</v>
      </c>
      <c r="EN34" s="433">
        <f t="shared" si="316"/>
        <v>3</v>
      </c>
      <c r="EO34" s="333">
        <f t="shared" si="317"/>
        <v>3</v>
      </c>
      <c r="EP34" s="432">
        <f t="shared" si="318"/>
        <v>3</v>
      </c>
      <c r="EQ34" s="432">
        <f t="shared" si="319"/>
        <v>3</v>
      </c>
      <c r="ER34" s="433">
        <f t="shared" si="320"/>
        <v>3</v>
      </c>
      <c r="ES34" s="333">
        <f t="shared" si="321"/>
        <v>3</v>
      </c>
      <c r="ET34" s="432">
        <f t="shared" si="322"/>
        <v>3</v>
      </c>
      <c r="EU34" s="432">
        <f t="shared" si="323"/>
        <v>3</v>
      </c>
      <c r="EV34" s="433">
        <f t="shared" si="324"/>
        <v>3</v>
      </c>
      <c r="EW34" s="263">
        <f t="shared" si="206"/>
        <v>90</v>
      </c>
      <c r="EX34" s="263">
        <v>16</v>
      </c>
      <c r="EY34" s="263">
        <f t="shared" si="203"/>
        <v>8</v>
      </c>
      <c r="EZ34" s="263">
        <f t="shared" si="207"/>
        <v>40320</v>
      </c>
      <c r="FA34" s="263">
        <f t="shared" si="208"/>
        <v>21600</v>
      </c>
    </row>
    <row r="35" spans="2:157" s="268" customFormat="1" ht="29.25" customHeight="1">
      <c r="B35" s="257"/>
      <c r="C35" s="14" t="s">
        <v>257</v>
      </c>
      <c r="D35" s="15" t="s">
        <v>149</v>
      </c>
      <c r="E35" s="362">
        <v>2</v>
      </c>
      <c r="F35" s="16"/>
      <c r="G35" s="414"/>
      <c r="H35" s="17"/>
      <c r="I35" s="333"/>
      <c r="J35" s="261"/>
      <c r="K35" s="261"/>
      <c r="L35" s="262"/>
      <c r="M35" s="260"/>
      <c r="N35" s="261"/>
      <c r="O35" s="261"/>
      <c r="P35" s="262"/>
      <c r="Q35" s="260"/>
      <c r="R35" s="261"/>
      <c r="S35" s="261"/>
      <c r="T35" s="262"/>
      <c r="U35" s="260"/>
      <c r="V35" s="261"/>
      <c r="W35" s="261"/>
      <c r="X35" s="262"/>
      <c r="Y35" s="333"/>
      <c r="Z35" s="261"/>
      <c r="AA35" s="261"/>
      <c r="AB35" s="262"/>
      <c r="AC35" s="260"/>
      <c r="AD35" s="261"/>
      <c r="AE35" s="261"/>
      <c r="AF35" s="262"/>
      <c r="AG35" s="333">
        <f t="shared" si="83"/>
        <v>2</v>
      </c>
      <c r="AH35" s="432">
        <f t="shared" si="84"/>
        <v>2</v>
      </c>
      <c r="AI35" s="432">
        <f t="shared" si="85"/>
        <v>2</v>
      </c>
      <c r="AJ35" s="433">
        <f t="shared" si="86"/>
        <v>2</v>
      </c>
      <c r="AK35" s="333">
        <f t="shared" si="209"/>
        <v>2</v>
      </c>
      <c r="AL35" s="432">
        <f t="shared" si="210"/>
        <v>2</v>
      </c>
      <c r="AM35" s="432">
        <f t="shared" si="211"/>
        <v>2</v>
      </c>
      <c r="AN35" s="433">
        <f t="shared" si="212"/>
        <v>2</v>
      </c>
      <c r="AO35" s="333">
        <f t="shared" si="213"/>
        <v>2</v>
      </c>
      <c r="AP35" s="432">
        <f t="shared" si="214"/>
        <v>2</v>
      </c>
      <c r="AQ35" s="432">
        <f t="shared" si="215"/>
        <v>2</v>
      </c>
      <c r="AR35" s="433">
        <f t="shared" si="216"/>
        <v>2</v>
      </c>
      <c r="AS35" s="333">
        <f t="shared" si="217"/>
        <v>2</v>
      </c>
      <c r="AT35" s="432">
        <f t="shared" si="218"/>
        <v>2</v>
      </c>
      <c r="AU35" s="432">
        <f t="shared" si="219"/>
        <v>2</v>
      </c>
      <c r="AV35" s="433">
        <f t="shared" si="220"/>
        <v>2</v>
      </c>
      <c r="AW35" s="333">
        <f t="shared" si="221"/>
        <v>2</v>
      </c>
      <c r="AX35" s="432">
        <f t="shared" si="222"/>
        <v>2</v>
      </c>
      <c r="AY35" s="432">
        <f t="shared" si="223"/>
        <v>2</v>
      </c>
      <c r="AZ35" s="433">
        <f t="shared" si="224"/>
        <v>2</v>
      </c>
      <c r="BA35" s="333">
        <f t="shared" si="225"/>
        <v>2</v>
      </c>
      <c r="BB35" s="432">
        <f t="shared" si="226"/>
        <v>2</v>
      </c>
      <c r="BC35" s="432">
        <f t="shared" si="227"/>
        <v>2</v>
      </c>
      <c r="BD35" s="433">
        <f t="shared" si="228"/>
        <v>2</v>
      </c>
      <c r="BE35" s="333">
        <f t="shared" si="229"/>
        <v>2</v>
      </c>
      <c r="BF35" s="432">
        <f t="shared" si="230"/>
        <v>2</v>
      </c>
      <c r="BG35" s="432">
        <f t="shared" si="231"/>
        <v>2</v>
      </c>
      <c r="BH35" s="433">
        <f t="shared" si="232"/>
        <v>2</v>
      </c>
      <c r="BI35" s="333">
        <f t="shared" si="233"/>
        <v>2</v>
      </c>
      <c r="BJ35" s="432">
        <f t="shared" si="234"/>
        <v>2</v>
      </c>
      <c r="BK35" s="432">
        <f t="shared" si="235"/>
        <v>2</v>
      </c>
      <c r="BL35" s="433">
        <f t="shared" si="236"/>
        <v>2</v>
      </c>
      <c r="BM35" s="333">
        <f t="shared" si="237"/>
        <v>2</v>
      </c>
      <c r="BN35" s="432">
        <f t="shared" si="238"/>
        <v>2</v>
      </c>
      <c r="BO35" s="432">
        <f t="shared" si="239"/>
        <v>2</v>
      </c>
      <c r="BP35" s="433">
        <f t="shared" si="240"/>
        <v>2</v>
      </c>
      <c r="BQ35" s="333">
        <f t="shared" si="241"/>
        <v>2</v>
      </c>
      <c r="BR35" s="432">
        <f t="shared" si="242"/>
        <v>2</v>
      </c>
      <c r="BS35" s="432">
        <f t="shared" si="243"/>
        <v>2</v>
      </c>
      <c r="BT35" s="433">
        <f t="shared" si="244"/>
        <v>2</v>
      </c>
      <c r="BU35" s="333">
        <f t="shared" si="245"/>
        <v>2</v>
      </c>
      <c r="BV35" s="432">
        <f t="shared" si="246"/>
        <v>2</v>
      </c>
      <c r="BW35" s="432">
        <f t="shared" si="247"/>
        <v>2</v>
      </c>
      <c r="BX35" s="433">
        <f t="shared" si="248"/>
        <v>2</v>
      </c>
      <c r="BY35" s="333">
        <f t="shared" si="249"/>
        <v>2</v>
      </c>
      <c r="BZ35" s="432">
        <f t="shared" si="250"/>
        <v>2</v>
      </c>
      <c r="CA35" s="432">
        <f t="shared" si="251"/>
        <v>2</v>
      </c>
      <c r="CB35" s="433">
        <f t="shared" si="252"/>
        <v>2</v>
      </c>
      <c r="CC35" s="333">
        <f t="shared" si="253"/>
        <v>2</v>
      </c>
      <c r="CD35" s="432">
        <f t="shared" si="254"/>
        <v>2</v>
      </c>
      <c r="CE35" s="432">
        <f t="shared" si="255"/>
        <v>2</v>
      </c>
      <c r="CF35" s="433">
        <f t="shared" si="256"/>
        <v>2</v>
      </c>
      <c r="CG35" s="333">
        <f t="shared" si="257"/>
        <v>2</v>
      </c>
      <c r="CH35" s="432">
        <f t="shared" si="258"/>
        <v>2</v>
      </c>
      <c r="CI35" s="432">
        <f t="shared" si="259"/>
        <v>2</v>
      </c>
      <c r="CJ35" s="433">
        <f t="shared" si="260"/>
        <v>2</v>
      </c>
      <c r="CK35" s="333">
        <f t="shared" si="261"/>
        <v>2</v>
      </c>
      <c r="CL35" s="432">
        <f t="shared" si="262"/>
        <v>2</v>
      </c>
      <c r="CM35" s="432">
        <f t="shared" si="263"/>
        <v>2</v>
      </c>
      <c r="CN35" s="433">
        <f t="shared" si="264"/>
        <v>2</v>
      </c>
      <c r="CO35" s="333">
        <f t="shared" si="265"/>
        <v>2</v>
      </c>
      <c r="CP35" s="432">
        <f t="shared" si="266"/>
        <v>2</v>
      </c>
      <c r="CQ35" s="432">
        <f t="shared" si="267"/>
        <v>2</v>
      </c>
      <c r="CR35" s="433">
        <f t="shared" si="268"/>
        <v>2</v>
      </c>
      <c r="CS35" s="333">
        <f t="shared" si="269"/>
        <v>2</v>
      </c>
      <c r="CT35" s="432">
        <f t="shared" si="270"/>
        <v>2</v>
      </c>
      <c r="CU35" s="432">
        <f t="shared" si="271"/>
        <v>2</v>
      </c>
      <c r="CV35" s="433">
        <f t="shared" si="272"/>
        <v>2</v>
      </c>
      <c r="CW35" s="333">
        <f t="shared" si="273"/>
        <v>2</v>
      </c>
      <c r="CX35" s="432">
        <f t="shared" si="274"/>
        <v>2</v>
      </c>
      <c r="CY35" s="432">
        <f t="shared" si="275"/>
        <v>2</v>
      </c>
      <c r="CZ35" s="433">
        <f t="shared" si="276"/>
        <v>2</v>
      </c>
      <c r="DA35" s="333">
        <f t="shared" si="277"/>
        <v>2</v>
      </c>
      <c r="DB35" s="432">
        <f t="shared" si="278"/>
        <v>2</v>
      </c>
      <c r="DC35" s="432">
        <f t="shared" si="279"/>
        <v>2</v>
      </c>
      <c r="DD35" s="433">
        <f t="shared" si="280"/>
        <v>2</v>
      </c>
      <c r="DE35" s="333">
        <f t="shared" si="281"/>
        <v>2</v>
      </c>
      <c r="DF35" s="432">
        <f t="shared" si="282"/>
        <v>2</v>
      </c>
      <c r="DG35" s="432">
        <f t="shared" si="283"/>
        <v>2</v>
      </c>
      <c r="DH35" s="433">
        <f t="shared" si="284"/>
        <v>2</v>
      </c>
      <c r="DI35" s="333">
        <f t="shared" si="285"/>
        <v>2</v>
      </c>
      <c r="DJ35" s="432">
        <f t="shared" si="286"/>
        <v>2</v>
      </c>
      <c r="DK35" s="432">
        <f t="shared" si="287"/>
        <v>2</v>
      </c>
      <c r="DL35" s="433">
        <f t="shared" si="288"/>
        <v>2</v>
      </c>
      <c r="DM35" s="333">
        <f t="shared" si="289"/>
        <v>2</v>
      </c>
      <c r="DN35" s="432">
        <f t="shared" si="290"/>
        <v>2</v>
      </c>
      <c r="DO35" s="432">
        <f t="shared" si="291"/>
        <v>2</v>
      </c>
      <c r="DP35" s="433">
        <f t="shared" si="292"/>
        <v>2</v>
      </c>
      <c r="DQ35" s="333">
        <f t="shared" si="293"/>
        <v>2</v>
      </c>
      <c r="DR35" s="432">
        <f t="shared" si="294"/>
        <v>2</v>
      </c>
      <c r="DS35" s="432">
        <f t="shared" si="295"/>
        <v>2</v>
      </c>
      <c r="DT35" s="433">
        <f t="shared" si="296"/>
        <v>2</v>
      </c>
      <c r="DU35" s="333">
        <f t="shared" si="297"/>
        <v>2</v>
      </c>
      <c r="DV35" s="432">
        <f t="shared" si="298"/>
        <v>2</v>
      </c>
      <c r="DW35" s="432">
        <f t="shared" si="299"/>
        <v>2</v>
      </c>
      <c r="DX35" s="433">
        <f t="shared" si="300"/>
        <v>2</v>
      </c>
      <c r="DY35" s="333">
        <f t="shared" si="301"/>
        <v>2</v>
      </c>
      <c r="DZ35" s="432">
        <f t="shared" si="302"/>
        <v>2</v>
      </c>
      <c r="EA35" s="432">
        <f t="shared" si="303"/>
        <v>2</v>
      </c>
      <c r="EB35" s="433">
        <f t="shared" si="304"/>
        <v>2</v>
      </c>
      <c r="EC35" s="333">
        <f t="shared" si="305"/>
        <v>2</v>
      </c>
      <c r="ED35" s="432">
        <f t="shared" si="306"/>
        <v>2</v>
      </c>
      <c r="EE35" s="432">
        <f t="shared" si="307"/>
        <v>2</v>
      </c>
      <c r="EF35" s="433">
        <f t="shared" si="308"/>
        <v>2</v>
      </c>
      <c r="EG35" s="333">
        <f t="shared" si="309"/>
        <v>2</v>
      </c>
      <c r="EH35" s="432">
        <f t="shared" si="310"/>
        <v>2</v>
      </c>
      <c r="EI35" s="432">
        <f t="shared" si="311"/>
        <v>2</v>
      </c>
      <c r="EJ35" s="433">
        <f t="shared" si="312"/>
        <v>2</v>
      </c>
      <c r="EK35" s="333">
        <f t="shared" si="313"/>
        <v>2</v>
      </c>
      <c r="EL35" s="432">
        <f t="shared" si="314"/>
        <v>2</v>
      </c>
      <c r="EM35" s="432">
        <f t="shared" si="315"/>
        <v>2</v>
      </c>
      <c r="EN35" s="433">
        <f t="shared" si="316"/>
        <v>2</v>
      </c>
      <c r="EO35" s="333">
        <f t="shared" si="317"/>
        <v>2</v>
      </c>
      <c r="EP35" s="432">
        <f t="shared" si="318"/>
        <v>2</v>
      </c>
      <c r="EQ35" s="432">
        <f t="shared" si="319"/>
        <v>2</v>
      </c>
      <c r="ER35" s="433">
        <f t="shared" si="320"/>
        <v>2</v>
      </c>
      <c r="ES35" s="333">
        <f t="shared" si="321"/>
        <v>2</v>
      </c>
      <c r="ET35" s="432">
        <f t="shared" si="322"/>
        <v>2</v>
      </c>
      <c r="EU35" s="432">
        <f t="shared" si="323"/>
        <v>2</v>
      </c>
      <c r="EV35" s="433">
        <f t="shared" si="324"/>
        <v>2</v>
      </c>
      <c r="EW35" s="263">
        <f t="shared" si="206"/>
        <v>60</v>
      </c>
      <c r="EX35" s="263">
        <v>16</v>
      </c>
      <c r="EY35" s="263">
        <f t="shared" si="203"/>
        <v>8</v>
      </c>
      <c r="EZ35" s="263">
        <f t="shared" si="207"/>
        <v>26880</v>
      </c>
      <c r="FA35" s="263">
        <f t="shared" si="208"/>
        <v>14400</v>
      </c>
    </row>
    <row r="36" spans="2:157" s="268" customFormat="1" ht="29.25" customHeight="1">
      <c r="B36" s="257"/>
      <c r="C36" s="14" t="s">
        <v>258</v>
      </c>
      <c r="D36" s="15" t="s">
        <v>149</v>
      </c>
      <c r="E36" s="362">
        <v>20</v>
      </c>
      <c r="F36" s="16"/>
      <c r="G36" s="414"/>
      <c r="H36" s="17"/>
      <c r="I36" s="333"/>
      <c r="J36" s="261"/>
      <c r="K36" s="261"/>
      <c r="L36" s="262"/>
      <c r="M36" s="260"/>
      <c r="N36" s="261"/>
      <c r="O36" s="261"/>
      <c r="P36" s="262"/>
      <c r="Q36" s="260"/>
      <c r="R36" s="261"/>
      <c r="S36" s="261"/>
      <c r="T36" s="262"/>
      <c r="U36" s="260"/>
      <c r="V36" s="261"/>
      <c r="W36" s="261"/>
      <c r="X36" s="262"/>
      <c r="Y36" s="333"/>
      <c r="Z36" s="261"/>
      <c r="AA36" s="261"/>
      <c r="AB36" s="262"/>
      <c r="AC36" s="260"/>
      <c r="AD36" s="261"/>
      <c r="AE36" s="261"/>
      <c r="AF36" s="262"/>
      <c r="AG36" s="333">
        <f t="shared" si="83"/>
        <v>20</v>
      </c>
      <c r="AH36" s="432">
        <f t="shared" si="84"/>
        <v>20</v>
      </c>
      <c r="AI36" s="432">
        <f t="shared" si="85"/>
        <v>20</v>
      </c>
      <c r="AJ36" s="433">
        <f t="shared" si="86"/>
        <v>20</v>
      </c>
      <c r="AK36" s="333">
        <f t="shared" si="209"/>
        <v>20</v>
      </c>
      <c r="AL36" s="432">
        <f t="shared" si="210"/>
        <v>20</v>
      </c>
      <c r="AM36" s="432">
        <f t="shared" si="211"/>
        <v>20</v>
      </c>
      <c r="AN36" s="433">
        <f t="shared" si="212"/>
        <v>20</v>
      </c>
      <c r="AO36" s="333">
        <f t="shared" si="213"/>
        <v>20</v>
      </c>
      <c r="AP36" s="432">
        <f t="shared" si="214"/>
        <v>20</v>
      </c>
      <c r="AQ36" s="432">
        <f t="shared" si="215"/>
        <v>20</v>
      </c>
      <c r="AR36" s="433">
        <f t="shared" si="216"/>
        <v>20</v>
      </c>
      <c r="AS36" s="333">
        <f t="shared" si="217"/>
        <v>20</v>
      </c>
      <c r="AT36" s="432">
        <f t="shared" si="218"/>
        <v>20</v>
      </c>
      <c r="AU36" s="432">
        <f t="shared" si="219"/>
        <v>20</v>
      </c>
      <c r="AV36" s="433">
        <f t="shared" si="220"/>
        <v>20</v>
      </c>
      <c r="AW36" s="333">
        <f t="shared" si="221"/>
        <v>20</v>
      </c>
      <c r="AX36" s="432">
        <f t="shared" si="222"/>
        <v>20</v>
      </c>
      <c r="AY36" s="432">
        <f t="shared" si="223"/>
        <v>20</v>
      </c>
      <c r="AZ36" s="433">
        <f t="shared" si="224"/>
        <v>20</v>
      </c>
      <c r="BA36" s="333">
        <f t="shared" si="225"/>
        <v>20</v>
      </c>
      <c r="BB36" s="432">
        <f t="shared" si="226"/>
        <v>20</v>
      </c>
      <c r="BC36" s="432">
        <f t="shared" si="227"/>
        <v>20</v>
      </c>
      <c r="BD36" s="433">
        <f t="shared" si="228"/>
        <v>20</v>
      </c>
      <c r="BE36" s="333">
        <f t="shared" si="229"/>
        <v>20</v>
      </c>
      <c r="BF36" s="432">
        <f t="shared" si="230"/>
        <v>20</v>
      </c>
      <c r="BG36" s="432">
        <f t="shared" si="231"/>
        <v>20</v>
      </c>
      <c r="BH36" s="433">
        <f t="shared" si="232"/>
        <v>20</v>
      </c>
      <c r="BI36" s="333">
        <f t="shared" si="233"/>
        <v>20</v>
      </c>
      <c r="BJ36" s="432">
        <f t="shared" si="234"/>
        <v>20</v>
      </c>
      <c r="BK36" s="432">
        <f t="shared" si="235"/>
        <v>20</v>
      </c>
      <c r="BL36" s="433">
        <f t="shared" si="236"/>
        <v>20</v>
      </c>
      <c r="BM36" s="333">
        <f t="shared" si="237"/>
        <v>20</v>
      </c>
      <c r="BN36" s="432">
        <f t="shared" si="238"/>
        <v>20</v>
      </c>
      <c r="BO36" s="432">
        <f t="shared" si="239"/>
        <v>20</v>
      </c>
      <c r="BP36" s="433">
        <f t="shared" si="240"/>
        <v>20</v>
      </c>
      <c r="BQ36" s="333">
        <f t="shared" si="241"/>
        <v>20</v>
      </c>
      <c r="BR36" s="432">
        <f t="shared" si="242"/>
        <v>20</v>
      </c>
      <c r="BS36" s="432">
        <f t="shared" si="243"/>
        <v>20</v>
      </c>
      <c r="BT36" s="433">
        <f t="shared" si="244"/>
        <v>20</v>
      </c>
      <c r="BU36" s="333">
        <f t="shared" si="245"/>
        <v>20</v>
      </c>
      <c r="BV36" s="432">
        <f t="shared" si="246"/>
        <v>20</v>
      </c>
      <c r="BW36" s="432">
        <f t="shared" si="247"/>
        <v>20</v>
      </c>
      <c r="BX36" s="433">
        <f t="shared" si="248"/>
        <v>20</v>
      </c>
      <c r="BY36" s="333">
        <f t="shared" si="249"/>
        <v>20</v>
      </c>
      <c r="BZ36" s="432">
        <f t="shared" si="250"/>
        <v>20</v>
      </c>
      <c r="CA36" s="432">
        <f t="shared" si="251"/>
        <v>20</v>
      </c>
      <c r="CB36" s="433">
        <f t="shared" si="252"/>
        <v>20</v>
      </c>
      <c r="CC36" s="333">
        <f t="shared" si="253"/>
        <v>20</v>
      </c>
      <c r="CD36" s="432">
        <f t="shared" si="254"/>
        <v>20</v>
      </c>
      <c r="CE36" s="432">
        <f t="shared" si="255"/>
        <v>20</v>
      </c>
      <c r="CF36" s="433">
        <f t="shared" si="256"/>
        <v>20</v>
      </c>
      <c r="CG36" s="333">
        <f t="shared" si="257"/>
        <v>20</v>
      </c>
      <c r="CH36" s="432">
        <f t="shared" si="258"/>
        <v>20</v>
      </c>
      <c r="CI36" s="432">
        <f t="shared" si="259"/>
        <v>20</v>
      </c>
      <c r="CJ36" s="433">
        <f t="shared" si="260"/>
        <v>20</v>
      </c>
      <c r="CK36" s="333">
        <f t="shared" si="261"/>
        <v>20</v>
      </c>
      <c r="CL36" s="432">
        <f t="shared" si="262"/>
        <v>20</v>
      </c>
      <c r="CM36" s="432">
        <f t="shared" si="263"/>
        <v>20</v>
      </c>
      <c r="CN36" s="433">
        <f t="shared" si="264"/>
        <v>20</v>
      </c>
      <c r="CO36" s="333">
        <f t="shared" si="265"/>
        <v>20</v>
      </c>
      <c r="CP36" s="432">
        <f t="shared" si="266"/>
        <v>20</v>
      </c>
      <c r="CQ36" s="432">
        <f t="shared" si="267"/>
        <v>20</v>
      </c>
      <c r="CR36" s="433">
        <f t="shared" si="268"/>
        <v>20</v>
      </c>
      <c r="CS36" s="333">
        <f t="shared" si="269"/>
        <v>20</v>
      </c>
      <c r="CT36" s="432">
        <f t="shared" si="270"/>
        <v>20</v>
      </c>
      <c r="CU36" s="432">
        <f t="shared" si="271"/>
        <v>20</v>
      </c>
      <c r="CV36" s="433">
        <f t="shared" si="272"/>
        <v>20</v>
      </c>
      <c r="CW36" s="333">
        <f t="shared" si="273"/>
        <v>20</v>
      </c>
      <c r="CX36" s="432">
        <f t="shared" si="274"/>
        <v>20</v>
      </c>
      <c r="CY36" s="432">
        <f t="shared" si="275"/>
        <v>20</v>
      </c>
      <c r="CZ36" s="433">
        <f t="shared" si="276"/>
        <v>20</v>
      </c>
      <c r="DA36" s="333">
        <f t="shared" si="277"/>
        <v>20</v>
      </c>
      <c r="DB36" s="432">
        <f t="shared" si="278"/>
        <v>20</v>
      </c>
      <c r="DC36" s="432">
        <f t="shared" si="279"/>
        <v>20</v>
      </c>
      <c r="DD36" s="433">
        <f t="shared" si="280"/>
        <v>20</v>
      </c>
      <c r="DE36" s="333">
        <f t="shared" si="281"/>
        <v>20</v>
      </c>
      <c r="DF36" s="432">
        <f t="shared" si="282"/>
        <v>20</v>
      </c>
      <c r="DG36" s="432">
        <f t="shared" si="283"/>
        <v>20</v>
      </c>
      <c r="DH36" s="433">
        <f t="shared" si="284"/>
        <v>20</v>
      </c>
      <c r="DI36" s="333">
        <f t="shared" si="285"/>
        <v>20</v>
      </c>
      <c r="DJ36" s="432">
        <f t="shared" si="286"/>
        <v>20</v>
      </c>
      <c r="DK36" s="432">
        <f t="shared" si="287"/>
        <v>20</v>
      </c>
      <c r="DL36" s="433">
        <f t="shared" si="288"/>
        <v>20</v>
      </c>
      <c r="DM36" s="333">
        <f t="shared" si="289"/>
        <v>20</v>
      </c>
      <c r="DN36" s="432">
        <f t="shared" si="290"/>
        <v>20</v>
      </c>
      <c r="DO36" s="432">
        <f t="shared" si="291"/>
        <v>20</v>
      </c>
      <c r="DP36" s="433">
        <f t="shared" si="292"/>
        <v>20</v>
      </c>
      <c r="DQ36" s="333">
        <f t="shared" si="293"/>
        <v>20</v>
      </c>
      <c r="DR36" s="432">
        <f t="shared" si="294"/>
        <v>20</v>
      </c>
      <c r="DS36" s="432">
        <f t="shared" si="295"/>
        <v>20</v>
      </c>
      <c r="DT36" s="433">
        <f t="shared" si="296"/>
        <v>20</v>
      </c>
      <c r="DU36" s="333">
        <f t="shared" si="297"/>
        <v>20</v>
      </c>
      <c r="DV36" s="432">
        <f t="shared" si="298"/>
        <v>20</v>
      </c>
      <c r="DW36" s="432">
        <f t="shared" si="299"/>
        <v>20</v>
      </c>
      <c r="DX36" s="433">
        <f t="shared" si="300"/>
        <v>20</v>
      </c>
      <c r="DY36" s="333">
        <f t="shared" si="301"/>
        <v>20</v>
      </c>
      <c r="DZ36" s="432">
        <f t="shared" si="302"/>
        <v>20</v>
      </c>
      <c r="EA36" s="432">
        <f t="shared" si="303"/>
        <v>20</v>
      </c>
      <c r="EB36" s="433">
        <f t="shared" si="304"/>
        <v>20</v>
      </c>
      <c r="EC36" s="333">
        <f t="shared" si="305"/>
        <v>20</v>
      </c>
      <c r="ED36" s="432">
        <f t="shared" si="306"/>
        <v>20</v>
      </c>
      <c r="EE36" s="432">
        <f t="shared" si="307"/>
        <v>20</v>
      </c>
      <c r="EF36" s="433">
        <f t="shared" si="308"/>
        <v>20</v>
      </c>
      <c r="EG36" s="333">
        <f t="shared" si="309"/>
        <v>20</v>
      </c>
      <c r="EH36" s="432">
        <f t="shared" si="310"/>
        <v>20</v>
      </c>
      <c r="EI36" s="432">
        <f t="shared" si="311"/>
        <v>20</v>
      </c>
      <c r="EJ36" s="433">
        <f t="shared" si="312"/>
        <v>20</v>
      </c>
      <c r="EK36" s="333">
        <f t="shared" si="313"/>
        <v>20</v>
      </c>
      <c r="EL36" s="432">
        <f t="shared" si="314"/>
        <v>20</v>
      </c>
      <c r="EM36" s="432">
        <f t="shared" si="315"/>
        <v>20</v>
      </c>
      <c r="EN36" s="433">
        <f t="shared" si="316"/>
        <v>20</v>
      </c>
      <c r="EO36" s="333">
        <f t="shared" si="317"/>
        <v>20</v>
      </c>
      <c r="EP36" s="432">
        <f t="shared" si="318"/>
        <v>20</v>
      </c>
      <c r="EQ36" s="432">
        <f t="shared" si="319"/>
        <v>20</v>
      </c>
      <c r="ER36" s="433">
        <f t="shared" si="320"/>
        <v>20</v>
      </c>
      <c r="ES36" s="333">
        <f t="shared" si="321"/>
        <v>20</v>
      </c>
      <c r="ET36" s="432">
        <f t="shared" si="322"/>
        <v>20</v>
      </c>
      <c r="EU36" s="432">
        <f t="shared" si="323"/>
        <v>20</v>
      </c>
      <c r="EV36" s="433">
        <f t="shared" si="324"/>
        <v>20</v>
      </c>
      <c r="EW36" s="263">
        <f t="shared" si="206"/>
        <v>600</v>
      </c>
      <c r="EX36" s="263">
        <v>16</v>
      </c>
      <c r="EY36" s="263">
        <f t="shared" si="203"/>
        <v>8</v>
      </c>
      <c r="EZ36" s="263">
        <f t="shared" si="207"/>
        <v>268800</v>
      </c>
      <c r="FA36" s="263">
        <f t="shared" si="208"/>
        <v>144000</v>
      </c>
    </row>
    <row r="37" spans="2:157" s="268" customFormat="1" ht="29.25" customHeight="1">
      <c r="B37" s="257"/>
      <c r="C37" s="14"/>
      <c r="D37" s="15"/>
      <c r="E37" s="362"/>
      <c r="F37" s="16"/>
      <c r="G37" s="414"/>
      <c r="H37" s="17"/>
      <c r="I37" s="333"/>
      <c r="J37" s="261"/>
      <c r="K37" s="261"/>
      <c r="L37" s="262"/>
      <c r="M37" s="260"/>
      <c r="N37" s="261"/>
      <c r="O37" s="261"/>
      <c r="P37" s="262"/>
      <c r="Q37" s="260"/>
      <c r="R37" s="261"/>
      <c r="S37" s="261"/>
      <c r="T37" s="262"/>
      <c r="U37" s="260"/>
      <c r="V37" s="261"/>
      <c r="W37" s="261"/>
      <c r="X37" s="262"/>
      <c r="Y37" s="333"/>
      <c r="Z37" s="261"/>
      <c r="AA37" s="261"/>
      <c r="AB37" s="262"/>
      <c r="AC37" s="260"/>
      <c r="AD37" s="261"/>
      <c r="AE37" s="261"/>
      <c r="AF37" s="262"/>
      <c r="AG37" s="260"/>
      <c r="AH37" s="261"/>
      <c r="AI37" s="261"/>
      <c r="AJ37" s="262"/>
      <c r="AK37" s="260"/>
      <c r="AL37" s="261"/>
      <c r="AM37" s="261"/>
      <c r="AN37" s="262"/>
      <c r="AO37" s="260"/>
      <c r="AP37" s="261"/>
      <c r="AQ37" s="261"/>
      <c r="AR37" s="262"/>
      <c r="AS37" s="260"/>
      <c r="AT37" s="261"/>
      <c r="AU37" s="261"/>
      <c r="AV37" s="262"/>
      <c r="AW37" s="260"/>
      <c r="AX37" s="261"/>
      <c r="AY37" s="261"/>
      <c r="AZ37" s="262"/>
      <c r="BA37" s="260"/>
      <c r="BB37" s="261"/>
      <c r="BC37" s="261"/>
      <c r="BD37" s="262"/>
      <c r="BE37" s="260"/>
      <c r="BF37" s="261"/>
      <c r="BG37" s="261"/>
      <c r="BH37" s="262"/>
      <c r="BI37" s="260"/>
      <c r="BJ37" s="261"/>
      <c r="BK37" s="261"/>
      <c r="BL37" s="262"/>
      <c r="BM37" s="260"/>
      <c r="BN37" s="261"/>
      <c r="BO37" s="261"/>
      <c r="BP37" s="262"/>
      <c r="BQ37" s="260"/>
      <c r="BR37" s="261"/>
      <c r="BS37" s="261"/>
      <c r="BT37" s="262"/>
      <c r="BU37" s="260"/>
      <c r="BV37" s="261"/>
      <c r="BW37" s="261"/>
      <c r="BX37" s="262"/>
      <c r="BY37" s="260"/>
      <c r="BZ37" s="261"/>
      <c r="CA37" s="261"/>
      <c r="CB37" s="262"/>
      <c r="CC37" s="260"/>
      <c r="CD37" s="261"/>
      <c r="CE37" s="261"/>
      <c r="CF37" s="262"/>
      <c r="CG37" s="494"/>
      <c r="CH37" s="261"/>
      <c r="CI37" s="261"/>
      <c r="CJ37" s="262"/>
      <c r="CK37" s="494"/>
      <c r="CL37" s="261"/>
      <c r="CM37" s="261"/>
      <c r="CN37" s="262"/>
      <c r="CO37" s="494"/>
      <c r="CP37" s="261"/>
      <c r="CQ37" s="261"/>
      <c r="CR37" s="262"/>
      <c r="CS37" s="494"/>
      <c r="CT37" s="261"/>
      <c r="CU37" s="261"/>
      <c r="CV37" s="262"/>
      <c r="CW37" s="494"/>
      <c r="CX37" s="261"/>
      <c r="CY37" s="261"/>
      <c r="CZ37" s="262"/>
      <c r="DA37" s="332"/>
      <c r="DB37" s="330"/>
      <c r="DC37" s="330"/>
      <c r="DD37" s="331"/>
      <c r="DE37" s="332"/>
      <c r="DF37" s="330"/>
      <c r="DG37" s="330"/>
      <c r="DH37" s="331"/>
      <c r="DI37" s="332"/>
      <c r="DJ37" s="330"/>
      <c r="DK37" s="330"/>
      <c r="DL37" s="331"/>
      <c r="DM37" s="332"/>
      <c r="DN37" s="330"/>
      <c r="DO37" s="330"/>
      <c r="DP37" s="331"/>
      <c r="DQ37" s="332"/>
      <c r="DR37" s="330"/>
      <c r="DS37" s="330"/>
      <c r="DT37" s="331"/>
      <c r="DU37" s="332"/>
      <c r="DV37" s="330"/>
      <c r="DW37" s="330"/>
      <c r="DX37" s="331"/>
      <c r="DY37" s="332"/>
      <c r="DZ37" s="330"/>
      <c r="EA37" s="330"/>
      <c r="EB37" s="331"/>
      <c r="EC37" s="332"/>
      <c r="ED37" s="330"/>
      <c r="EE37" s="330"/>
      <c r="EF37" s="331"/>
      <c r="EG37" s="332"/>
      <c r="EH37" s="330"/>
      <c r="EI37" s="330"/>
      <c r="EJ37" s="331"/>
      <c r="EK37" s="332"/>
      <c r="EL37" s="330"/>
      <c r="EM37" s="330"/>
      <c r="EN37" s="331"/>
      <c r="EO37" s="332"/>
      <c r="EP37" s="330"/>
      <c r="EQ37" s="330"/>
      <c r="ER37" s="331"/>
      <c r="ES37" s="332"/>
      <c r="ET37" s="330"/>
      <c r="EU37" s="330"/>
      <c r="EV37" s="331"/>
      <c r="EW37" s="263"/>
      <c r="EX37" s="263"/>
      <c r="EY37" s="263"/>
      <c r="EZ37" s="263"/>
      <c r="FA37" s="263"/>
    </row>
    <row r="38" spans="2:157" s="268" customFormat="1" ht="29.25" customHeight="1">
      <c r="B38" s="257"/>
      <c r="C38" s="14"/>
      <c r="D38" s="15"/>
      <c r="E38" s="362"/>
      <c r="F38" s="16"/>
      <c r="G38" s="414"/>
      <c r="H38" s="17"/>
      <c r="I38" s="333"/>
      <c r="J38" s="261"/>
      <c r="K38" s="261"/>
      <c r="L38" s="262"/>
      <c r="M38" s="260"/>
      <c r="N38" s="261"/>
      <c r="O38" s="261"/>
      <c r="P38" s="262"/>
      <c r="Q38" s="260"/>
      <c r="R38" s="261"/>
      <c r="S38" s="261"/>
      <c r="T38" s="262"/>
      <c r="U38" s="260"/>
      <c r="V38" s="261"/>
      <c r="W38" s="261"/>
      <c r="X38" s="262"/>
      <c r="Y38" s="333"/>
      <c r="Z38" s="261"/>
      <c r="AA38" s="261"/>
      <c r="AB38" s="262"/>
      <c r="AC38" s="260"/>
      <c r="AD38" s="261"/>
      <c r="AE38" s="261"/>
      <c r="AF38" s="262"/>
      <c r="AG38" s="260"/>
      <c r="AH38" s="261"/>
      <c r="AI38" s="261"/>
      <c r="AJ38" s="262"/>
      <c r="AK38" s="260"/>
      <c r="AL38" s="261"/>
      <c r="AM38" s="261"/>
      <c r="AN38" s="262"/>
      <c r="AO38" s="260"/>
      <c r="AP38" s="261"/>
      <c r="AQ38" s="261"/>
      <c r="AR38" s="262"/>
      <c r="AS38" s="260"/>
      <c r="AT38" s="261"/>
      <c r="AU38" s="261"/>
      <c r="AV38" s="262"/>
      <c r="AW38" s="260"/>
      <c r="AX38" s="261"/>
      <c r="AY38" s="261"/>
      <c r="AZ38" s="262"/>
      <c r="BA38" s="260"/>
      <c r="BB38" s="261"/>
      <c r="BC38" s="261"/>
      <c r="BD38" s="262"/>
      <c r="BE38" s="260"/>
      <c r="BF38" s="261"/>
      <c r="BG38" s="261"/>
      <c r="BH38" s="262"/>
      <c r="BI38" s="260"/>
      <c r="BJ38" s="261"/>
      <c r="BK38" s="261"/>
      <c r="BL38" s="262"/>
      <c r="BM38" s="260"/>
      <c r="BN38" s="261"/>
      <c r="BO38" s="261"/>
      <c r="BP38" s="262"/>
      <c r="BQ38" s="260"/>
      <c r="BR38" s="261"/>
      <c r="BS38" s="261"/>
      <c r="BT38" s="262"/>
      <c r="BU38" s="260"/>
      <c r="BV38" s="261"/>
      <c r="BW38" s="261"/>
      <c r="BX38" s="262"/>
      <c r="BY38" s="260"/>
      <c r="BZ38" s="261"/>
      <c r="CA38" s="261"/>
      <c r="CB38" s="262"/>
      <c r="CC38" s="260"/>
      <c r="CD38" s="261"/>
      <c r="CE38" s="261"/>
      <c r="CF38" s="262"/>
      <c r="CG38" s="494"/>
      <c r="CH38" s="261"/>
      <c r="CI38" s="261"/>
      <c r="CJ38" s="262"/>
      <c r="CK38" s="494"/>
      <c r="CL38" s="261"/>
      <c r="CM38" s="261"/>
      <c r="CN38" s="262"/>
      <c r="CO38" s="494"/>
      <c r="CP38" s="261"/>
      <c r="CQ38" s="261"/>
      <c r="CR38" s="262"/>
      <c r="CS38" s="494"/>
      <c r="CT38" s="261"/>
      <c r="CU38" s="261"/>
      <c r="CV38" s="262"/>
      <c r="CW38" s="494"/>
      <c r="CX38" s="261"/>
      <c r="CY38" s="261"/>
      <c r="CZ38" s="262"/>
      <c r="DA38" s="332"/>
      <c r="DB38" s="330"/>
      <c r="DC38" s="330"/>
      <c r="DD38" s="331"/>
      <c r="DE38" s="332"/>
      <c r="DF38" s="330"/>
      <c r="DG38" s="330"/>
      <c r="DH38" s="331"/>
      <c r="DI38" s="332"/>
      <c r="DJ38" s="330"/>
      <c r="DK38" s="330"/>
      <c r="DL38" s="331"/>
      <c r="DM38" s="332"/>
      <c r="DN38" s="330"/>
      <c r="DO38" s="330"/>
      <c r="DP38" s="331"/>
      <c r="DQ38" s="332"/>
      <c r="DR38" s="330"/>
      <c r="DS38" s="330"/>
      <c r="DT38" s="331"/>
      <c r="DU38" s="332"/>
      <c r="DV38" s="330"/>
      <c r="DW38" s="330"/>
      <c r="DX38" s="331"/>
      <c r="DY38" s="332"/>
      <c r="DZ38" s="330"/>
      <c r="EA38" s="330"/>
      <c r="EB38" s="331"/>
      <c r="EC38" s="332"/>
      <c r="ED38" s="330"/>
      <c r="EE38" s="330"/>
      <c r="EF38" s="331"/>
      <c r="EG38" s="332"/>
      <c r="EH38" s="330"/>
      <c r="EI38" s="330"/>
      <c r="EJ38" s="331"/>
      <c r="EK38" s="332"/>
      <c r="EL38" s="330"/>
      <c r="EM38" s="330"/>
      <c r="EN38" s="331"/>
      <c r="EO38" s="332"/>
      <c r="EP38" s="330"/>
      <c r="EQ38" s="330"/>
      <c r="ER38" s="331"/>
      <c r="ES38" s="332"/>
      <c r="ET38" s="330"/>
      <c r="EU38" s="330"/>
      <c r="EV38" s="331"/>
      <c r="EW38" s="263"/>
      <c r="EX38" s="263"/>
      <c r="EY38" s="263"/>
      <c r="EZ38" s="263"/>
      <c r="FA38" s="263"/>
    </row>
    <row r="39" spans="2:157" s="268" customFormat="1" ht="29.25" customHeight="1">
      <c r="B39" s="257"/>
      <c r="C39" s="14"/>
      <c r="D39" s="15"/>
      <c r="E39" s="362"/>
      <c r="F39" s="16"/>
      <c r="G39" s="414"/>
      <c r="H39" s="17"/>
      <c r="I39" s="333"/>
      <c r="J39" s="261"/>
      <c r="K39" s="261"/>
      <c r="L39" s="262"/>
      <c r="M39" s="260"/>
      <c r="N39" s="261"/>
      <c r="O39" s="261"/>
      <c r="P39" s="262"/>
      <c r="Q39" s="260"/>
      <c r="R39" s="261"/>
      <c r="S39" s="261"/>
      <c r="T39" s="262"/>
      <c r="U39" s="260"/>
      <c r="V39" s="261"/>
      <c r="W39" s="261"/>
      <c r="X39" s="262"/>
      <c r="Y39" s="260"/>
      <c r="Z39" s="261">
        <f t="shared" ref="Z39" si="328">+Y39</f>
        <v>0</v>
      </c>
      <c r="AA39" s="261">
        <f t="shared" ref="AA39" si="329">+Z39</f>
        <v>0</v>
      </c>
      <c r="AB39" s="262">
        <f t="shared" ref="AB39" si="330">+AA39</f>
        <v>0</v>
      </c>
      <c r="AC39" s="260">
        <f t="shared" ref="AC39" si="331">+AB39</f>
        <v>0</v>
      </c>
      <c r="AD39" s="261">
        <f t="shared" ref="AD39" si="332">+AC39</f>
        <v>0</v>
      </c>
      <c r="AE39" s="261">
        <f t="shared" ref="AE39" si="333">+AD39</f>
        <v>0</v>
      </c>
      <c r="AF39" s="262">
        <f t="shared" ref="AF39" si="334">+AE39</f>
        <v>0</v>
      </c>
      <c r="AG39" s="260"/>
      <c r="AH39" s="261"/>
      <c r="AI39" s="261"/>
      <c r="AJ39" s="262"/>
      <c r="AK39" s="260"/>
      <c r="AL39" s="261"/>
      <c r="AM39" s="261"/>
      <c r="AN39" s="262"/>
      <c r="AO39" s="260"/>
      <c r="AP39" s="261"/>
      <c r="AQ39" s="261"/>
      <c r="AR39" s="262"/>
      <c r="AS39" s="260"/>
      <c r="AT39" s="261"/>
      <c r="AU39" s="261"/>
      <c r="AV39" s="262"/>
      <c r="AW39" s="260"/>
      <c r="AX39" s="261"/>
      <c r="AY39" s="261"/>
      <c r="AZ39" s="262"/>
      <c r="BA39" s="260"/>
      <c r="BB39" s="261"/>
      <c r="BC39" s="261"/>
      <c r="BD39" s="262"/>
      <c r="BE39" s="260"/>
      <c r="BF39" s="261"/>
      <c r="BG39" s="261"/>
      <c r="BH39" s="262"/>
      <c r="BI39" s="260"/>
      <c r="BJ39" s="261"/>
      <c r="BK39" s="261"/>
      <c r="BL39" s="262"/>
      <c r="BM39" s="260"/>
      <c r="BN39" s="261"/>
      <c r="BO39" s="261"/>
      <c r="BP39" s="262"/>
      <c r="BQ39" s="260"/>
      <c r="BR39" s="261"/>
      <c r="BS39" s="261"/>
      <c r="BT39" s="262"/>
      <c r="BU39" s="260"/>
      <c r="BV39" s="261"/>
      <c r="BW39" s="261"/>
      <c r="BX39" s="262"/>
      <c r="BY39" s="260"/>
      <c r="BZ39" s="261"/>
      <c r="CA39" s="261"/>
      <c r="CB39" s="262"/>
      <c r="CC39" s="260"/>
      <c r="CD39" s="261"/>
      <c r="CE39" s="261"/>
      <c r="CF39" s="262"/>
      <c r="CG39" s="332"/>
      <c r="CH39" s="330"/>
      <c r="CI39" s="330"/>
      <c r="CJ39" s="331"/>
      <c r="CK39" s="332"/>
      <c r="CL39" s="330"/>
      <c r="CM39" s="330"/>
      <c r="CN39" s="331"/>
      <c r="CO39" s="332"/>
      <c r="CP39" s="330"/>
      <c r="CQ39" s="330"/>
      <c r="CR39" s="331"/>
      <c r="CS39" s="332"/>
      <c r="CT39" s="330"/>
      <c r="CU39" s="330"/>
      <c r="CV39" s="331"/>
      <c r="CW39" s="332"/>
      <c r="CX39" s="330"/>
      <c r="CY39" s="330"/>
      <c r="CZ39" s="331"/>
      <c r="DA39" s="332"/>
      <c r="DB39" s="330"/>
      <c r="DC39" s="330"/>
      <c r="DD39" s="331"/>
      <c r="DE39" s="332"/>
      <c r="DF39" s="330"/>
      <c r="DG39" s="330"/>
      <c r="DH39" s="331"/>
      <c r="DI39" s="332"/>
      <c r="DJ39" s="330"/>
      <c r="DK39" s="330"/>
      <c r="DL39" s="331"/>
      <c r="DM39" s="332"/>
      <c r="DN39" s="330"/>
      <c r="DO39" s="330"/>
      <c r="DP39" s="331"/>
      <c r="DQ39" s="332"/>
      <c r="DR39" s="330"/>
      <c r="DS39" s="330"/>
      <c r="DT39" s="331"/>
      <c r="DU39" s="332"/>
      <c r="DV39" s="330"/>
      <c r="DW39" s="330"/>
      <c r="DX39" s="331"/>
      <c r="DY39" s="332"/>
      <c r="DZ39" s="330"/>
      <c r="EA39" s="330"/>
      <c r="EB39" s="331"/>
      <c r="EC39" s="332"/>
      <c r="ED39" s="330"/>
      <c r="EE39" s="330"/>
      <c r="EF39" s="331"/>
      <c r="EG39" s="332"/>
      <c r="EH39" s="330"/>
      <c r="EI39" s="330"/>
      <c r="EJ39" s="331"/>
      <c r="EK39" s="332"/>
      <c r="EL39" s="330"/>
      <c r="EM39" s="330"/>
      <c r="EN39" s="331"/>
      <c r="EO39" s="332"/>
      <c r="EP39" s="330"/>
      <c r="EQ39" s="330"/>
      <c r="ER39" s="331"/>
      <c r="ES39" s="332"/>
      <c r="ET39" s="330"/>
      <c r="EU39" s="330"/>
      <c r="EV39" s="331"/>
      <c r="EW39" s="263"/>
      <c r="EX39" s="263"/>
      <c r="EY39" s="263"/>
      <c r="EZ39" s="263"/>
      <c r="FA39" s="263"/>
    </row>
    <row r="40" spans="2:157" s="268" customFormat="1" ht="29.25" customHeight="1">
      <c r="B40" s="257"/>
      <c r="C40" s="14"/>
      <c r="D40" s="15"/>
      <c r="E40" s="362"/>
      <c r="F40" s="16"/>
      <c r="G40" s="414"/>
      <c r="H40" s="17"/>
      <c r="I40" s="333"/>
      <c r="J40" s="261"/>
      <c r="K40" s="261"/>
      <c r="L40" s="262"/>
      <c r="M40" s="260"/>
      <c r="N40" s="261"/>
      <c r="O40" s="261"/>
      <c r="P40" s="262"/>
      <c r="Q40" s="260"/>
      <c r="R40" s="261"/>
      <c r="S40" s="261"/>
      <c r="T40" s="262"/>
      <c r="U40" s="260"/>
      <c r="V40" s="261"/>
      <c r="W40" s="261"/>
      <c r="X40" s="262"/>
      <c r="Y40" s="260"/>
      <c r="Z40" s="261"/>
      <c r="AA40" s="261"/>
      <c r="AB40" s="262"/>
      <c r="AC40" s="260"/>
      <c r="AD40" s="261"/>
      <c r="AE40" s="261"/>
      <c r="AF40" s="262"/>
      <c r="AG40" s="260"/>
      <c r="AH40" s="261"/>
      <c r="AI40" s="261"/>
      <c r="AJ40" s="262"/>
      <c r="AK40" s="260"/>
      <c r="AL40" s="261"/>
      <c r="AM40" s="261"/>
      <c r="AN40" s="262"/>
      <c r="AO40" s="260"/>
      <c r="AP40" s="261"/>
      <c r="AQ40" s="261"/>
      <c r="AR40" s="262"/>
      <c r="AS40" s="260"/>
      <c r="AT40" s="261"/>
      <c r="AU40" s="261"/>
      <c r="AV40" s="262"/>
      <c r="AW40" s="260"/>
      <c r="AX40" s="261"/>
      <c r="AY40" s="261"/>
      <c r="AZ40" s="262"/>
      <c r="BA40" s="260"/>
      <c r="BB40" s="261"/>
      <c r="BC40" s="261"/>
      <c r="BD40" s="262"/>
      <c r="BE40" s="260"/>
      <c r="BF40" s="261"/>
      <c r="BG40" s="261"/>
      <c r="BH40" s="262"/>
      <c r="BI40" s="260"/>
      <c r="BJ40" s="261"/>
      <c r="BK40" s="261"/>
      <c r="BL40" s="262"/>
      <c r="BM40" s="260"/>
      <c r="BN40" s="261"/>
      <c r="BO40" s="261"/>
      <c r="BP40" s="262"/>
      <c r="BQ40" s="260"/>
      <c r="BR40" s="261"/>
      <c r="BS40" s="261"/>
      <c r="BT40" s="262"/>
      <c r="BU40" s="260"/>
      <c r="BV40" s="261"/>
      <c r="BW40" s="261"/>
      <c r="BX40" s="262"/>
      <c r="BY40" s="260"/>
      <c r="BZ40" s="261"/>
      <c r="CA40" s="261"/>
      <c r="CB40" s="262"/>
      <c r="CC40" s="260"/>
      <c r="CD40" s="261"/>
      <c r="CE40" s="261"/>
      <c r="CF40" s="262"/>
      <c r="CG40" s="332"/>
      <c r="CH40" s="330"/>
      <c r="CI40" s="330"/>
      <c r="CJ40" s="331"/>
      <c r="CK40" s="332"/>
      <c r="CL40" s="330"/>
      <c r="CM40" s="330"/>
      <c r="CN40" s="331"/>
      <c r="CO40" s="332"/>
      <c r="CP40" s="330"/>
      <c r="CQ40" s="330"/>
      <c r="CR40" s="331"/>
      <c r="CS40" s="332"/>
      <c r="CT40" s="330"/>
      <c r="CU40" s="330"/>
      <c r="CV40" s="331"/>
      <c r="CW40" s="332"/>
      <c r="CX40" s="330"/>
      <c r="CY40" s="330"/>
      <c r="CZ40" s="331"/>
      <c r="DA40" s="332"/>
      <c r="DB40" s="330"/>
      <c r="DC40" s="330"/>
      <c r="DD40" s="331"/>
      <c r="DE40" s="332"/>
      <c r="DF40" s="330"/>
      <c r="DG40" s="330"/>
      <c r="DH40" s="331"/>
      <c r="DI40" s="332"/>
      <c r="DJ40" s="330"/>
      <c r="DK40" s="330"/>
      <c r="DL40" s="331"/>
      <c r="DM40" s="332"/>
      <c r="DN40" s="330"/>
      <c r="DO40" s="330"/>
      <c r="DP40" s="331"/>
      <c r="DQ40" s="332"/>
      <c r="DR40" s="330"/>
      <c r="DS40" s="330"/>
      <c r="DT40" s="331"/>
      <c r="DU40" s="332"/>
      <c r="DV40" s="330"/>
      <c r="DW40" s="330"/>
      <c r="DX40" s="331"/>
      <c r="DY40" s="332"/>
      <c r="DZ40" s="330"/>
      <c r="EA40" s="330"/>
      <c r="EB40" s="331"/>
      <c r="EC40" s="332"/>
      <c r="ED40" s="330"/>
      <c r="EE40" s="330"/>
      <c r="EF40" s="331"/>
      <c r="EG40" s="332"/>
      <c r="EH40" s="330"/>
      <c r="EI40" s="330"/>
      <c r="EJ40" s="331"/>
      <c r="EK40" s="332"/>
      <c r="EL40" s="330"/>
      <c r="EM40" s="330"/>
      <c r="EN40" s="331"/>
      <c r="EO40" s="332"/>
      <c r="EP40" s="330"/>
      <c r="EQ40" s="330"/>
      <c r="ER40" s="331"/>
      <c r="ES40" s="332"/>
      <c r="ET40" s="330"/>
      <c r="EU40" s="330"/>
      <c r="EV40" s="331"/>
      <c r="EW40" s="263"/>
      <c r="EX40" s="263"/>
      <c r="EY40" s="263"/>
      <c r="EZ40" s="263"/>
      <c r="FA40" s="263"/>
    </row>
    <row r="41" spans="2:157" s="264" customFormat="1" ht="29.25" customHeight="1">
      <c r="B41" s="257"/>
      <c r="C41" s="14"/>
      <c r="D41" s="307"/>
      <c r="E41" s="308"/>
      <c r="F41" s="16"/>
      <c r="G41" s="414"/>
      <c r="H41" s="17"/>
      <c r="I41" s="333"/>
      <c r="J41" s="261"/>
      <c r="K41" s="261"/>
      <c r="L41" s="262"/>
      <c r="M41" s="260"/>
      <c r="N41" s="261"/>
      <c r="O41" s="261"/>
      <c r="P41" s="262"/>
      <c r="Q41" s="260"/>
      <c r="R41" s="261"/>
      <c r="S41" s="261"/>
      <c r="T41" s="262"/>
      <c r="U41" s="260"/>
      <c r="V41" s="261"/>
      <c r="W41" s="261"/>
      <c r="X41" s="262"/>
      <c r="Y41" s="260"/>
      <c r="Z41" s="261"/>
      <c r="AA41" s="261"/>
      <c r="AB41" s="262"/>
      <c r="AC41" s="260"/>
      <c r="AD41" s="261"/>
      <c r="AE41" s="238"/>
      <c r="AF41" s="262"/>
      <c r="AG41" s="260"/>
      <c r="AH41" s="261"/>
      <c r="AI41" s="261"/>
      <c r="AJ41" s="262"/>
      <c r="AK41" s="260"/>
      <c r="AL41" s="261"/>
      <c r="AM41" s="261"/>
      <c r="AN41" s="262"/>
      <c r="AO41" s="332"/>
      <c r="AP41" s="330"/>
      <c r="AQ41" s="330"/>
      <c r="AR41" s="331"/>
      <c r="AS41" s="332"/>
      <c r="AT41" s="330"/>
      <c r="AU41" s="330"/>
      <c r="AV41" s="331"/>
      <c r="AW41" s="332"/>
      <c r="AX41" s="330"/>
      <c r="AY41" s="330"/>
      <c r="AZ41" s="331"/>
      <c r="BA41" s="332"/>
      <c r="BB41" s="330"/>
      <c r="BC41" s="330"/>
      <c r="BD41" s="331"/>
      <c r="BE41" s="332"/>
      <c r="BF41" s="330"/>
      <c r="BG41" s="330"/>
      <c r="BH41" s="331"/>
      <c r="BI41" s="332"/>
      <c r="BJ41" s="330"/>
      <c r="BK41" s="330"/>
      <c r="BL41" s="331"/>
      <c r="BM41" s="332"/>
      <c r="BN41" s="330"/>
      <c r="BO41" s="330"/>
      <c r="BP41" s="331"/>
      <c r="BQ41" s="332"/>
      <c r="BR41" s="330"/>
      <c r="BS41" s="330"/>
      <c r="BT41" s="331"/>
      <c r="BU41" s="332"/>
      <c r="BV41" s="330"/>
      <c r="BW41" s="330"/>
      <c r="BX41" s="331"/>
      <c r="BY41" s="332"/>
      <c r="BZ41" s="330"/>
      <c r="CA41" s="330"/>
      <c r="CB41" s="331"/>
      <c r="CC41" s="332"/>
      <c r="CD41" s="330"/>
      <c r="CE41" s="330"/>
      <c r="CF41" s="331"/>
      <c r="CG41" s="332"/>
      <c r="CH41" s="330"/>
      <c r="CI41" s="330"/>
      <c r="CJ41" s="331"/>
      <c r="CK41" s="332"/>
      <c r="CL41" s="330"/>
      <c r="CM41" s="330"/>
      <c r="CN41" s="331"/>
      <c r="CO41" s="332"/>
      <c r="CP41" s="330"/>
      <c r="CQ41" s="330"/>
      <c r="CR41" s="331"/>
      <c r="CS41" s="332"/>
      <c r="CT41" s="330"/>
      <c r="CU41" s="330"/>
      <c r="CV41" s="331"/>
      <c r="CW41" s="332"/>
      <c r="CX41" s="330"/>
      <c r="CY41" s="330"/>
      <c r="CZ41" s="331"/>
      <c r="DA41" s="332"/>
      <c r="DB41" s="330"/>
      <c r="DC41" s="330"/>
      <c r="DD41" s="331"/>
      <c r="DE41" s="332"/>
      <c r="DF41" s="330"/>
      <c r="DG41" s="330"/>
      <c r="DH41" s="331"/>
      <c r="DI41" s="332"/>
      <c r="DJ41" s="330"/>
      <c r="DK41" s="330"/>
      <c r="DL41" s="331"/>
      <c r="DM41" s="332"/>
      <c r="DN41" s="330"/>
      <c r="DO41" s="330"/>
      <c r="DP41" s="331"/>
      <c r="DQ41" s="332"/>
      <c r="DR41" s="330"/>
      <c r="DS41" s="330"/>
      <c r="DT41" s="331"/>
      <c r="DU41" s="332"/>
      <c r="DV41" s="330"/>
      <c r="DW41" s="330"/>
      <c r="DX41" s="331"/>
      <c r="DY41" s="332"/>
      <c r="DZ41" s="330"/>
      <c r="EA41" s="330"/>
      <c r="EB41" s="331"/>
      <c r="EC41" s="332"/>
      <c r="ED41" s="330"/>
      <c r="EE41" s="330"/>
      <c r="EF41" s="331"/>
      <c r="EG41" s="332"/>
      <c r="EH41" s="330"/>
      <c r="EI41" s="330"/>
      <c r="EJ41" s="331"/>
      <c r="EK41" s="332"/>
      <c r="EL41" s="330"/>
      <c r="EM41" s="330"/>
      <c r="EN41" s="331"/>
      <c r="EO41" s="332"/>
      <c r="EP41" s="330"/>
      <c r="EQ41" s="330"/>
      <c r="ER41" s="331"/>
      <c r="ES41" s="332"/>
      <c r="ET41" s="330"/>
      <c r="EU41" s="330"/>
      <c r="EV41" s="331"/>
      <c r="EW41" s="263"/>
      <c r="EX41" s="263"/>
      <c r="EY41" s="263"/>
      <c r="EZ41" s="263"/>
      <c r="FA41" s="263"/>
    </row>
    <row r="42" spans="2:157" s="276" customFormat="1" ht="29.25" customHeight="1">
      <c r="B42" s="269"/>
      <c r="C42" s="283" t="s">
        <v>23</v>
      </c>
      <c r="D42" s="19"/>
      <c r="E42" s="363"/>
      <c r="F42" s="20"/>
      <c r="G42" s="416"/>
      <c r="H42" s="21"/>
      <c r="I42" s="333"/>
      <c r="J42" s="261"/>
      <c r="K42" s="261"/>
      <c r="L42" s="262"/>
      <c r="M42" s="260"/>
      <c r="N42" s="261"/>
      <c r="O42" s="261"/>
      <c r="P42" s="262"/>
      <c r="Q42" s="260"/>
      <c r="R42" s="261"/>
      <c r="S42" s="261"/>
      <c r="T42" s="262"/>
      <c r="U42" s="260"/>
      <c r="V42" s="261"/>
      <c r="W42" s="261"/>
      <c r="X42" s="262"/>
      <c r="Y42" s="260"/>
      <c r="Z42" s="261"/>
      <c r="AA42" s="261"/>
      <c r="AB42" s="262"/>
      <c r="AC42" s="260"/>
      <c r="AD42" s="261"/>
      <c r="AE42" s="238"/>
      <c r="AF42" s="262"/>
      <c r="AG42" s="260"/>
      <c r="AH42" s="261"/>
      <c r="AI42" s="261"/>
      <c r="AJ42" s="262"/>
      <c r="AK42" s="260"/>
      <c r="AL42" s="261"/>
      <c r="AM42" s="261"/>
      <c r="AN42" s="262"/>
      <c r="AO42" s="332"/>
      <c r="AP42" s="330"/>
      <c r="AQ42" s="330"/>
      <c r="AR42" s="331"/>
      <c r="AS42" s="332"/>
      <c r="AT42" s="330"/>
      <c r="AU42" s="330"/>
      <c r="AV42" s="331"/>
      <c r="AW42" s="332"/>
      <c r="AX42" s="330"/>
      <c r="AY42" s="330"/>
      <c r="AZ42" s="331"/>
      <c r="BA42" s="332"/>
      <c r="BB42" s="330"/>
      <c r="BC42" s="330"/>
      <c r="BD42" s="331"/>
      <c r="BE42" s="332"/>
      <c r="BF42" s="330"/>
      <c r="BG42" s="330"/>
      <c r="BH42" s="331"/>
      <c r="BI42" s="332"/>
      <c r="BJ42" s="330"/>
      <c r="BK42" s="330"/>
      <c r="BL42" s="331"/>
      <c r="BM42" s="332"/>
      <c r="BN42" s="330"/>
      <c r="BO42" s="330"/>
      <c r="BP42" s="331"/>
      <c r="BQ42" s="332"/>
      <c r="BR42" s="330"/>
      <c r="BS42" s="330"/>
      <c r="BT42" s="331"/>
      <c r="BU42" s="332"/>
      <c r="BV42" s="330"/>
      <c r="BW42" s="330"/>
      <c r="BX42" s="331"/>
      <c r="BY42" s="332"/>
      <c r="BZ42" s="330"/>
      <c r="CA42" s="330"/>
      <c r="CB42" s="331"/>
      <c r="CC42" s="332"/>
      <c r="CD42" s="330"/>
      <c r="CE42" s="330"/>
      <c r="CF42" s="331"/>
      <c r="CG42" s="332"/>
      <c r="CH42" s="330"/>
      <c r="CI42" s="330"/>
      <c r="CJ42" s="331"/>
      <c r="CK42" s="332"/>
      <c r="CL42" s="330"/>
      <c r="CM42" s="330"/>
      <c r="CN42" s="331"/>
      <c r="CO42" s="332"/>
      <c r="CP42" s="330"/>
      <c r="CQ42" s="330"/>
      <c r="CR42" s="331"/>
      <c r="CS42" s="332"/>
      <c r="CT42" s="330"/>
      <c r="CU42" s="330"/>
      <c r="CV42" s="331"/>
      <c r="CW42" s="332"/>
      <c r="CX42" s="330"/>
      <c r="CY42" s="330"/>
      <c r="CZ42" s="331"/>
      <c r="DA42" s="332"/>
      <c r="DB42" s="330"/>
      <c r="DC42" s="330"/>
      <c r="DD42" s="331"/>
      <c r="DE42" s="332"/>
      <c r="DF42" s="330"/>
      <c r="DG42" s="330"/>
      <c r="DH42" s="331"/>
      <c r="DI42" s="332"/>
      <c r="DJ42" s="330"/>
      <c r="DK42" s="330"/>
      <c r="DL42" s="331"/>
      <c r="DM42" s="332"/>
      <c r="DN42" s="330"/>
      <c r="DO42" s="330"/>
      <c r="DP42" s="331"/>
      <c r="DQ42" s="332"/>
      <c r="DR42" s="330"/>
      <c r="DS42" s="330"/>
      <c r="DT42" s="331"/>
      <c r="DU42" s="332"/>
      <c r="DV42" s="330"/>
      <c r="DW42" s="330"/>
      <c r="DX42" s="331"/>
      <c r="DY42" s="332"/>
      <c r="DZ42" s="330"/>
      <c r="EA42" s="330"/>
      <c r="EB42" s="331"/>
      <c r="EC42" s="332"/>
      <c r="ED42" s="330"/>
      <c r="EE42" s="330"/>
      <c r="EF42" s="331"/>
      <c r="EG42" s="332"/>
      <c r="EH42" s="330"/>
      <c r="EI42" s="330"/>
      <c r="EJ42" s="331"/>
      <c r="EK42" s="332"/>
      <c r="EL42" s="330"/>
      <c r="EM42" s="330"/>
      <c r="EN42" s="331"/>
      <c r="EO42" s="332"/>
      <c r="EP42" s="330"/>
      <c r="EQ42" s="330"/>
      <c r="ER42" s="331"/>
      <c r="ES42" s="332"/>
      <c r="ET42" s="330"/>
      <c r="EU42" s="330"/>
      <c r="EV42" s="331"/>
      <c r="EW42" s="263"/>
      <c r="EX42" s="263"/>
      <c r="EY42" s="263"/>
      <c r="EZ42" s="263"/>
      <c r="FA42" s="263"/>
    </row>
    <row r="43" spans="2:157" s="264" customFormat="1" ht="29.25" customHeight="1">
      <c r="B43" s="257"/>
      <c r="C43" s="23" t="s">
        <v>148</v>
      </c>
      <c r="D43" s="270" t="s">
        <v>149</v>
      </c>
      <c r="E43" s="271">
        <v>6</v>
      </c>
      <c r="F43" s="265"/>
      <c r="G43" s="417"/>
      <c r="H43" s="267"/>
      <c r="I43" s="333"/>
      <c r="J43" s="261"/>
      <c r="K43" s="261"/>
      <c r="L43" s="262"/>
      <c r="M43" s="260"/>
      <c r="N43" s="261"/>
      <c r="O43" s="261"/>
      <c r="P43" s="262"/>
      <c r="Q43" s="260"/>
      <c r="R43" s="261"/>
      <c r="S43" s="261"/>
      <c r="T43" s="262"/>
      <c r="U43" s="333"/>
      <c r="V43" s="432"/>
      <c r="W43" s="432"/>
      <c r="X43" s="433"/>
      <c r="Y43" s="333"/>
      <c r="Z43" s="432"/>
      <c r="AA43" s="432"/>
      <c r="AB43" s="433"/>
      <c r="AC43" s="333"/>
      <c r="AD43" s="432"/>
      <c r="AE43" s="432"/>
      <c r="AF43" s="433"/>
      <c r="AG43" s="333">
        <f>+E43</f>
        <v>6</v>
      </c>
      <c r="AH43" s="432">
        <f>+E43</f>
        <v>6</v>
      </c>
      <c r="AI43" s="432">
        <f>+E43</f>
        <v>6</v>
      </c>
      <c r="AJ43" s="433">
        <f>+E43</f>
        <v>6</v>
      </c>
      <c r="AK43" s="333">
        <f>+E43</f>
        <v>6</v>
      </c>
      <c r="AL43" s="432">
        <f>+E43</f>
        <v>6</v>
      </c>
      <c r="AM43" s="432">
        <f>+E43</f>
        <v>6</v>
      </c>
      <c r="AN43" s="433">
        <f>+E43</f>
        <v>6</v>
      </c>
      <c r="AO43" s="333">
        <f>+E43</f>
        <v>6</v>
      </c>
      <c r="AP43" s="432">
        <f>+E43</f>
        <v>6</v>
      </c>
      <c r="AQ43" s="432">
        <f>+E43</f>
        <v>6</v>
      </c>
      <c r="AR43" s="433">
        <f>+E43</f>
        <v>6</v>
      </c>
      <c r="AS43" s="333">
        <f>+E43</f>
        <v>6</v>
      </c>
      <c r="AT43" s="432">
        <f>+E43</f>
        <v>6</v>
      </c>
      <c r="AU43" s="432">
        <f>+E43</f>
        <v>6</v>
      </c>
      <c r="AV43" s="433">
        <f>+E43</f>
        <v>6</v>
      </c>
      <c r="AW43" s="333">
        <f>+E43</f>
        <v>6</v>
      </c>
      <c r="AX43" s="432">
        <f>+E43</f>
        <v>6</v>
      </c>
      <c r="AY43" s="432">
        <f>+E43</f>
        <v>6</v>
      </c>
      <c r="AZ43" s="433">
        <f>+E43</f>
        <v>6</v>
      </c>
      <c r="BA43" s="333">
        <f>+E43</f>
        <v>6</v>
      </c>
      <c r="BB43" s="432">
        <f>+E43</f>
        <v>6</v>
      </c>
      <c r="BC43" s="432">
        <f>+E43</f>
        <v>6</v>
      </c>
      <c r="BD43" s="433">
        <f>+E43</f>
        <v>6</v>
      </c>
      <c r="BE43" s="333">
        <f>+E43</f>
        <v>6</v>
      </c>
      <c r="BF43" s="432">
        <f>+E43</f>
        <v>6</v>
      </c>
      <c r="BG43" s="432">
        <f>+E43</f>
        <v>6</v>
      </c>
      <c r="BH43" s="433">
        <f>+E43</f>
        <v>6</v>
      </c>
      <c r="BI43" s="333">
        <f>+E43</f>
        <v>6</v>
      </c>
      <c r="BJ43" s="432">
        <f>+E43</f>
        <v>6</v>
      </c>
      <c r="BK43" s="432">
        <f>+E43</f>
        <v>6</v>
      </c>
      <c r="BL43" s="433">
        <f>+E43</f>
        <v>6</v>
      </c>
      <c r="BM43" s="333">
        <f>+E43</f>
        <v>6</v>
      </c>
      <c r="BN43" s="432">
        <f>+E43</f>
        <v>6</v>
      </c>
      <c r="BO43" s="432">
        <f>+E43</f>
        <v>6</v>
      </c>
      <c r="BP43" s="433">
        <f>+E43</f>
        <v>6</v>
      </c>
      <c r="BQ43" s="333">
        <f t="shared" ref="BQ43:BQ49" si="335">+AK43</f>
        <v>6</v>
      </c>
      <c r="BR43" s="432">
        <f t="shared" ref="BR43:BR49" si="336">+AK43</f>
        <v>6</v>
      </c>
      <c r="BS43" s="432">
        <f t="shared" ref="BS43:BS49" si="337">+AK43</f>
        <v>6</v>
      </c>
      <c r="BT43" s="433">
        <f t="shared" ref="BT43:BT49" si="338">+AK43</f>
        <v>6</v>
      </c>
      <c r="BU43" s="333">
        <f t="shared" ref="BU43:BU49" si="339">+AK43</f>
        <v>6</v>
      </c>
      <c r="BV43" s="432">
        <f t="shared" ref="BV43:BV49" si="340">+AK43</f>
        <v>6</v>
      </c>
      <c r="BW43" s="432">
        <f t="shared" ref="BW43:BW49" si="341">+AK43</f>
        <v>6</v>
      </c>
      <c r="BX43" s="433">
        <f t="shared" ref="BX43:BX49" si="342">+AK43</f>
        <v>6</v>
      </c>
      <c r="BY43" s="333">
        <f t="shared" ref="BY43:BY49" si="343">+AS43</f>
        <v>6</v>
      </c>
      <c r="BZ43" s="432">
        <f t="shared" ref="BZ43:BZ49" si="344">+AS43</f>
        <v>6</v>
      </c>
      <c r="CA43" s="432">
        <f t="shared" ref="CA43:CA49" si="345">+AS43</f>
        <v>6</v>
      </c>
      <c r="CB43" s="433">
        <f t="shared" ref="CB43:CB49" si="346">+AS43</f>
        <v>6</v>
      </c>
      <c r="CC43" s="333">
        <f t="shared" ref="CC43:CC49" si="347">+AS43</f>
        <v>6</v>
      </c>
      <c r="CD43" s="432">
        <f t="shared" ref="CD43:CD49" si="348">+AS43</f>
        <v>6</v>
      </c>
      <c r="CE43" s="432">
        <f t="shared" ref="CE43:CE49" si="349">+AS43</f>
        <v>6</v>
      </c>
      <c r="CF43" s="433">
        <f t="shared" ref="CF43:CF49" si="350">+AS43</f>
        <v>6</v>
      </c>
      <c r="CG43" s="333">
        <f t="shared" ref="CG43:CG49" si="351">+BA43</f>
        <v>6</v>
      </c>
      <c r="CH43" s="432">
        <f t="shared" ref="CH43:CH49" si="352">+BA43</f>
        <v>6</v>
      </c>
      <c r="CI43" s="432">
        <f t="shared" ref="CI43:CI49" si="353">+BA43</f>
        <v>6</v>
      </c>
      <c r="CJ43" s="433">
        <f t="shared" ref="CJ43:CJ49" si="354">+BA43</f>
        <v>6</v>
      </c>
      <c r="CK43" s="333">
        <f t="shared" ref="CK43:CK49" si="355">+BA43</f>
        <v>6</v>
      </c>
      <c r="CL43" s="432">
        <f t="shared" ref="CL43:CL49" si="356">+BA43</f>
        <v>6</v>
      </c>
      <c r="CM43" s="432">
        <f t="shared" ref="CM43:CM49" si="357">+BA43</f>
        <v>6</v>
      </c>
      <c r="CN43" s="433">
        <f t="shared" ref="CN43:CN49" si="358">+BA43</f>
        <v>6</v>
      </c>
      <c r="CO43" s="333">
        <f t="shared" ref="CO43:CO49" si="359">+BI43</f>
        <v>6</v>
      </c>
      <c r="CP43" s="432">
        <f t="shared" ref="CP43:CP49" si="360">+BI43</f>
        <v>6</v>
      </c>
      <c r="CQ43" s="432">
        <f t="shared" ref="CQ43:CQ49" si="361">+BI43</f>
        <v>6</v>
      </c>
      <c r="CR43" s="433">
        <f t="shared" ref="CR43:CR49" si="362">+BI43</f>
        <v>6</v>
      </c>
      <c r="CS43" s="333">
        <f t="shared" ref="CS43:CS49" si="363">+BI43</f>
        <v>6</v>
      </c>
      <c r="CT43" s="432">
        <f t="shared" ref="CT43:CT49" si="364">+BI43</f>
        <v>6</v>
      </c>
      <c r="CU43" s="432">
        <f t="shared" ref="CU43:CU49" si="365">+BI43</f>
        <v>6</v>
      </c>
      <c r="CV43" s="433">
        <f t="shared" ref="CV43:CV49" si="366">+BI43</f>
        <v>6</v>
      </c>
      <c r="CW43" s="333">
        <f t="shared" ref="CW43:CW49" si="367">+BQ43</f>
        <v>6</v>
      </c>
      <c r="CX43" s="432">
        <f t="shared" ref="CX43:CX49" si="368">+BQ43</f>
        <v>6</v>
      </c>
      <c r="CY43" s="432">
        <f t="shared" ref="CY43:CY49" si="369">+BQ43</f>
        <v>6</v>
      </c>
      <c r="CZ43" s="433">
        <f t="shared" ref="CZ43:CZ49" si="370">+BQ43</f>
        <v>6</v>
      </c>
      <c r="DA43" s="333">
        <f t="shared" ref="DA43:DA49" si="371">+BQ43</f>
        <v>6</v>
      </c>
      <c r="DB43" s="432">
        <f t="shared" ref="DB43:DB49" si="372">+BQ43</f>
        <v>6</v>
      </c>
      <c r="DC43" s="432">
        <f t="shared" ref="DC43:DC49" si="373">+BQ43</f>
        <v>6</v>
      </c>
      <c r="DD43" s="433">
        <f t="shared" ref="DD43:DD49" si="374">+BQ43</f>
        <v>6</v>
      </c>
      <c r="DE43" s="333">
        <f t="shared" ref="DE43:DE49" si="375">+BY43</f>
        <v>6</v>
      </c>
      <c r="DF43" s="432">
        <f t="shared" ref="DF43:DF49" si="376">+BY43</f>
        <v>6</v>
      </c>
      <c r="DG43" s="432">
        <f t="shared" ref="DG43:DG49" si="377">+BY43</f>
        <v>6</v>
      </c>
      <c r="DH43" s="433">
        <f t="shared" ref="DH43:DH49" si="378">+BY43</f>
        <v>6</v>
      </c>
      <c r="DI43" s="333">
        <f t="shared" ref="DI43:DI49" si="379">+BY43</f>
        <v>6</v>
      </c>
      <c r="DJ43" s="432">
        <f t="shared" ref="DJ43:DJ49" si="380">+BY43</f>
        <v>6</v>
      </c>
      <c r="DK43" s="432">
        <f t="shared" ref="DK43:DK49" si="381">+BY43</f>
        <v>6</v>
      </c>
      <c r="DL43" s="433">
        <f t="shared" ref="DL43:DL49" si="382">+BY43</f>
        <v>6</v>
      </c>
      <c r="DM43" s="333">
        <f t="shared" ref="DM43:DM49" si="383">+CG43</f>
        <v>6</v>
      </c>
      <c r="DN43" s="432">
        <f t="shared" ref="DN43:DN49" si="384">+CG43</f>
        <v>6</v>
      </c>
      <c r="DO43" s="432">
        <f t="shared" ref="DO43:DO49" si="385">+CG43</f>
        <v>6</v>
      </c>
      <c r="DP43" s="433">
        <f t="shared" ref="DP43:DP49" si="386">+CG43</f>
        <v>6</v>
      </c>
      <c r="DQ43" s="333">
        <f t="shared" ref="DQ43:DQ49" si="387">+CG43</f>
        <v>6</v>
      </c>
      <c r="DR43" s="432">
        <f t="shared" ref="DR43:DR49" si="388">+CG43</f>
        <v>6</v>
      </c>
      <c r="DS43" s="432">
        <f t="shared" ref="DS43:DS49" si="389">+CG43</f>
        <v>6</v>
      </c>
      <c r="DT43" s="433">
        <f t="shared" ref="DT43:DT49" si="390">+CG43</f>
        <v>6</v>
      </c>
      <c r="DU43" s="333">
        <f t="shared" ref="DU43:DU49" si="391">+CO43</f>
        <v>6</v>
      </c>
      <c r="DV43" s="432">
        <f t="shared" ref="DV43:DV49" si="392">+CO43</f>
        <v>6</v>
      </c>
      <c r="DW43" s="432">
        <f t="shared" ref="DW43:DW49" si="393">+CO43</f>
        <v>6</v>
      </c>
      <c r="DX43" s="433">
        <f t="shared" ref="DX43:DX49" si="394">+CO43</f>
        <v>6</v>
      </c>
      <c r="DY43" s="333">
        <f t="shared" ref="DY43:DY49" si="395">+CO43</f>
        <v>6</v>
      </c>
      <c r="DZ43" s="432">
        <f t="shared" ref="DZ43:DZ49" si="396">+CO43</f>
        <v>6</v>
      </c>
      <c r="EA43" s="432">
        <f t="shared" ref="EA43:EA49" si="397">+CO43</f>
        <v>6</v>
      </c>
      <c r="EB43" s="433">
        <f t="shared" ref="EB43:EB49" si="398">+CO43</f>
        <v>6</v>
      </c>
      <c r="EC43" s="333">
        <f t="shared" ref="EC43:EC49" si="399">+CW43</f>
        <v>6</v>
      </c>
      <c r="ED43" s="432">
        <f t="shared" ref="ED43:ED49" si="400">+CW43</f>
        <v>6</v>
      </c>
      <c r="EE43" s="432">
        <f t="shared" ref="EE43:EE49" si="401">+CW43</f>
        <v>6</v>
      </c>
      <c r="EF43" s="433">
        <f t="shared" ref="EF43:EF49" si="402">+CW43</f>
        <v>6</v>
      </c>
      <c r="EG43" s="333">
        <f t="shared" ref="EG43:EG49" si="403">+CW43</f>
        <v>6</v>
      </c>
      <c r="EH43" s="432">
        <f t="shared" ref="EH43:EH49" si="404">+CW43</f>
        <v>6</v>
      </c>
      <c r="EI43" s="432">
        <f t="shared" ref="EI43:EI49" si="405">+CW43</f>
        <v>6</v>
      </c>
      <c r="EJ43" s="433">
        <f t="shared" ref="EJ43:EJ49" si="406">+CW43</f>
        <v>6</v>
      </c>
      <c r="EK43" s="333">
        <f t="shared" ref="EK43:EK49" si="407">+DE43</f>
        <v>6</v>
      </c>
      <c r="EL43" s="432">
        <f t="shared" ref="EL43:EL49" si="408">+DE43</f>
        <v>6</v>
      </c>
      <c r="EM43" s="432">
        <f t="shared" ref="EM43:EM49" si="409">+DE43</f>
        <v>6</v>
      </c>
      <c r="EN43" s="433">
        <f t="shared" ref="EN43:EN49" si="410">+DE43</f>
        <v>6</v>
      </c>
      <c r="EO43" s="333">
        <f t="shared" ref="EO43:EO49" si="411">+DE43</f>
        <v>6</v>
      </c>
      <c r="EP43" s="432">
        <f t="shared" ref="EP43:EP49" si="412">+DE43</f>
        <v>6</v>
      </c>
      <c r="EQ43" s="432">
        <f t="shared" ref="EQ43:EQ49" si="413">+DE43</f>
        <v>6</v>
      </c>
      <c r="ER43" s="433">
        <f t="shared" ref="ER43:ER49" si="414">+DE43</f>
        <v>6</v>
      </c>
      <c r="ES43" s="333">
        <f t="shared" ref="ES43:ES49" si="415">+DM43</f>
        <v>6</v>
      </c>
      <c r="ET43" s="432">
        <f t="shared" ref="ET43:ET49" si="416">+DM43</f>
        <v>6</v>
      </c>
      <c r="EU43" s="432">
        <f t="shared" ref="EU43:EU49" si="417">+DM43</f>
        <v>6</v>
      </c>
      <c r="EV43" s="433">
        <f t="shared" ref="EV43:EV49" si="418">+DM43</f>
        <v>6</v>
      </c>
      <c r="EW43" s="263">
        <f>SUM(I43:DD43)/4</f>
        <v>114</v>
      </c>
      <c r="EX43" s="263"/>
      <c r="EY43" s="263"/>
      <c r="EZ43" s="263"/>
      <c r="FA43" s="263"/>
    </row>
    <row r="44" spans="2:157" s="264" customFormat="1" ht="29.25" customHeight="1">
      <c r="B44" s="257"/>
      <c r="C44" s="23" t="s">
        <v>24</v>
      </c>
      <c r="D44" s="270" t="s">
        <v>149</v>
      </c>
      <c r="E44" s="271">
        <v>21</v>
      </c>
      <c r="F44" s="258"/>
      <c r="G44" s="415"/>
      <c r="H44" s="259"/>
      <c r="I44" s="333"/>
      <c r="J44" s="261"/>
      <c r="K44" s="261"/>
      <c r="L44" s="262"/>
      <c r="M44" s="260"/>
      <c r="N44" s="261"/>
      <c r="O44" s="261"/>
      <c r="P44" s="262"/>
      <c r="Q44" s="260"/>
      <c r="R44" s="261"/>
      <c r="S44" s="261"/>
      <c r="T44" s="262"/>
      <c r="U44" s="333"/>
      <c r="V44" s="432"/>
      <c r="W44" s="432"/>
      <c r="X44" s="433"/>
      <c r="Y44" s="333"/>
      <c r="Z44" s="432"/>
      <c r="AA44" s="432"/>
      <c r="AB44" s="433"/>
      <c r="AC44" s="333"/>
      <c r="AD44" s="432"/>
      <c r="AE44" s="432"/>
      <c r="AF44" s="433"/>
      <c r="AG44" s="333">
        <f t="shared" ref="AG44:AG49" si="419">+E44</f>
        <v>21</v>
      </c>
      <c r="AH44" s="432">
        <f t="shared" ref="AH44:AH49" si="420">+E44</f>
        <v>21</v>
      </c>
      <c r="AI44" s="432">
        <f t="shared" ref="AI44:AI49" si="421">+E44</f>
        <v>21</v>
      </c>
      <c r="AJ44" s="433">
        <f t="shared" ref="AJ44:AJ49" si="422">+E44</f>
        <v>21</v>
      </c>
      <c r="AK44" s="333">
        <f t="shared" ref="AK44:AK49" si="423">+E44</f>
        <v>21</v>
      </c>
      <c r="AL44" s="432">
        <f t="shared" ref="AL44:AL49" si="424">+E44</f>
        <v>21</v>
      </c>
      <c r="AM44" s="432">
        <f t="shared" ref="AM44:AM49" si="425">+E44</f>
        <v>21</v>
      </c>
      <c r="AN44" s="433">
        <f t="shared" ref="AN44:AN49" si="426">+E44</f>
        <v>21</v>
      </c>
      <c r="AO44" s="333">
        <f t="shared" ref="AO44:AO49" si="427">+E44</f>
        <v>21</v>
      </c>
      <c r="AP44" s="432">
        <f t="shared" ref="AP44:AP49" si="428">+E44</f>
        <v>21</v>
      </c>
      <c r="AQ44" s="432">
        <f t="shared" ref="AQ44:AQ49" si="429">+E44</f>
        <v>21</v>
      </c>
      <c r="AR44" s="433">
        <f t="shared" ref="AR44:AR49" si="430">+E44</f>
        <v>21</v>
      </c>
      <c r="AS44" s="333">
        <f t="shared" ref="AS44:AS49" si="431">+E44</f>
        <v>21</v>
      </c>
      <c r="AT44" s="432">
        <f t="shared" ref="AT44:AT49" si="432">+E44</f>
        <v>21</v>
      </c>
      <c r="AU44" s="432">
        <f t="shared" ref="AU44:AU49" si="433">+E44</f>
        <v>21</v>
      </c>
      <c r="AV44" s="433">
        <f t="shared" ref="AV44:AV49" si="434">+E44</f>
        <v>21</v>
      </c>
      <c r="AW44" s="333">
        <f t="shared" ref="AW44:AW49" si="435">+E44</f>
        <v>21</v>
      </c>
      <c r="AX44" s="432">
        <f t="shared" ref="AX44:AX49" si="436">+E44</f>
        <v>21</v>
      </c>
      <c r="AY44" s="432">
        <f t="shared" ref="AY44:AY49" si="437">+E44</f>
        <v>21</v>
      </c>
      <c r="AZ44" s="433">
        <f t="shared" ref="AZ44:AZ49" si="438">+E44</f>
        <v>21</v>
      </c>
      <c r="BA44" s="333">
        <f t="shared" ref="BA44:BA49" si="439">+E44</f>
        <v>21</v>
      </c>
      <c r="BB44" s="432">
        <f t="shared" ref="BB44:BB49" si="440">+E44</f>
        <v>21</v>
      </c>
      <c r="BC44" s="432">
        <f t="shared" ref="BC44:BC49" si="441">+E44</f>
        <v>21</v>
      </c>
      <c r="BD44" s="433">
        <f t="shared" ref="BD44:BD49" si="442">+E44</f>
        <v>21</v>
      </c>
      <c r="BE44" s="333">
        <f t="shared" ref="BE44:BE49" si="443">+E44</f>
        <v>21</v>
      </c>
      <c r="BF44" s="432">
        <f t="shared" ref="BF44:BF49" si="444">+E44</f>
        <v>21</v>
      </c>
      <c r="BG44" s="432">
        <f t="shared" ref="BG44:BG49" si="445">+E44</f>
        <v>21</v>
      </c>
      <c r="BH44" s="433">
        <f t="shared" ref="BH44:BH49" si="446">+E44</f>
        <v>21</v>
      </c>
      <c r="BI44" s="333">
        <f t="shared" ref="BI44:BI49" si="447">+E44</f>
        <v>21</v>
      </c>
      <c r="BJ44" s="432">
        <f t="shared" ref="BJ44:BJ49" si="448">+E44</f>
        <v>21</v>
      </c>
      <c r="BK44" s="432">
        <f t="shared" ref="BK44:BK49" si="449">+E44</f>
        <v>21</v>
      </c>
      <c r="BL44" s="433">
        <f t="shared" ref="BL44:BL49" si="450">+E44</f>
        <v>21</v>
      </c>
      <c r="BM44" s="333">
        <f t="shared" ref="BM44:BM49" si="451">+E44</f>
        <v>21</v>
      </c>
      <c r="BN44" s="432">
        <f t="shared" ref="BN44:BN49" si="452">+E44</f>
        <v>21</v>
      </c>
      <c r="BO44" s="432">
        <f t="shared" ref="BO44:BO49" si="453">+E44</f>
        <v>21</v>
      </c>
      <c r="BP44" s="433">
        <f t="shared" ref="BP44:BP49" si="454">+E44</f>
        <v>21</v>
      </c>
      <c r="BQ44" s="333">
        <f t="shared" si="335"/>
        <v>21</v>
      </c>
      <c r="BR44" s="432">
        <f t="shared" si="336"/>
        <v>21</v>
      </c>
      <c r="BS44" s="432">
        <f t="shared" si="337"/>
        <v>21</v>
      </c>
      <c r="BT44" s="433">
        <f t="shared" si="338"/>
        <v>21</v>
      </c>
      <c r="BU44" s="333">
        <f t="shared" si="339"/>
        <v>21</v>
      </c>
      <c r="BV44" s="432">
        <f t="shared" si="340"/>
        <v>21</v>
      </c>
      <c r="BW44" s="432">
        <f t="shared" si="341"/>
        <v>21</v>
      </c>
      <c r="BX44" s="433">
        <f t="shared" si="342"/>
        <v>21</v>
      </c>
      <c r="BY44" s="333">
        <f t="shared" si="343"/>
        <v>21</v>
      </c>
      <c r="BZ44" s="432">
        <f t="shared" si="344"/>
        <v>21</v>
      </c>
      <c r="CA44" s="432">
        <f t="shared" si="345"/>
        <v>21</v>
      </c>
      <c r="CB44" s="433">
        <f t="shared" si="346"/>
        <v>21</v>
      </c>
      <c r="CC44" s="333">
        <f t="shared" si="347"/>
        <v>21</v>
      </c>
      <c r="CD44" s="432">
        <f t="shared" si="348"/>
        <v>21</v>
      </c>
      <c r="CE44" s="432">
        <f t="shared" si="349"/>
        <v>21</v>
      </c>
      <c r="CF44" s="433">
        <f t="shared" si="350"/>
        <v>21</v>
      </c>
      <c r="CG44" s="333">
        <f t="shared" si="351"/>
        <v>21</v>
      </c>
      <c r="CH44" s="432">
        <f t="shared" si="352"/>
        <v>21</v>
      </c>
      <c r="CI44" s="432">
        <f t="shared" si="353"/>
        <v>21</v>
      </c>
      <c r="CJ44" s="433">
        <f t="shared" si="354"/>
        <v>21</v>
      </c>
      <c r="CK44" s="333">
        <f t="shared" si="355"/>
        <v>21</v>
      </c>
      <c r="CL44" s="432">
        <f t="shared" si="356"/>
        <v>21</v>
      </c>
      <c r="CM44" s="432">
        <f t="shared" si="357"/>
        <v>21</v>
      </c>
      <c r="CN44" s="433">
        <f t="shared" si="358"/>
        <v>21</v>
      </c>
      <c r="CO44" s="333">
        <f t="shared" si="359"/>
        <v>21</v>
      </c>
      <c r="CP44" s="432">
        <f t="shared" si="360"/>
        <v>21</v>
      </c>
      <c r="CQ44" s="432">
        <f t="shared" si="361"/>
        <v>21</v>
      </c>
      <c r="CR44" s="433">
        <f t="shared" si="362"/>
        <v>21</v>
      </c>
      <c r="CS44" s="333">
        <f t="shared" si="363"/>
        <v>21</v>
      </c>
      <c r="CT44" s="432">
        <f t="shared" si="364"/>
        <v>21</v>
      </c>
      <c r="CU44" s="432">
        <f t="shared" si="365"/>
        <v>21</v>
      </c>
      <c r="CV44" s="433">
        <f t="shared" si="366"/>
        <v>21</v>
      </c>
      <c r="CW44" s="333">
        <f t="shared" si="367"/>
        <v>21</v>
      </c>
      <c r="CX44" s="432">
        <f t="shared" si="368"/>
        <v>21</v>
      </c>
      <c r="CY44" s="432">
        <f t="shared" si="369"/>
        <v>21</v>
      </c>
      <c r="CZ44" s="433">
        <f t="shared" si="370"/>
        <v>21</v>
      </c>
      <c r="DA44" s="333">
        <f t="shared" si="371"/>
        <v>21</v>
      </c>
      <c r="DB44" s="432">
        <f t="shared" si="372"/>
        <v>21</v>
      </c>
      <c r="DC44" s="432">
        <f t="shared" si="373"/>
        <v>21</v>
      </c>
      <c r="DD44" s="433">
        <f t="shared" si="374"/>
        <v>21</v>
      </c>
      <c r="DE44" s="333">
        <f t="shared" si="375"/>
        <v>21</v>
      </c>
      <c r="DF44" s="432">
        <f t="shared" si="376"/>
        <v>21</v>
      </c>
      <c r="DG44" s="432">
        <f t="shared" si="377"/>
        <v>21</v>
      </c>
      <c r="DH44" s="433">
        <f t="shared" si="378"/>
        <v>21</v>
      </c>
      <c r="DI44" s="333">
        <f t="shared" si="379"/>
        <v>21</v>
      </c>
      <c r="DJ44" s="432">
        <f t="shared" si="380"/>
        <v>21</v>
      </c>
      <c r="DK44" s="432">
        <f t="shared" si="381"/>
        <v>21</v>
      </c>
      <c r="DL44" s="433">
        <f t="shared" si="382"/>
        <v>21</v>
      </c>
      <c r="DM44" s="333">
        <f t="shared" si="383"/>
        <v>21</v>
      </c>
      <c r="DN44" s="432">
        <f t="shared" si="384"/>
        <v>21</v>
      </c>
      <c r="DO44" s="432">
        <f t="shared" si="385"/>
        <v>21</v>
      </c>
      <c r="DP44" s="433">
        <f t="shared" si="386"/>
        <v>21</v>
      </c>
      <c r="DQ44" s="333">
        <f t="shared" si="387"/>
        <v>21</v>
      </c>
      <c r="DR44" s="432">
        <f t="shared" si="388"/>
        <v>21</v>
      </c>
      <c r="DS44" s="432">
        <f t="shared" si="389"/>
        <v>21</v>
      </c>
      <c r="DT44" s="433">
        <f t="shared" si="390"/>
        <v>21</v>
      </c>
      <c r="DU44" s="333">
        <f t="shared" si="391"/>
        <v>21</v>
      </c>
      <c r="DV44" s="432">
        <f t="shared" si="392"/>
        <v>21</v>
      </c>
      <c r="DW44" s="432">
        <f t="shared" si="393"/>
        <v>21</v>
      </c>
      <c r="DX44" s="433">
        <f t="shared" si="394"/>
        <v>21</v>
      </c>
      <c r="DY44" s="333">
        <f t="shared" si="395"/>
        <v>21</v>
      </c>
      <c r="DZ44" s="432">
        <f t="shared" si="396"/>
        <v>21</v>
      </c>
      <c r="EA44" s="432">
        <f t="shared" si="397"/>
        <v>21</v>
      </c>
      <c r="EB44" s="433">
        <f t="shared" si="398"/>
        <v>21</v>
      </c>
      <c r="EC44" s="333">
        <f t="shared" si="399"/>
        <v>21</v>
      </c>
      <c r="ED44" s="432">
        <f t="shared" si="400"/>
        <v>21</v>
      </c>
      <c r="EE44" s="432">
        <f t="shared" si="401"/>
        <v>21</v>
      </c>
      <c r="EF44" s="433">
        <f t="shared" si="402"/>
        <v>21</v>
      </c>
      <c r="EG44" s="333">
        <f t="shared" si="403"/>
        <v>21</v>
      </c>
      <c r="EH44" s="432">
        <f t="shared" si="404"/>
        <v>21</v>
      </c>
      <c r="EI44" s="432">
        <f t="shared" si="405"/>
        <v>21</v>
      </c>
      <c r="EJ44" s="433">
        <f t="shared" si="406"/>
        <v>21</v>
      </c>
      <c r="EK44" s="333">
        <f t="shared" si="407"/>
        <v>21</v>
      </c>
      <c r="EL44" s="432">
        <f t="shared" si="408"/>
        <v>21</v>
      </c>
      <c r="EM44" s="432">
        <f t="shared" si="409"/>
        <v>21</v>
      </c>
      <c r="EN44" s="433">
        <f t="shared" si="410"/>
        <v>21</v>
      </c>
      <c r="EO44" s="333">
        <f t="shared" si="411"/>
        <v>21</v>
      </c>
      <c r="EP44" s="432">
        <f t="shared" si="412"/>
        <v>21</v>
      </c>
      <c r="EQ44" s="432">
        <f t="shared" si="413"/>
        <v>21</v>
      </c>
      <c r="ER44" s="433">
        <f t="shared" si="414"/>
        <v>21</v>
      </c>
      <c r="ES44" s="333">
        <f t="shared" si="415"/>
        <v>21</v>
      </c>
      <c r="ET44" s="432">
        <f t="shared" si="416"/>
        <v>21</v>
      </c>
      <c r="EU44" s="432">
        <f t="shared" si="417"/>
        <v>21</v>
      </c>
      <c r="EV44" s="433">
        <f t="shared" si="418"/>
        <v>21</v>
      </c>
      <c r="EW44" s="263">
        <f>SUM(I44:DD44)/4</f>
        <v>399</v>
      </c>
      <c r="EX44" s="263"/>
      <c r="EY44" s="263"/>
      <c r="EZ44" s="263"/>
      <c r="FA44" s="263"/>
    </row>
    <row r="45" spans="2:157" s="264" customFormat="1" ht="29.25" customHeight="1">
      <c r="B45" s="257"/>
      <c r="C45" s="23" t="s">
        <v>154</v>
      </c>
      <c r="D45" s="270" t="s">
        <v>149</v>
      </c>
      <c r="E45" s="309">
        <v>15</v>
      </c>
      <c r="F45" s="235"/>
      <c r="G45" s="411"/>
      <c r="H45" s="249"/>
      <c r="I45" s="333"/>
      <c r="J45" s="261"/>
      <c r="K45" s="261"/>
      <c r="L45" s="262"/>
      <c r="M45" s="260"/>
      <c r="N45" s="261"/>
      <c r="O45" s="261"/>
      <c r="P45" s="262"/>
      <c r="Q45" s="260"/>
      <c r="R45" s="261"/>
      <c r="S45" s="261"/>
      <c r="T45" s="262"/>
      <c r="U45" s="333"/>
      <c r="V45" s="432"/>
      <c r="W45" s="432"/>
      <c r="X45" s="433"/>
      <c r="Y45" s="333"/>
      <c r="Z45" s="432"/>
      <c r="AA45" s="432"/>
      <c r="AB45" s="433"/>
      <c r="AC45" s="333"/>
      <c r="AD45" s="432"/>
      <c r="AE45" s="432"/>
      <c r="AF45" s="433"/>
      <c r="AG45" s="333">
        <f t="shared" si="419"/>
        <v>15</v>
      </c>
      <c r="AH45" s="432">
        <f t="shared" si="420"/>
        <v>15</v>
      </c>
      <c r="AI45" s="432">
        <f t="shared" si="421"/>
        <v>15</v>
      </c>
      <c r="AJ45" s="433">
        <f t="shared" si="422"/>
        <v>15</v>
      </c>
      <c r="AK45" s="333">
        <f t="shared" si="423"/>
        <v>15</v>
      </c>
      <c r="AL45" s="432">
        <f t="shared" si="424"/>
        <v>15</v>
      </c>
      <c r="AM45" s="432">
        <f t="shared" si="425"/>
        <v>15</v>
      </c>
      <c r="AN45" s="433">
        <f t="shared" si="426"/>
        <v>15</v>
      </c>
      <c r="AO45" s="333">
        <f t="shared" si="427"/>
        <v>15</v>
      </c>
      <c r="AP45" s="432">
        <f t="shared" si="428"/>
        <v>15</v>
      </c>
      <c r="AQ45" s="432">
        <f t="shared" si="429"/>
        <v>15</v>
      </c>
      <c r="AR45" s="433">
        <f t="shared" si="430"/>
        <v>15</v>
      </c>
      <c r="AS45" s="333">
        <f t="shared" si="431"/>
        <v>15</v>
      </c>
      <c r="AT45" s="432">
        <f t="shared" si="432"/>
        <v>15</v>
      </c>
      <c r="AU45" s="432">
        <f t="shared" si="433"/>
        <v>15</v>
      </c>
      <c r="AV45" s="433">
        <f t="shared" si="434"/>
        <v>15</v>
      </c>
      <c r="AW45" s="333">
        <f t="shared" si="435"/>
        <v>15</v>
      </c>
      <c r="AX45" s="432">
        <f t="shared" si="436"/>
        <v>15</v>
      </c>
      <c r="AY45" s="432">
        <f t="shared" si="437"/>
        <v>15</v>
      </c>
      <c r="AZ45" s="433">
        <f t="shared" si="438"/>
        <v>15</v>
      </c>
      <c r="BA45" s="333">
        <f t="shared" si="439"/>
        <v>15</v>
      </c>
      <c r="BB45" s="432">
        <f t="shared" si="440"/>
        <v>15</v>
      </c>
      <c r="BC45" s="432">
        <f t="shared" si="441"/>
        <v>15</v>
      </c>
      <c r="BD45" s="433">
        <f t="shared" si="442"/>
        <v>15</v>
      </c>
      <c r="BE45" s="333">
        <f t="shared" si="443"/>
        <v>15</v>
      </c>
      <c r="BF45" s="432">
        <f t="shared" si="444"/>
        <v>15</v>
      </c>
      <c r="BG45" s="432">
        <f t="shared" si="445"/>
        <v>15</v>
      </c>
      <c r="BH45" s="433">
        <f t="shared" si="446"/>
        <v>15</v>
      </c>
      <c r="BI45" s="333">
        <f t="shared" si="447"/>
        <v>15</v>
      </c>
      <c r="BJ45" s="432">
        <f t="shared" si="448"/>
        <v>15</v>
      </c>
      <c r="BK45" s="432">
        <f t="shared" si="449"/>
        <v>15</v>
      </c>
      <c r="BL45" s="433">
        <f t="shared" si="450"/>
        <v>15</v>
      </c>
      <c r="BM45" s="333">
        <f t="shared" si="451"/>
        <v>15</v>
      </c>
      <c r="BN45" s="432">
        <f t="shared" si="452"/>
        <v>15</v>
      </c>
      <c r="BO45" s="432">
        <f t="shared" si="453"/>
        <v>15</v>
      </c>
      <c r="BP45" s="433">
        <f t="shared" si="454"/>
        <v>15</v>
      </c>
      <c r="BQ45" s="333">
        <f t="shared" si="335"/>
        <v>15</v>
      </c>
      <c r="BR45" s="432">
        <f t="shared" si="336"/>
        <v>15</v>
      </c>
      <c r="BS45" s="432">
        <f t="shared" si="337"/>
        <v>15</v>
      </c>
      <c r="BT45" s="433">
        <f t="shared" si="338"/>
        <v>15</v>
      </c>
      <c r="BU45" s="333">
        <f t="shared" si="339"/>
        <v>15</v>
      </c>
      <c r="BV45" s="432">
        <f t="shared" si="340"/>
        <v>15</v>
      </c>
      <c r="BW45" s="432">
        <f t="shared" si="341"/>
        <v>15</v>
      </c>
      <c r="BX45" s="433">
        <f t="shared" si="342"/>
        <v>15</v>
      </c>
      <c r="BY45" s="333">
        <f t="shared" si="343"/>
        <v>15</v>
      </c>
      <c r="BZ45" s="432">
        <f t="shared" si="344"/>
        <v>15</v>
      </c>
      <c r="CA45" s="432">
        <f t="shared" si="345"/>
        <v>15</v>
      </c>
      <c r="CB45" s="433">
        <f t="shared" si="346"/>
        <v>15</v>
      </c>
      <c r="CC45" s="333">
        <f t="shared" si="347"/>
        <v>15</v>
      </c>
      <c r="CD45" s="432">
        <f t="shared" si="348"/>
        <v>15</v>
      </c>
      <c r="CE45" s="432">
        <f t="shared" si="349"/>
        <v>15</v>
      </c>
      <c r="CF45" s="433">
        <f t="shared" si="350"/>
        <v>15</v>
      </c>
      <c r="CG45" s="333">
        <f t="shared" si="351"/>
        <v>15</v>
      </c>
      <c r="CH45" s="432">
        <f t="shared" si="352"/>
        <v>15</v>
      </c>
      <c r="CI45" s="432">
        <f t="shared" si="353"/>
        <v>15</v>
      </c>
      <c r="CJ45" s="433">
        <f t="shared" si="354"/>
        <v>15</v>
      </c>
      <c r="CK45" s="333">
        <f t="shared" si="355"/>
        <v>15</v>
      </c>
      <c r="CL45" s="432">
        <f t="shared" si="356"/>
        <v>15</v>
      </c>
      <c r="CM45" s="432">
        <f t="shared" si="357"/>
        <v>15</v>
      </c>
      <c r="CN45" s="433">
        <f t="shared" si="358"/>
        <v>15</v>
      </c>
      <c r="CO45" s="333">
        <f t="shared" si="359"/>
        <v>15</v>
      </c>
      <c r="CP45" s="432">
        <f t="shared" si="360"/>
        <v>15</v>
      </c>
      <c r="CQ45" s="432">
        <f t="shared" si="361"/>
        <v>15</v>
      </c>
      <c r="CR45" s="433">
        <f t="shared" si="362"/>
        <v>15</v>
      </c>
      <c r="CS45" s="333">
        <f t="shared" si="363"/>
        <v>15</v>
      </c>
      <c r="CT45" s="432">
        <f t="shared" si="364"/>
        <v>15</v>
      </c>
      <c r="CU45" s="432">
        <f t="shared" si="365"/>
        <v>15</v>
      </c>
      <c r="CV45" s="433">
        <f t="shared" si="366"/>
        <v>15</v>
      </c>
      <c r="CW45" s="333">
        <f t="shared" si="367"/>
        <v>15</v>
      </c>
      <c r="CX45" s="432">
        <f t="shared" si="368"/>
        <v>15</v>
      </c>
      <c r="CY45" s="432">
        <f t="shared" si="369"/>
        <v>15</v>
      </c>
      <c r="CZ45" s="433">
        <f t="shared" si="370"/>
        <v>15</v>
      </c>
      <c r="DA45" s="333">
        <f t="shared" si="371"/>
        <v>15</v>
      </c>
      <c r="DB45" s="432">
        <f t="shared" si="372"/>
        <v>15</v>
      </c>
      <c r="DC45" s="432">
        <f t="shared" si="373"/>
        <v>15</v>
      </c>
      <c r="DD45" s="433">
        <f t="shared" si="374"/>
        <v>15</v>
      </c>
      <c r="DE45" s="333">
        <f t="shared" si="375"/>
        <v>15</v>
      </c>
      <c r="DF45" s="432">
        <f t="shared" si="376"/>
        <v>15</v>
      </c>
      <c r="DG45" s="432">
        <f t="shared" si="377"/>
        <v>15</v>
      </c>
      <c r="DH45" s="433">
        <f t="shared" si="378"/>
        <v>15</v>
      </c>
      <c r="DI45" s="333">
        <f t="shared" si="379"/>
        <v>15</v>
      </c>
      <c r="DJ45" s="432">
        <f t="shared" si="380"/>
        <v>15</v>
      </c>
      <c r="DK45" s="432">
        <f t="shared" si="381"/>
        <v>15</v>
      </c>
      <c r="DL45" s="433">
        <f t="shared" si="382"/>
        <v>15</v>
      </c>
      <c r="DM45" s="333">
        <f t="shared" si="383"/>
        <v>15</v>
      </c>
      <c r="DN45" s="432">
        <f t="shared" si="384"/>
        <v>15</v>
      </c>
      <c r="DO45" s="432">
        <f t="shared" si="385"/>
        <v>15</v>
      </c>
      <c r="DP45" s="433">
        <f t="shared" si="386"/>
        <v>15</v>
      </c>
      <c r="DQ45" s="333">
        <f t="shared" si="387"/>
        <v>15</v>
      </c>
      <c r="DR45" s="432">
        <f t="shared" si="388"/>
        <v>15</v>
      </c>
      <c r="DS45" s="432">
        <f t="shared" si="389"/>
        <v>15</v>
      </c>
      <c r="DT45" s="433">
        <f t="shared" si="390"/>
        <v>15</v>
      </c>
      <c r="DU45" s="333">
        <f t="shared" si="391"/>
        <v>15</v>
      </c>
      <c r="DV45" s="432">
        <f t="shared" si="392"/>
        <v>15</v>
      </c>
      <c r="DW45" s="432">
        <f t="shared" si="393"/>
        <v>15</v>
      </c>
      <c r="DX45" s="433">
        <f t="shared" si="394"/>
        <v>15</v>
      </c>
      <c r="DY45" s="333">
        <f t="shared" si="395"/>
        <v>15</v>
      </c>
      <c r="DZ45" s="432">
        <f t="shared" si="396"/>
        <v>15</v>
      </c>
      <c r="EA45" s="432">
        <f t="shared" si="397"/>
        <v>15</v>
      </c>
      <c r="EB45" s="433">
        <f t="shared" si="398"/>
        <v>15</v>
      </c>
      <c r="EC45" s="333">
        <f t="shared" si="399"/>
        <v>15</v>
      </c>
      <c r="ED45" s="432">
        <f t="shared" si="400"/>
        <v>15</v>
      </c>
      <c r="EE45" s="432">
        <f t="shared" si="401"/>
        <v>15</v>
      </c>
      <c r="EF45" s="433">
        <f t="shared" si="402"/>
        <v>15</v>
      </c>
      <c r="EG45" s="333">
        <f t="shared" si="403"/>
        <v>15</v>
      </c>
      <c r="EH45" s="432">
        <f t="shared" si="404"/>
        <v>15</v>
      </c>
      <c r="EI45" s="432">
        <f t="shared" si="405"/>
        <v>15</v>
      </c>
      <c r="EJ45" s="433">
        <f t="shared" si="406"/>
        <v>15</v>
      </c>
      <c r="EK45" s="333">
        <f t="shared" si="407"/>
        <v>15</v>
      </c>
      <c r="EL45" s="432">
        <f t="shared" si="408"/>
        <v>15</v>
      </c>
      <c r="EM45" s="432">
        <f t="shared" si="409"/>
        <v>15</v>
      </c>
      <c r="EN45" s="433">
        <f t="shared" si="410"/>
        <v>15</v>
      </c>
      <c r="EO45" s="333">
        <f t="shared" si="411"/>
        <v>15</v>
      </c>
      <c r="EP45" s="432">
        <f t="shared" si="412"/>
        <v>15</v>
      </c>
      <c r="EQ45" s="432">
        <f t="shared" si="413"/>
        <v>15</v>
      </c>
      <c r="ER45" s="433">
        <f t="shared" si="414"/>
        <v>15</v>
      </c>
      <c r="ES45" s="333">
        <f t="shared" si="415"/>
        <v>15</v>
      </c>
      <c r="ET45" s="432">
        <f t="shared" si="416"/>
        <v>15</v>
      </c>
      <c r="EU45" s="432">
        <f t="shared" si="417"/>
        <v>15</v>
      </c>
      <c r="EV45" s="433">
        <f t="shared" si="418"/>
        <v>15</v>
      </c>
      <c r="EW45" s="263">
        <f>SUM(I45:DD45)/4</f>
        <v>285</v>
      </c>
      <c r="EX45" s="263"/>
      <c r="EY45" s="263"/>
      <c r="EZ45" s="263"/>
      <c r="FA45" s="263"/>
    </row>
    <row r="46" spans="2:157" s="264" customFormat="1" ht="29.25" customHeight="1">
      <c r="B46" s="257"/>
      <c r="C46" s="23" t="s">
        <v>155</v>
      </c>
      <c r="D46" s="270" t="s">
        <v>149</v>
      </c>
      <c r="E46" s="271">
        <v>10</v>
      </c>
      <c r="F46" s="252"/>
      <c r="G46" s="412"/>
      <c r="H46" s="254"/>
      <c r="I46" s="333"/>
      <c r="J46" s="261"/>
      <c r="K46" s="261"/>
      <c r="L46" s="262"/>
      <c r="M46" s="260"/>
      <c r="N46" s="261"/>
      <c r="O46" s="261"/>
      <c r="P46" s="262"/>
      <c r="Q46" s="260"/>
      <c r="R46" s="261"/>
      <c r="S46" s="261"/>
      <c r="T46" s="262"/>
      <c r="U46" s="333"/>
      <c r="V46" s="432"/>
      <c r="W46" s="432"/>
      <c r="X46" s="433"/>
      <c r="Y46" s="333"/>
      <c r="Z46" s="432"/>
      <c r="AA46" s="432"/>
      <c r="AB46" s="433"/>
      <c r="AC46" s="333"/>
      <c r="AD46" s="432"/>
      <c r="AE46" s="432"/>
      <c r="AF46" s="433"/>
      <c r="AG46" s="333">
        <f t="shared" si="419"/>
        <v>10</v>
      </c>
      <c r="AH46" s="432">
        <f t="shared" si="420"/>
        <v>10</v>
      </c>
      <c r="AI46" s="432">
        <f t="shared" si="421"/>
        <v>10</v>
      </c>
      <c r="AJ46" s="433">
        <f t="shared" si="422"/>
        <v>10</v>
      </c>
      <c r="AK46" s="333">
        <f t="shared" si="423"/>
        <v>10</v>
      </c>
      <c r="AL46" s="432">
        <f t="shared" si="424"/>
        <v>10</v>
      </c>
      <c r="AM46" s="432">
        <f t="shared" si="425"/>
        <v>10</v>
      </c>
      <c r="AN46" s="433">
        <f t="shared" si="426"/>
        <v>10</v>
      </c>
      <c r="AO46" s="333">
        <f t="shared" si="427"/>
        <v>10</v>
      </c>
      <c r="AP46" s="432">
        <f t="shared" si="428"/>
        <v>10</v>
      </c>
      <c r="AQ46" s="432">
        <f t="shared" si="429"/>
        <v>10</v>
      </c>
      <c r="AR46" s="433">
        <f t="shared" si="430"/>
        <v>10</v>
      </c>
      <c r="AS46" s="333">
        <f t="shared" si="431"/>
        <v>10</v>
      </c>
      <c r="AT46" s="432">
        <f t="shared" si="432"/>
        <v>10</v>
      </c>
      <c r="AU46" s="432">
        <f t="shared" si="433"/>
        <v>10</v>
      </c>
      <c r="AV46" s="433">
        <f t="shared" si="434"/>
        <v>10</v>
      </c>
      <c r="AW46" s="333">
        <f t="shared" si="435"/>
        <v>10</v>
      </c>
      <c r="AX46" s="432">
        <f t="shared" si="436"/>
        <v>10</v>
      </c>
      <c r="AY46" s="432">
        <f t="shared" si="437"/>
        <v>10</v>
      </c>
      <c r="AZ46" s="433">
        <f t="shared" si="438"/>
        <v>10</v>
      </c>
      <c r="BA46" s="333">
        <f t="shared" si="439"/>
        <v>10</v>
      </c>
      <c r="BB46" s="432">
        <f t="shared" si="440"/>
        <v>10</v>
      </c>
      <c r="BC46" s="432">
        <f t="shared" si="441"/>
        <v>10</v>
      </c>
      <c r="BD46" s="433">
        <f t="shared" si="442"/>
        <v>10</v>
      </c>
      <c r="BE46" s="333">
        <f t="shared" si="443"/>
        <v>10</v>
      </c>
      <c r="BF46" s="432">
        <f t="shared" si="444"/>
        <v>10</v>
      </c>
      <c r="BG46" s="432">
        <f t="shared" si="445"/>
        <v>10</v>
      </c>
      <c r="BH46" s="433">
        <f t="shared" si="446"/>
        <v>10</v>
      </c>
      <c r="BI46" s="333">
        <f t="shared" si="447"/>
        <v>10</v>
      </c>
      <c r="BJ46" s="432">
        <f t="shared" si="448"/>
        <v>10</v>
      </c>
      <c r="BK46" s="432">
        <f t="shared" si="449"/>
        <v>10</v>
      </c>
      <c r="BL46" s="433">
        <f t="shared" si="450"/>
        <v>10</v>
      </c>
      <c r="BM46" s="333">
        <f t="shared" si="451"/>
        <v>10</v>
      </c>
      <c r="BN46" s="432">
        <f t="shared" si="452"/>
        <v>10</v>
      </c>
      <c r="BO46" s="432">
        <f t="shared" si="453"/>
        <v>10</v>
      </c>
      <c r="BP46" s="433">
        <f t="shared" si="454"/>
        <v>10</v>
      </c>
      <c r="BQ46" s="333">
        <f t="shared" si="335"/>
        <v>10</v>
      </c>
      <c r="BR46" s="432">
        <f t="shared" si="336"/>
        <v>10</v>
      </c>
      <c r="BS46" s="432">
        <f t="shared" si="337"/>
        <v>10</v>
      </c>
      <c r="BT46" s="433">
        <f t="shared" si="338"/>
        <v>10</v>
      </c>
      <c r="BU46" s="333">
        <f t="shared" si="339"/>
        <v>10</v>
      </c>
      <c r="BV46" s="432">
        <f t="shared" si="340"/>
        <v>10</v>
      </c>
      <c r="BW46" s="432">
        <f t="shared" si="341"/>
        <v>10</v>
      </c>
      <c r="BX46" s="433">
        <f t="shared" si="342"/>
        <v>10</v>
      </c>
      <c r="BY46" s="333">
        <f t="shared" si="343"/>
        <v>10</v>
      </c>
      <c r="BZ46" s="432">
        <f t="shared" si="344"/>
        <v>10</v>
      </c>
      <c r="CA46" s="432">
        <f t="shared" si="345"/>
        <v>10</v>
      </c>
      <c r="CB46" s="433">
        <f t="shared" si="346"/>
        <v>10</v>
      </c>
      <c r="CC46" s="333">
        <f t="shared" si="347"/>
        <v>10</v>
      </c>
      <c r="CD46" s="432">
        <f t="shared" si="348"/>
        <v>10</v>
      </c>
      <c r="CE46" s="432">
        <f t="shared" si="349"/>
        <v>10</v>
      </c>
      <c r="CF46" s="433">
        <f t="shared" si="350"/>
        <v>10</v>
      </c>
      <c r="CG46" s="333">
        <f t="shared" si="351"/>
        <v>10</v>
      </c>
      <c r="CH46" s="432">
        <f t="shared" si="352"/>
        <v>10</v>
      </c>
      <c r="CI46" s="432">
        <f t="shared" si="353"/>
        <v>10</v>
      </c>
      <c r="CJ46" s="433">
        <f t="shared" si="354"/>
        <v>10</v>
      </c>
      <c r="CK46" s="333">
        <f t="shared" si="355"/>
        <v>10</v>
      </c>
      <c r="CL46" s="432">
        <f t="shared" si="356"/>
        <v>10</v>
      </c>
      <c r="CM46" s="432">
        <f t="shared" si="357"/>
        <v>10</v>
      </c>
      <c r="CN46" s="433">
        <f t="shared" si="358"/>
        <v>10</v>
      </c>
      <c r="CO46" s="333">
        <f t="shared" si="359"/>
        <v>10</v>
      </c>
      <c r="CP46" s="432">
        <f t="shared" si="360"/>
        <v>10</v>
      </c>
      <c r="CQ46" s="432">
        <f t="shared" si="361"/>
        <v>10</v>
      </c>
      <c r="CR46" s="433">
        <f t="shared" si="362"/>
        <v>10</v>
      </c>
      <c r="CS46" s="333">
        <f t="shared" si="363"/>
        <v>10</v>
      </c>
      <c r="CT46" s="432">
        <f t="shared" si="364"/>
        <v>10</v>
      </c>
      <c r="CU46" s="432">
        <f t="shared" si="365"/>
        <v>10</v>
      </c>
      <c r="CV46" s="433">
        <f t="shared" si="366"/>
        <v>10</v>
      </c>
      <c r="CW46" s="333">
        <f t="shared" si="367"/>
        <v>10</v>
      </c>
      <c r="CX46" s="432">
        <f t="shared" si="368"/>
        <v>10</v>
      </c>
      <c r="CY46" s="432">
        <f t="shared" si="369"/>
        <v>10</v>
      </c>
      <c r="CZ46" s="433">
        <f t="shared" si="370"/>
        <v>10</v>
      </c>
      <c r="DA46" s="333">
        <f t="shared" si="371"/>
        <v>10</v>
      </c>
      <c r="DB46" s="432">
        <f t="shared" si="372"/>
        <v>10</v>
      </c>
      <c r="DC46" s="432">
        <f t="shared" si="373"/>
        <v>10</v>
      </c>
      <c r="DD46" s="433">
        <f t="shared" si="374"/>
        <v>10</v>
      </c>
      <c r="DE46" s="333">
        <f t="shared" si="375"/>
        <v>10</v>
      </c>
      <c r="DF46" s="432">
        <f t="shared" si="376"/>
        <v>10</v>
      </c>
      <c r="DG46" s="432">
        <f t="shared" si="377"/>
        <v>10</v>
      </c>
      <c r="DH46" s="433">
        <f t="shared" si="378"/>
        <v>10</v>
      </c>
      <c r="DI46" s="333">
        <f t="shared" si="379"/>
        <v>10</v>
      </c>
      <c r="DJ46" s="432">
        <f t="shared" si="380"/>
        <v>10</v>
      </c>
      <c r="DK46" s="432">
        <f t="shared" si="381"/>
        <v>10</v>
      </c>
      <c r="DL46" s="433">
        <f t="shared" si="382"/>
        <v>10</v>
      </c>
      <c r="DM46" s="333">
        <f t="shared" si="383"/>
        <v>10</v>
      </c>
      <c r="DN46" s="432">
        <f t="shared" si="384"/>
        <v>10</v>
      </c>
      <c r="DO46" s="432">
        <f t="shared" si="385"/>
        <v>10</v>
      </c>
      <c r="DP46" s="433">
        <f t="shared" si="386"/>
        <v>10</v>
      </c>
      <c r="DQ46" s="333">
        <f t="shared" si="387"/>
        <v>10</v>
      </c>
      <c r="DR46" s="432">
        <f t="shared" si="388"/>
        <v>10</v>
      </c>
      <c r="DS46" s="432">
        <f t="shared" si="389"/>
        <v>10</v>
      </c>
      <c r="DT46" s="433">
        <f t="shared" si="390"/>
        <v>10</v>
      </c>
      <c r="DU46" s="333">
        <f t="shared" si="391"/>
        <v>10</v>
      </c>
      <c r="DV46" s="432">
        <f t="shared" si="392"/>
        <v>10</v>
      </c>
      <c r="DW46" s="432">
        <f t="shared" si="393"/>
        <v>10</v>
      </c>
      <c r="DX46" s="433">
        <f t="shared" si="394"/>
        <v>10</v>
      </c>
      <c r="DY46" s="333">
        <f t="shared" si="395"/>
        <v>10</v>
      </c>
      <c r="DZ46" s="432">
        <f t="shared" si="396"/>
        <v>10</v>
      </c>
      <c r="EA46" s="432">
        <f t="shared" si="397"/>
        <v>10</v>
      </c>
      <c r="EB46" s="433">
        <f t="shared" si="398"/>
        <v>10</v>
      </c>
      <c r="EC46" s="333">
        <f t="shared" si="399"/>
        <v>10</v>
      </c>
      <c r="ED46" s="432">
        <f t="shared" si="400"/>
        <v>10</v>
      </c>
      <c r="EE46" s="432">
        <f t="shared" si="401"/>
        <v>10</v>
      </c>
      <c r="EF46" s="433">
        <f t="shared" si="402"/>
        <v>10</v>
      </c>
      <c r="EG46" s="333">
        <f t="shared" si="403"/>
        <v>10</v>
      </c>
      <c r="EH46" s="432">
        <f t="shared" si="404"/>
        <v>10</v>
      </c>
      <c r="EI46" s="432">
        <f t="shared" si="405"/>
        <v>10</v>
      </c>
      <c r="EJ46" s="433">
        <f t="shared" si="406"/>
        <v>10</v>
      </c>
      <c r="EK46" s="333">
        <f t="shared" si="407"/>
        <v>10</v>
      </c>
      <c r="EL46" s="432">
        <f t="shared" si="408"/>
        <v>10</v>
      </c>
      <c r="EM46" s="432">
        <f t="shared" si="409"/>
        <v>10</v>
      </c>
      <c r="EN46" s="433">
        <f t="shared" si="410"/>
        <v>10</v>
      </c>
      <c r="EO46" s="333">
        <f t="shared" si="411"/>
        <v>10</v>
      </c>
      <c r="EP46" s="432">
        <f t="shared" si="412"/>
        <v>10</v>
      </c>
      <c r="EQ46" s="432">
        <f t="shared" si="413"/>
        <v>10</v>
      </c>
      <c r="ER46" s="433">
        <f t="shared" si="414"/>
        <v>10</v>
      </c>
      <c r="ES46" s="333">
        <f t="shared" si="415"/>
        <v>10</v>
      </c>
      <c r="ET46" s="432">
        <f t="shared" si="416"/>
        <v>10</v>
      </c>
      <c r="EU46" s="432">
        <f t="shared" si="417"/>
        <v>10</v>
      </c>
      <c r="EV46" s="433">
        <f t="shared" si="418"/>
        <v>10</v>
      </c>
      <c r="EW46" s="263">
        <f>SUM(I46:DD46)/4</f>
        <v>190</v>
      </c>
      <c r="EX46" s="263"/>
      <c r="EY46" s="263"/>
      <c r="EZ46" s="263"/>
      <c r="FA46" s="263"/>
    </row>
    <row r="47" spans="2:157" s="264" customFormat="1" ht="29.25" customHeight="1">
      <c r="B47" s="257"/>
      <c r="C47" s="23" t="s">
        <v>170</v>
      </c>
      <c r="D47" s="270" t="s">
        <v>149</v>
      </c>
      <c r="E47" s="271">
        <v>15</v>
      </c>
      <c r="F47" s="252"/>
      <c r="G47" s="412"/>
      <c r="H47" s="254"/>
      <c r="I47" s="333"/>
      <c r="J47" s="261"/>
      <c r="K47" s="261"/>
      <c r="L47" s="262"/>
      <c r="M47" s="260"/>
      <c r="N47" s="261"/>
      <c r="O47" s="261"/>
      <c r="P47" s="262"/>
      <c r="Q47" s="260"/>
      <c r="R47" s="261"/>
      <c r="S47" s="261"/>
      <c r="T47" s="262"/>
      <c r="U47" s="333"/>
      <c r="V47" s="432"/>
      <c r="W47" s="432"/>
      <c r="X47" s="433"/>
      <c r="Y47" s="333"/>
      <c r="Z47" s="432"/>
      <c r="AA47" s="432"/>
      <c r="AB47" s="433"/>
      <c r="AC47" s="333"/>
      <c r="AD47" s="432"/>
      <c r="AE47" s="432"/>
      <c r="AF47" s="433"/>
      <c r="AG47" s="333">
        <f t="shared" si="419"/>
        <v>15</v>
      </c>
      <c r="AH47" s="432">
        <f t="shared" si="420"/>
        <v>15</v>
      </c>
      <c r="AI47" s="432">
        <f t="shared" si="421"/>
        <v>15</v>
      </c>
      <c r="AJ47" s="433">
        <f t="shared" si="422"/>
        <v>15</v>
      </c>
      <c r="AK47" s="333">
        <f t="shared" si="423"/>
        <v>15</v>
      </c>
      <c r="AL47" s="432">
        <f t="shared" si="424"/>
        <v>15</v>
      </c>
      <c r="AM47" s="432">
        <f t="shared" si="425"/>
        <v>15</v>
      </c>
      <c r="AN47" s="433">
        <f t="shared" si="426"/>
        <v>15</v>
      </c>
      <c r="AO47" s="333">
        <f t="shared" si="427"/>
        <v>15</v>
      </c>
      <c r="AP47" s="432">
        <f t="shared" si="428"/>
        <v>15</v>
      </c>
      <c r="AQ47" s="432">
        <f t="shared" si="429"/>
        <v>15</v>
      </c>
      <c r="AR47" s="433">
        <f t="shared" si="430"/>
        <v>15</v>
      </c>
      <c r="AS47" s="333">
        <f t="shared" si="431"/>
        <v>15</v>
      </c>
      <c r="AT47" s="432">
        <f t="shared" si="432"/>
        <v>15</v>
      </c>
      <c r="AU47" s="432">
        <f t="shared" si="433"/>
        <v>15</v>
      </c>
      <c r="AV47" s="433">
        <f t="shared" si="434"/>
        <v>15</v>
      </c>
      <c r="AW47" s="333">
        <f t="shared" si="435"/>
        <v>15</v>
      </c>
      <c r="AX47" s="432">
        <f t="shared" si="436"/>
        <v>15</v>
      </c>
      <c r="AY47" s="432">
        <f t="shared" si="437"/>
        <v>15</v>
      </c>
      <c r="AZ47" s="433">
        <f t="shared" si="438"/>
        <v>15</v>
      </c>
      <c r="BA47" s="333">
        <f t="shared" si="439"/>
        <v>15</v>
      </c>
      <c r="BB47" s="432">
        <f t="shared" si="440"/>
        <v>15</v>
      </c>
      <c r="BC47" s="432">
        <f t="shared" si="441"/>
        <v>15</v>
      </c>
      <c r="BD47" s="433">
        <f t="shared" si="442"/>
        <v>15</v>
      </c>
      <c r="BE47" s="333">
        <f t="shared" si="443"/>
        <v>15</v>
      </c>
      <c r="BF47" s="432">
        <f t="shared" si="444"/>
        <v>15</v>
      </c>
      <c r="BG47" s="432">
        <f t="shared" si="445"/>
        <v>15</v>
      </c>
      <c r="BH47" s="433">
        <f t="shared" si="446"/>
        <v>15</v>
      </c>
      <c r="BI47" s="333">
        <f t="shared" si="447"/>
        <v>15</v>
      </c>
      <c r="BJ47" s="432">
        <f t="shared" si="448"/>
        <v>15</v>
      </c>
      <c r="BK47" s="432">
        <f t="shared" si="449"/>
        <v>15</v>
      </c>
      <c r="BL47" s="433">
        <f t="shared" si="450"/>
        <v>15</v>
      </c>
      <c r="BM47" s="333">
        <f t="shared" si="451"/>
        <v>15</v>
      </c>
      <c r="BN47" s="432">
        <f t="shared" si="452"/>
        <v>15</v>
      </c>
      <c r="BO47" s="432">
        <f t="shared" si="453"/>
        <v>15</v>
      </c>
      <c r="BP47" s="433">
        <f t="shared" si="454"/>
        <v>15</v>
      </c>
      <c r="BQ47" s="333">
        <f t="shared" si="335"/>
        <v>15</v>
      </c>
      <c r="BR47" s="432">
        <f t="shared" si="336"/>
        <v>15</v>
      </c>
      <c r="BS47" s="432">
        <f t="shared" si="337"/>
        <v>15</v>
      </c>
      <c r="BT47" s="433">
        <f t="shared" si="338"/>
        <v>15</v>
      </c>
      <c r="BU47" s="333">
        <f t="shared" si="339"/>
        <v>15</v>
      </c>
      <c r="BV47" s="432">
        <f t="shared" si="340"/>
        <v>15</v>
      </c>
      <c r="BW47" s="432">
        <f t="shared" si="341"/>
        <v>15</v>
      </c>
      <c r="BX47" s="433">
        <f t="shared" si="342"/>
        <v>15</v>
      </c>
      <c r="BY47" s="333">
        <f t="shared" si="343"/>
        <v>15</v>
      </c>
      <c r="BZ47" s="432">
        <f t="shared" si="344"/>
        <v>15</v>
      </c>
      <c r="CA47" s="432">
        <f t="shared" si="345"/>
        <v>15</v>
      </c>
      <c r="CB47" s="433">
        <f t="shared" si="346"/>
        <v>15</v>
      </c>
      <c r="CC47" s="333">
        <f t="shared" si="347"/>
        <v>15</v>
      </c>
      <c r="CD47" s="432">
        <f t="shared" si="348"/>
        <v>15</v>
      </c>
      <c r="CE47" s="432">
        <f t="shared" si="349"/>
        <v>15</v>
      </c>
      <c r="CF47" s="433">
        <f t="shared" si="350"/>
        <v>15</v>
      </c>
      <c r="CG47" s="333">
        <f t="shared" si="351"/>
        <v>15</v>
      </c>
      <c r="CH47" s="432">
        <f t="shared" si="352"/>
        <v>15</v>
      </c>
      <c r="CI47" s="432">
        <f t="shared" si="353"/>
        <v>15</v>
      </c>
      <c r="CJ47" s="433">
        <f t="shared" si="354"/>
        <v>15</v>
      </c>
      <c r="CK47" s="333">
        <f t="shared" si="355"/>
        <v>15</v>
      </c>
      <c r="CL47" s="432">
        <f t="shared" si="356"/>
        <v>15</v>
      </c>
      <c r="CM47" s="432">
        <f t="shared" si="357"/>
        <v>15</v>
      </c>
      <c r="CN47" s="433">
        <f t="shared" si="358"/>
        <v>15</v>
      </c>
      <c r="CO47" s="333">
        <f t="shared" si="359"/>
        <v>15</v>
      </c>
      <c r="CP47" s="432">
        <f t="shared" si="360"/>
        <v>15</v>
      </c>
      <c r="CQ47" s="432">
        <f t="shared" si="361"/>
        <v>15</v>
      </c>
      <c r="CR47" s="433">
        <f t="shared" si="362"/>
        <v>15</v>
      </c>
      <c r="CS47" s="333">
        <f t="shared" si="363"/>
        <v>15</v>
      </c>
      <c r="CT47" s="432">
        <f t="shared" si="364"/>
        <v>15</v>
      </c>
      <c r="CU47" s="432">
        <f t="shared" si="365"/>
        <v>15</v>
      </c>
      <c r="CV47" s="433">
        <f t="shared" si="366"/>
        <v>15</v>
      </c>
      <c r="CW47" s="333">
        <f t="shared" si="367"/>
        <v>15</v>
      </c>
      <c r="CX47" s="432">
        <f t="shared" si="368"/>
        <v>15</v>
      </c>
      <c r="CY47" s="432">
        <f t="shared" si="369"/>
        <v>15</v>
      </c>
      <c r="CZ47" s="433">
        <f t="shared" si="370"/>
        <v>15</v>
      </c>
      <c r="DA47" s="333">
        <f t="shared" si="371"/>
        <v>15</v>
      </c>
      <c r="DB47" s="432">
        <f t="shared" si="372"/>
        <v>15</v>
      </c>
      <c r="DC47" s="432">
        <f t="shared" si="373"/>
        <v>15</v>
      </c>
      <c r="DD47" s="433">
        <f t="shared" si="374"/>
        <v>15</v>
      </c>
      <c r="DE47" s="333">
        <f t="shared" si="375"/>
        <v>15</v>
      </c>
      <c r="DF47" s="432">
        <f t="shared" si="376"/>
        <v>15</v>
      </c>
      <c r="DG47" s="432">
        <f t="shared" si="377"/>
        <v>15</v>
      </c>
      <c r="DH47" s="433">
        <f t="shared" si="378"/>
        <v>15</v>
      </c>
      <c r="DI47" s="333">
        <f t="shared" si="379"/>
        <v>15</v>
      </c>
      <c r="DJ47" s="432">
        <f t="shared" si="380"/>
        <v>15</v>
      </c>
      <c r="DK47" s="432">
        <f t="shared" si="381"/>
        <v>15</v>
      </c>
      <c r="DL47" s="433">
        <f t="shared" si="382"/>
        <v>15</v>
      </c>
      <c r="DM47" s="333">
        <f t="shared" si="383"/>
        <v>15</v>
      </c>
      <c r="DN47" s="432">
        <f t="shared" si="384"/>
        <v>15</v>
      </c>
      <c r="DO47" s="432">
        <f t="shared" si="385"/>
        <v>15</v>
      </c>
      <c r="DP47" s="433">
        <f t="shared" si="386"/>
        <v>15</v>
      </c>
      <c r="DQ47" s="333">
        <f t="shared" si="387"/>
        <v>15</v>
      </c>
      <c r="DR47" s="432">
        <f t="shared" si="388"/>
        <v>15</v>
      </c>
      <c r="DS47" s="432">
        <f t="shared" si="389"/>
        <v>15</v>
      </c>
      <c r="DT47" s="433">
        <f t="shared" si="390"/>
        <v>15</v>
      </c>
      <c r="DU47" s="333">
        <f t="shared" si="391"/>
        <v>15</v>
      </c>
      <c r="DV47" s="432">
        <f t="shared" si="392"/>
        <v>15</v>
      </c>
      <c r="DW47" s="432">
        <f t="shared" si="393"/>
        <v>15</v>
      </c>
      <c r="DX47" s="433">
        <f t="shared" si="394"/>
        <v>15</v>
      </c>
      <c r="DY47" s="333">
        <f t="shared" si="395"/>
        <v>15</v>
      </c>
      <c r="DZ47" s="432">
        <f t="shared" si="396"/>
        <v>15</v>
      </c>
      <c r="EA47" s="432">
        <f t="shared" si="397"/>
        <v>15</v>
      </c>
      <c r="EB47" s="433">
        <f t="shared" si="398"/>
        <v>15</v>
      </c>
      <c r="EC47" s="333">
        <f t="shared" si="399"/>
        <v>15</v>
      </c>
      <c r="ED47" s="432">
        <f t="shared" si="400"/>
        <v>15</v>
      </c>
      <c r="EE47" s="432">
        <f t="shared" si="401"/>
        <v>15</v>
      </c>
      <c r="EF47" s="433">
        <f t="shared" si="402"/>
        <v>15</v>
      </c>
      <c r="EG47" s="333">
        <f t="shared" si="403"/>
        <v>15</v>
      </c>
      <c r="EH47" s="432">
        <f t="shared" si="404"/>
        <v>15</v>
      </c>
      <c r="EI47" s="432">
        <f t="shared" si="405"/>
        <v>15</v>
      </c>
      <c r="EJ47" s="433">
        <f t="shared" si="406"/>
        <v>15</v>
      </c>
      <c r="EK47" s="333">
        <f t="shared" si="407"/>
        <v>15</v>
      </c>
      <c r="EL47" s="432">
        <f t="shared" si="408"/>
        <v>15</v>
      </c>
      <c r="EM47" s="432">
        <f t="shared" si="409"/>
        <v>15</v>
      </c>
      <c r="EN47" s="433">
        <f t="shared" si="410"/>
        <v>15</v>
      </c>
      <c r="EO47" s="333">
        <f t="shared" si="411"/>
        <v>15</v>
      </c>
      <c r="EP47" s="432">
        <f t="shared" si="412"/>
        <v>15</v>
      </c>
      <c r="EQ47" s="432">
        <f t="shared" si="413"/>
        <v>15</v>
      </c>
      <c r="ER47" s="433">
        <f t="shared" si="414"/>
        <v>15</v>
      </c>
      <c r="ES47" s="333">
        <f t="shared" si="415"/>
        <v>15</v>
      </c>
      <c r="ET47" s="432">
        <f t="shared" si="416"/>
        <v>15</v>
      </c>
      <c r="EU47" s="432">
        <f t="shared" si="417"/>
        <v>15</v>
      </c>
      <c r="EV47" s="433">
        <f t="shared" si="418"/>
        <v>15</v>
      </c>
      <c r="EW47" s="263">
        <f>SUM(I47:DD47)/4</f>
        <v>285</v>
      </c>
      <c r="EX47" s="263"/>
      <c r="EY47" s="263"/>
      <c r="EZ47" s="263"/>
      <c r="FA47" s="263"/>
    </row>
    <row r="48" spans="2:157" s="264" customFormat="1" ht="29.25" customHeight="1">
      <c r="B48" s="257"/>
      <c r="C48" s="23" t="s">
        <v>221</v>
      </c>
      <c r="D48" s="270" t="s">
        <v>149</v>
      </c>
      <c r="E48" s="271">
        <v>30</v>
      </c>
      <c r="F48" s="258"/>
      <c r="G48" s="415"/>
      <c r="H48" s="259"/>
      <c r="I48" s="333"/>
      <c r="J48" s="261"/>
      <c r="K48" s="261"/>
      <c r="L48" s="262"/>
      <c r="M48" s="260"/>
      <c r="N48" s="261"/>
      <c r="O48" s="261"/>
      <c r="P48" s="262"/>
      <c r="Q48" s="260"/>
      <c r="R48" s="261"/>
      <c r="S48" s="261"/>
      <c r="T48" s="262"/>
      <c r="U48" s="333"/>
      <c r="V48" s="432"/>
      <c r="W48" s="432"/>
      <c r="X48" s="433"/>
      <c r="Y48" s="333"/>
      <c r="Z48" s="432"/>
      <c r="AA48" s="432"/>
      <c r="AB48" s="433"/>
      <c r="AC48" s="333"/>
      <c r="AD48" s="432"/>
      <c r="AE48" s="432"/>
      <c r="AF48" s="433"/>
      <c r="AG48" s="333">
        <f t="shared" si="419"/>
        <v>30</v>
      </c>
      <c r="AH48" s="432">
        <f t="shared" si="420"/>
        <v>30</v>
      </c>
      <c r="AI48" s="432">
        <f t="shared" si="421"/>
        <v>30</v>
      </c>
      <c r="AJ48" s="433">
        <f t="shared" si="422"/>
        <v>30</v>
      </c>
      <c r="AK48" s="333">
        <f t="shared" si="423"/>
        <v>30</v>
      </c>
      <c r="AL48" s="432">
        <f t="shared" si="424"/>
        <v>30</v>
      </c>
      <c r="AM48" s="432">
        <f t="shared" si="425"/>
        <v>30</v>
      </c>
      <c r="AN48" s="433">
        <f t="shared" si="426"/>
        <v>30</v>
      </c>
      <c r="AO48" s="333">
        <f t="shared" si="427"/>
        <v>30</v>
      </c>
      <c r="AP48" s="432">
        <f t="shared" si="428"/>
        <v>30</v>
      </c>
      <c r="AQ48" s="432">
        <f t="shared" si="429"/>
        <v>30</v>
      </c>
      <c r="AR48" s="433">
        <f t="shared" si="430"/>
        <v>30</v>
      </c>
      <c r="AS48" s="333">
        <f t="shared" si="431"/>
        <v>30</v>
      </c>
      <c r="AT48" s="432">
        <f t="shared" si="432"/>
        <v>30</v>
      </c>
      <c r="AU48" s="432">
        <f t="shared" si="433"/>
        <v>30</v>
      </c>
      <c r="AV48" s="433">
        <f t="shared" si="434"/>
        <v>30</v>
      </c>
      <c r="AW48" s="333">
        <f t="shared" si="435"/>
        <v>30</v>
      </c>
      <c r="AX48" s="432">
        <f t="shared" si="436"/>
        <v>30</v>
      </c>
      <c r="AY48" s="432">
        <f t="shared" si="437"/>
        <v>30</v>
      </c>
      <c r="AZ48" s="433">
        <f t="shared" si="438"/>
        <v>30</v>
      </c>
      <c r="BA48" s="333">
        <f t="shared" si="439"/>
        <v>30</v>
      </c>
      <c r="BB48" s="432">
        <f t="shared" si="440"/>
        <v>30</v>
      </c>
      <c r="BC48" s="432">
        <f t="shared" si="441"/>
        <v>30</v>
      </c>
      <c r="BD48" s="433">
        <f t="shared" si="442"/>
        <v>30</v>
      </c>
      <c r="BE48" s="333">
        <f t="shared" si="443"/>
        <v>30</v>
      </c>
      <c r="BF48" s="432">
        <f t="shared" si="444"/>
        <v>30</v>
      </c>
      <c r="BG48" s="432">
        <f t="shared" si="445"/>
        <v>30</v>
      </c>
      <c r="BH48" s="433">
        <f t="shared" si="446"/>
        <v>30</v>
      </c>
      <c r="BI48" s="333">
        <f t="shared" si="447"/>
        <v>30</v>
      </c>
      <c r="BJ48" s="432">
        <f t="shared" si="448"/>
        <v>30</v>
      </c>
      <c r="BK48" s="432">
        <f t="shared" si="449"/>
        <v>30</v>
      </c>
      <c r="BL48" s="433">
        <f t="shared" si="450"/>
        <v>30</v>
      </c>
      <c r="BM48" s="333">
        <f t="shared" si="451"/>
        <v>30</v>
      </c>
      <c r="BN48" s="432">
        <f t="shared" si="452"/>
        <v>30</v>
      </c>
      <c r="BO48" s="432">
        <f t="shared" si="453"/>
        <v>30</v>
      </c>
      <c r="BP48" s="433">
        <f t="shared" si="454"/>
        <v>30</v>
      </c>
      <c r="BQ48" s="333">
        <f t="shared" si="335"/>
        <v>30</v>
      </c>
      <c r="BR48" s="432">
        <f t="shared" si="336"/>
        <v>30</v>
      </c>
      <c r="BS48" s="432">
        <f t="shared" si="337"/>
        <v>30</v>
      </c>
      <c r="BT48" s="433">
        <f t="shared" si="338"/>
        <v>30</v>
      </c>
      <c r="BU48" s="333">
        <f t="shared" si="339"/>
        <v>30</v>
      </c>
      <c r="BV48" s="432">
        <f t="shared" si="340"/>
        <v>30</v>
      </c>
      <c r="BW48" s="432">
        <f t="shared" si="341"/>
        <v>30</v>
      </c>
      <c r="BX48" s="433">
        <f t="shared" si="342"/>
        <v>30</v>
      </c>
      <c r="BY48" s="333">
        <f t="shared" si="343"/>
        <v>30</v>
      </c>
      <c r="BZ48" s="432">
        <f t="shared" si="344"/>
        <v>30</v>
      </c>
      <c r="CA48" s="432">
        <f t="shared" si="345"/>
        <v>30</v>
      </c>
      <c r="CB48" s="433">
        <f t="shared" si="346"/>
        <v>30</v>
      </c>
      <c r="CC48" s="333">
        <f t="shared" si="347"/>
        <v>30</v>
      </c>
      <c r="CD48" s="432">
        <f t="shared" si="348"/>
        <v>30</v>
      </c>
      <c r="CE48" s="432">
        <f t="shared" si="349"/>
        <v>30</v>
      </c>
      <c r="CF48" s="433">
        <f t="shared" si="350"/>
        <v>30</v>
      </c>
      <c r="CG48" s="333">
        <f t="shared" si="351"/>
        <v>30</v>
      </c>
      <c r="CH48" s="432">
        <f t="shared" si="352"/>
        <v>30</v>
      </c>
      <c r="CI48" s="432">
        <f t="shared" si="353"/>
        <v>30</v>
      </c>
      <c r="CJ48" s="433">
        <f t="shared" si="354"/>
        <v>30</v>
      </c>
      <c r="CK48" s="333">
        <f t="shared" si="355"/>
        <v>30</v>
      </c>
      <c r="CL48" s="432">
        <f t="shared" si="356"/>
        <v>30</v>
      </c>
      <c r="CM48" s="432">
        <f t="shared" si="357"/>
        <v>30</v>
      </c>
      <c r="CN48" s="433">
        <f t="shared" si="358"/>
        <v>30</v>
      </c>
      <c r="CO48" s="333">
        <f t="shared" si="359"/>
        <v>30</v>
      </c>
      <c r="CP48" s="432">
        <f t="shared" si="360"/>
        <v>30</v>
      </c>
      <c r="CQ48" s="432">
        <f t="shared" si="361"/>
        <v>30</v>
      </c>
      <c r="CR48" s="433">
        <f t="shared" si="362"/>
        <v>30</v>
      </c>
      <c r="CS48" s="333">
        <f t="shared" si="363"/>
        <v>30</v>
      </c>
      <c r="CT48" s="432">
        <f t="shared" si="364"/>
        <v>30</v>
      </c>
      <c r="CU48" s="432">
        <f t="shared" si="365"/>
        <v>30</v>
      </c>
      <c r="CV48" s="433">
        <f t="shared" si="366"/>
        <v>30</v>
      </c>
      <c r="CW48" s="333">
        <f t="shared" si="367"/>
        <v>30</v>
      </c>
      <c r="CX48" s="432">
        <f t="shared" si="368"/>
        <v>30</v>
      </c>
      <c r="CY48" s="432">
        <f t="shared" si="369"/>
        <v>30</v>
      </c>
      <c r="CZ48" s="433">
        <f t="shared" si="370"/>
        <v>30</v>
      </c>
      <c r="DA48" s="333">
        <f t="shared" si="371"/>
        <v>30</v>
      </c>
      <c r="DB48" s="432">
        <f t="shared" si="372"/>
        <v>30</v>
      </c>
      <c r="DC48" s="432">
        <f t="shared" si="373"/>
        <v>30</v>
      </c>
      <c r="DD48" s="433">
        <f t="shared" si="374"/>
        <v>30</v>
      </c>
      <c r="DE48" s="333">
        <f t="shared" si="375"/>
        <v>30</v>
      </c>
      <c r="DF48" s="432">
        <f t="shared" si="376"/>
        <v>30</v>
      </c>
      <c r="DG48" s="432">
        <f t="shared" si="377"/>
        <v>30</v>
      </c>
      <c r="DH48" s="433">
        <f t="shared" si="378"/>
        <v>30</v>
      </c>
      <c r="DI48" s="333">
        <f t="shared" si="379"/>
        <v>30</v>
      </c>
      <c r="DJ48" s="432">
        <f t="shared" si="380"/>
        <v>30</v>
      </c>
      <c r="DK48" s="432">
        <f t="shared" si="381"/>
        <v>30</v>
      </c>
      <c r="DL48" s="433">
        <f t="shared" si="382"/>
        <v>30</v>
      </c>
      <c r="DM48" s="333">
        <f t="shared" si="383"/>
        <v>30</v>
      </c>
      <c r="DN48" s="432">
        <f t="shared" si="384"/>
        <v>30</v>
      </c>
      <c r="DO48" s="432">
        <f t="shared" si="385"/>
        <v>30</v>
      </c>
      <c r="DP48" s="433">
        <f t="shared" si="386"/>
        <v>30</v>
      </c>
      <c r="DQ48" s="333">
        <f t="shared" si="387"/>
        <v>30</v>
      </c>
      <c r="DR48" s="432">
        <f t="shared" si="388"/>
        <v>30</v>
      </c>
      <c r="DS48" s="432">
        <f t="shared" si="389"/>
        <v>30</v>
      </c>
      <c r="DT48" s="433">
        <f t="shared" si="390"/>
        <v>30</v>
      </c>
      <c r="DU48" s="333">
        <f t="shared" si="391"/>
        <v>30</v>
      </c>
      <c r="DV48" s="432">
        <f t="shared" si="392"/>
        <v>30</v>
      </c>
      <c r="DW48" s="432">
        <f t="shared" si="393"/>
        <v>30</v>
      </c>
      <c r="DX48" s="433">
        <f t="shared" si="394"/>
        <v>30</v>
      </c>
      <c r="DY48" s="333">
        <f t="shared" si="395"/>
        <v>30</v>
      </c>
      <c r="DZ48" s="432">
        <f t="shared" si="396"/>
        <v>30</v>
      </c>
      <c r="EA48" s="432">
        <f t="shared" si="397"/>
        <v>30</v>
      </c>
      <c r="EB48" s="433">
        <f t="shared" si="398"/>
        <v>30</v>
      </c>
      <c r="EC48" s="333">
        <f t="shared" si="399"/>
        <v>30</v>
      </c>
      <c r="ED48" s="432">
        <f t="shared" si="400"/>
        <v>30</v>
      </c>
      <c r="EE48" s="432">
        <f t="shared" si="401"/>
        <v>30</v>
      </c>
      <c r="EF48" s="433">
        <f t="shared" si="402"/>
        <v>30</v>
      </c>
      <c r="EG48" s="333">
        <f t="shared" si="403"/>
        <v>30</v>
      </c>
      <c r="EH48" s="432">
        <f t="shared" si="404"/>
        <v>30</v>
      </c>
      <c r="EI48" s="432">
        <f t="shared" si="405"/>
        <v>30</v>
      </c>
      <c r="EJ48" s="433">
        <f t="shared" si="406"/>
        <v>30</v>
      </c>
      <c r="EK48" s="333">
        <f t="shared" si="407"/>
        <v>30</v>
      </c>
      <c r="EL48" s="432">
        <f t="shared" si="408"/>
        <v>30</v>
      </c>
      <c r="EM48" s="432">
        <f t="shared" si="409"/>
        <v>30</v>
      </c>
      <c r="EN48" s="433">
        <f t="shared" si="410"/>
        <v>30</v>
      </c>
      <c r="EO48" s="333">
        <f t="shared" si="411"/>
        <v>30</v>
      </c>
      <c r="EP48" s="432">
        <f t="shared" si="412"/>
        <v>30</v>
      </c>
      <c r="EQ48" s="432">
        <f t="shared" si="413"/>
        <v>30</v>
      </c>
      <c r="ER48" s="433">
        <f t="shared" si="414"/>
        <v>30</v>
      </c>
      <c r="ES48" s="333">
        <f t="shared" si="415"/>
        <v>30</v>
      </c>
      <c r="ET48" s="432">
        <f t="shared" si="416"/>
        <v>30</v>
      </c>
      <c r="EU48" s="432">
        <f t="shared" si="417"/>
        <v>30</v>
      </c>
      <c r="EV48" s="433">
        <f t="shared" si="418"/>
        <v>30</v>
      </c>
      <c r="EW48" s="263">
        <f>SUM(I48:DD48)/4</f>
        <v>570</v>
      </c>
      <c r="EX48" s="263"/>
      <c r="EY48" s="263"/>
      <c r="EZ48" s="263"/>
      <c r="FA48" s="263"/>
    </row>
    <row r="49" spans="2:157" s="264" customFormat="1" ht="29.25" customHeight="1">
      <c r="B49" s="257"/>
      <c r="C49" s="32" t="s">
        <v>218</v>
      </c>
      <c r="D49" s="270" t="s">
        <v>149</v>
      </c>
      <c r="E49" s="271">
        <v>40</v>
      </c>
      <c r="F49" s="258"/>
      <c r="G49" s="415"/>
      <c r="H49" s="259"/>
      <c r="I49" s="333"/>
      <c r="J49" s="261"/>
      <c r="K49" s="261"/>
      <c r="L49" s="262"/>
      <c r="M49" s="260"/>
      <c r="N49" s="261"/>
      <c r="O49" s="261"/>
      <c r="P49" s="262"/>
      <c r="Q49" s="260"/>
      <c r="R49" s="261"/>
      <c r="S49" s="261"/>
      <c r="T49" s="262"/>
      <c r="U49" s="333"/>
      <c r="V49" s="432"/>
      <c r="W49" s="432"/>
      <c r="X49" s="433"/>
      <c r="Y49" s="333"/>
      <c r="Z49" s="432"/>
      <c r="AA49" s="432"/>
      <c r="AB49" s="433"/>
      <c r="AC49" s="333"/>
      <c r="AD49" s="432"/>
      <c r="AE49" s="432"/>
      <c r="AF49" s="433"/>
      <c r="AG49" s="333">
        <f t="shared" si="419"/>
        <v>40</v>
      </c>
      <c r="AH49" s="432">
        <f t="shared" si="420"/>
        <v>40</v>
      </c>
      <c r="AI49" s="432">
        <f t="shared" si="421"/>
        <v>40</v>
      </c>
      <c r="AJ49" s="433">
        <f t="shared" si="422"/>
        <v>40</v>
      </c>
      <c r="AK49" s="333">
        <f t="shared" si="423"/>
        <v>40</v>
      </c>
      <c r="AL49" s="432">
        <f t="shared" si="424"/>
        <v>40</v>
      </c>
      <c r="AM49" s="432">
        <f t="shared" si="425"/>
        <v>40</v>
      </c>
      <c r="AN49" s="433">
        <f t="shared" si="426"/>
        <v>40</v>
      </c>
      <c r="AO49" s="333">
        <f t="shared" si="427"/>
        <v>40</v>
      </c>
      <c r="AP49" s="432">
        <f t="shared" si="428"/>
        <v>40</v>
      </c>
      <c r="AQ49" s="432">
        <f t="shared" si="429"/>
        <v>40</v>
      </c>
      <c r="AR49" s="433">
        <f t="shared" si="430"/>
        <v>40</v>
      </c>
      <c r="AS49" s="333">
        <f t="shared" si="431"/>
        <v>40</v>
      </c>
      <c r="AT49" s="432">
        <f t="shared" si="432"/>
        <v>40</v>
      </c>
      <c r="AU49" s="432">
        <f t="shared" si="433"/>
        <v>40</v>
      </c>
      <c r="AV49" s="433">
        <f t="shared" si="434"/>
        <v>40</v>
      </c>
      <c r="AW49" s="333">
        <f t="shared" si="435"/>
        <v>40</v>
      </c>
      <c r="AX49" s="432">
        <f t="shared" si="436"/>
        <v>40</v>
      </c>
      <c r="AY49" s="432">
        <f t="shared" si="437"/>
        <v>40</v>
      </c>
      <c r="AZ49" s="433">
        <f t="shared" si="438"/>
        <v>40</v>
      </c>
      <c r="BA49" s="333">
        <f t="shared" si="439"/>
        <v>40</v>
      </c>
      <c r="BB49" s="432">
        <f t="shared" si="440"/>
        <v>40</v>
      </c>
      <c r="BC49" s="432">
        <f t="shared" si="441"/>
        <v>40</v>
      </c>
      <c r="BD49" s="433">
        <f t="shared" si="442"/>
        <v>40</v>
      </c>
      <c r="BE49" s="333">
        <f t="shared" si="443"/>
        <v>40</v>
      </c>
      <c r="BF49" s="432">
        <f t="shared" si="444"/>
        <v>40</v>
      </c>
      <c r="BG49" s="432">
        <f t="shared" si="445"/>
        <v>40</v>
      </c>
      <c r="BH49" s="433">
        <f t="shared" si="446"/>
        <v>40</v>
      </c>
      <c r="BI49" s="333">
        <f t="shared" si="447"/>
        <v>40</v>
      </c>
      <c r="BJ49" s="432">
        <f t="shared" si="448"/>
        <v>40</v>
      </c>
      <c r="BK49" s="432">
        <f t="shared" si="449"/>
        <v>40</v>
      </c>
      <c r="BL49" s="433">
        <f t="shared" si="450"/>
        <v>40</v>
      </c>
      <c r="BM49" s="333">
        <f t="shared" si="451"/>
        <v>40</v>
      </c>
      <c r="BN49" s="432">
        <f t="shared" si="452"/>
        <v>40</v>
      </c>
      <c r="BO49" s="432">
        <f t="shared" si="453"/>
        <v>40</v>
      </c>
      <c r="BP49" s="433">
        <f t="shared" si="454"/>
        <v>40</v>
      </c>
      <c r="BQ49" s="333">
        <f t="shared" si="335"/>
        <v>40</v>
      </c>
      <c r="BR49" s="432">
        <f t="shared" si="336"/>
        <v>40</v>
      </c>
      <c r="BS49" s="432">
        <f t="shared" si="337"/>
        <v>40</v>
      </c>
      <c r="BT49" s="433">
        <f t="shared" si="338"/>
        <v>40</v>
      </c>
      <c r="BU49" s="333">
        <f t="shared" si="339"/>
        <v>40</v>
      </c>
      <c r="BV49" s="432">
        <f t="shared" si="340"/>
        <v>40</v>
      </c>
      <c r="BW49" s="432">
        <f t="shared" si="341"/>
        <v>40</v>
      </c>
      <c r="BX49" s="433">
        <f t="shared" si="342"/>
        <v>40</v>
      </c>
      <c r="BY49" s="333">
        <f t="shared" si="343"/>
        <v>40</v>
      </c>
      <c r="BZ49" s="432">
        <f t="shared" si="344"/>
        <v>40</v>
      </c>
      <c r="CA49" s="432">
        <f t="shared" si="345"/>
        <v>40</v>
      </c>
      <c r="CB49" s="433">
        <f t="shared" si="346"/>
        <v>40</v>
      </c>
      <c r="CC49" s="333">
        <f t="shared" si="347"/>
        <v>40</v>
      </c>
      <c r="CD49" s="432">
        <f t="shared" si="348"/>
        <v>40</v>
      </c>
      <c r="CE49" s="432">
        <f t="shared" si="349"/>
        <v>40</v>
      </c>
      <c r="CF49" s="433">
        <f t="shared" si="350"/>
        <v>40</v>
      </c>
      <c r="CG49" s="333">
        <f t="shared" si="351"/>
        <v>40</v>
      </c>
      <c r="CH49" s="432">
        <f t="shared" si="352"/>
        <v>40</v>
      </c>
      <c r="CI49" s="432">
        <f t="shared" si="353"/>
        <v>40</v>
      </c>
      <c r="CJ49" s="433">
        <f t="shared" si="354"/>
        <v>40</v>
      </c>
      <c r="CK49" s="333">
        <f t="shared" si="355"/>
        <v>40</v>
      </c>
      <c r="CL49" s="432">
        <f t="shared" si="356"/>
        <v>40</v>
      </c>
      <c r="CM49" s="432">
        <f t="shared" si="357"/>
        <v>40</v>
      </c>
      <c r="CN49" s="433">
        <f t="shared" si="358"/>
        <v>40</v>
      </c>
      <c r="CO49" s="333">
        <f t="shared" si="359"/>
        <v>40</v>
      </c>
      <c r="CP49" s="432">
        <f t="shared" si="360"/>
        <v>40</v>
      </c>
      <c r="CQ49" s="432">
        <f t="shared" si="361"/>
        <v>40</v>
      </c>
      <c r="CR49" s="433">
        <f t="shared" si="362"/>
        <v>40</v>
      </c>
      <c r="CS49" s="333">
        <f t="shared" si="363"/>
        <v>40</v>
      </c>
      <c r="CT49" s="432">
        <f t="shared" si="364"/>
        <v>40</v>
      </c>
      <c r="CU49" s="432">
        <f t="shared" si="365"/>
        <v>40</v>
      </c>
      <c r="CV49" s="433">
        <f t="shared" si="366"/>
        <v>40</v>
      </c>
      <c r="CW49" s="333">
        <f t="shared" si="367"/>
        <v>40</v>
      </c>
      <c r="CX49" s="432">
        <f t="shared" si="368"/>
        <v>40</v>
      </c>
      <c r="CY49" s="432">
        <f t="shared" si="369"/>
        <v>40</v>
      </c>
      <c r="CZ49" s="433">
        <f t="shared" si="370"/>
        <v>40</v>
      </c>
      <c r="DA49" s="333">
        <f t="shared" si="371"/>
        <v>40</v>
      </c>
      <c r="DB49" s="432">
        <f t="shared" si="372"/>
        <v>40</v>
      </c>
      <c r="DC49" s="432">
        <f t="shared" si="373"/>
        <v>40</v>
      </c>
      <c r="DD49" s="433">
        <f t="shared" si="374"/>
        <v>40</v>
      </c>
      <c r="DE49" s="333">
        <f t="shared" si="375"/>
        <v>40</v>
      </c>
      <c r="DF49" s="432">
        <f t="shared" si="376"/>
        <v>40</v>
      </c>
      <c r="DG49" s="432">
        <f t="shared" si="377"/>
        <v>40</v>
      </c>
      <c r="DH49" s="433">
        <f t="shared" si="378"/>
        <v>40</v>
      </c>
      <c r="DI49" s="333">
        <f t="shared" si="379"/>
        <v>40</v>
      </c>
      <c r="DJ49" s="432">
        <f t="shared" si="380"/>
        <v>40</v>
      </c>
      <c r="DK49" s="432">
        <f t="shared" si="381"/>
        <v>40</v>
      </c>
      <c r="DL49" s="433">
        <f t="shared" si="382"/>
        <v>40</v>
      </c>
      <c r="DM49" s="333">
        <f t="shared" si="383"/>
        <v>40</v>
      </c>
      <c r="DN49" s="432">
        <f t="shared" si="384"/>
        <v>40</v>
      </c>
      <c r="DO49" s="432">
        <f t="shared" si="385"/>
        <v>40</v>
      </c>
      <c r="DP49" s="433">
        <f t="shared" si="386"/>
        <v>40</v>
      </c>
      <c r="DQ49" s="333">
        <f t="shared" si="387"/>
        <v>40</v>
      </c>
      <c r="DR49" s="432">
        <f t="shared" si="388"/>
        <v>40</v>
      </c>
      <c r="DS49" s="432">
        <f t="shared" si="389"/>
        <v>40</v>
      </c>
      <c r="DT49" s="433">
        <f t="shared" si="390"/>
        <v>40</v>
      </c>
      <c r="DU49" s="333">
        <f t="shared" si="391"/>
        <v>40</v>
      </c>
      <c r="DV49" s="432">
        <f t="shared" si="392"/>
        <v>40</v>
      </c>
      <c r="DW49" s="432">
        <f t="shared" si="393"/>
        <v>40</v>
      </c>
      <c r="DX49" s="433">
        <f t="shared" si="394"/>
        <v>40</v>
      </c>
      <c r="DY49" s="333">
        <f t="shared" si="395"/>
        <v>40</v>
      </c>
      <c r="DZ49" s="432">
        <f t="shared" si="396"/>
        <v>40</v>
      </c>
      <c r="EA49" s="432">
        <f t="shared" si="397"/>
        <v>40</v>
      </c>
      <c r="EB49" s="433">
        <f t="shared" si="398"/>
        <v>40</v>
      </c>
      <c r="EC49" s="333">
        <f t="shared" si="399"/>
        <v>40</v>
      </c>
      <c r="ED49" s="432">
        <f t="shared" si="400"/>
        <v>40</v>
      </c>
      <c r="EE49" s="432">
        <f t="shared" si="401"/>
        <v>40</v>
      </c>
      <c r="EF49" s="433">
        <f t="shared" si="402"/>
        <v>40</v>
      </c>
      <c r="EG49" s="333">
        <f t="shared" si="403"/>
        <v>40</v>
      </c>
      <c r="EH49" s="432">
        <f t="shared" si="404"/>
        <v>40</v>
      </c>
      <c r="EI49" s="432">
        <f t="shared" si="405"/>
        <v>40</v>
      </c>
      <c r="EJ49" s="433">
        <f t="shared" si="406"/>
        <v>40</v>
      </c>
      <c r="EK49" s="333">
        <f t="shared" si="407"/>
        <v>40</v>
      </c>
      <c r="EL49" s="432">
        <f t="shared" si="408"/>
        <v>40</v>
      </c>
      <c r="EM49" s="432">
        <f t="shared" si="409"/>
        <v>40</v>
      </c>
      <c r="EN49" s="433">
        <f t="shared" si="410"/>
        <v>40</v>
      </c>
      <c r="EO49" s="333">
        <f t="shared" si="411"/>
        <v>40</v>
      </c>
      <c r="EP49" s="432">
        <f t="shared" si="412"/>
        <v>40</v>
      </c>
      <c r="EQ49" s="432">
        <f t="shared" si="413"/>
        <v>40</v>
      </c>
      <c r="ER49" s="433">
        <f t="shared" si="414"/>
        <v>40</v>
      </c>
      <c r="ES49" s="333">
        <f t="shared" si="415"/>
        <v>40</v>
      </c>
      <c r="ET49" s="432">
        <f t="shared" si="416"/>
        <v>40</v>
      </c>
      <c r="EU49" s="432">
        <f t="shared" si="417"/>
        <v>40</v>
      </c>
      <c r="EV49" s="433">
        <f t="shared" si="418"/>
        <v>40</v>
      </c>
      <c r="EW49" s="263">
        <f>SUM(I49:DD49)/4</f>
        <v>760</v>
      </c>
      <c r="EX49" s="263"/>
      <c r="EY49" s="263"/>
      <c r="EZ49" s="263"/>
      <c r="FA49" s="263"/>
    </row>
    <row r="50" spans="2:157" s="264" customFormat="1" ht="29.25" customHeight="1">
      <c r="B50" s="257"/>
      <c r="C50" s="32"/>
      <c r="D50" s="270"/>
      <c r="E50" s="271">
        <f>SUM(E43:E49)</f>
        <v>137</v>
      </c>
      <c r="F50" s="258"/>
      <c r="G50" s="415"/>
      <c r="H50" s="259"/>
      <c r="I50" s="361"/>
      <c r="J50" s="261"/>
      <c r="K50" s="261"/>
      <c r="L50" s="262"/>
      <c r="M50" s="260"/>
      <c r="N50" s="261"/>
      <c r="O50" s="261"/>
      <c r="P50" s="262"/>
      <c r="Q50" s="260"/>
      <c r="R50" s="261"/>
      <c r="S50" s="261"/>
      <c r="T50" s="262"/>
      <c r="U50" s="260"/>
      <c r="V50" s="261"/>
      <c r="W50" s="261"/>
      <c r="X50" s="262"/>
      <c r="Y50" s="260"/>
      <c r="Z50" s="261"/>
      <c r="AA50" s="261"/>
      <c r="AB50" s="262"/>
      <c r="AC50" s="260"/>
      <c r="AD50" s="261"/>
      <c r="AE50" s="238"/>
      <c r="AF50" s="262"/>
      <c r="AG50" s="260"/>
      <c r="AH50" s="261"/>
      <c r="AI50" s="261"/>
      <c r="AJ50" s="262"/>
      <c r="AK50" s="260"/>
      <c r="AL50" s="261"/>
      <c r="AM50" s="261"/>
      <c r="AN50" s="262"/>
      <c r="AO50" s="280"/>
      <c r="AP50" s="274"/>
      <c r="AQ50" s="274"/>
      <c r="AR50" s="275"/>
      <c r="AS50" s="280"/>
      <c r="AT50" s="274"/>
      <c r="AU50" s="274"/>
      <c r="AV50" s="275"/>
      <c r="AW50" s="280"/>
      <c r="AX50" s="274"/>
      <c r="AY50" s="274"/>
      <c r="AZ50" s="275"/>
      <c r="BA50" s="280"/>
      <c r="BB50" s="274"/>
      <c r="BC50" s="274"/>
      <c r="BD50" s="275"/>
      <c r="BE50" s="280"/>
      <c r="BF50" s="274"/>
      <c r="BG50" s="274"/>
      <c r="BH50" s="275"/>
      <c r="BI50" s="280"/>
      <c r="BJ50" s="274"/>
      <c r="BK50" s="274"/>
      <c r="BL50" s="275"/>
      <c r="BM50" s="280"/>
      <c r="BN50" s="274"/>
      <c r="BO50" s="274"/>
      <c r="BP50" s="275"/>
      <c r="BQ50" s="280"/>
      <c r="BR50" s="274"/>
      <c r="BS50" s="274"/>
      <c r="BT50" s="275"/>
      <c r="BU50" s="280"/>
      <c r="BV50" s="274"/>
      <c r="BW50" s="274"/>
      <c r="BX50" s="275"/>
      <c r="BY50" s="280"/>
      <c r="BZ50" s="274"/>
      <c r="CA50" s="274"/>
      <c r="CB50" s="275"/>
      <c r="CC50" s="280"/>
      <c r="CD50" s="274"/>
      <c r="CE50" s="274"/>
      <c r="CF50" s="275"/>
      <c r="CG50" s="280"/>
      <c r="CH50" s="274"/>
      <c r="CI50" s="274"/>
      <c r="CJ50" s="275"/>
      <c r="CK50" s="280"/>
      <c r="CL50" s="274"/>
      <c r="CM50" s="274"/>
      <c r="CN50" s="275"/>
      <c r="CO50" s="280"/>
      <c r="CP50" s="274"/>
      <c r="CQ50" s="274"/>
      <c r="CR50" s="275"/>
      <c r="CS50" s="280"/>
      <c r="CT50" s="274"/>
      <c r="CU50" s="274"/>
      <c r="CV50" s="275"/>
      <c r="CW50" s="280"/>
      <c r="CX50" s="274"/>
      <c r="CY50" s="274"/>
      <c r="CZ50" s="275"/>
      <c r="DA50" s="280"/>
      <c r="DB50" s="274"/>
      <c r="DC50" s="274"/>
      <c r="DD50" s="275"/>
      <c r="DE50" s="280"/>
      <c r="DF50" s="274"/>
      <c r="DG50" s="274"/>
      <c r="DH50" s="275"/>
      <c r="DI50" s="280"/>
      <c r="DJ50" s="274"/>
      <c r="DK50" s="274"/>
      <c r="DL50" s="275"/>
      <c r="DM50" s="280"/>
      <c r="DN50" s="274"/>
      <c r="DO50" s="274"/>
      <c r="DP50" s="275"/>
      <c r="DQ50" s="280"/>
      <c r="DR50" s="274"/>
      <c r="DS50" s="274"/>
      <c r="DT50" s="275"/>
      <c r="DU50" s="280"/>
      <c r="DV50" s="274"/>
      <c r="DW50" s="274"/>
      <c r="DX50" s="275"/>
      <c r="DY50" s="280"/>
      <c r="DZ50" s="274"/>
      <c r="EA50" s="274"/>
      <c r="EB50" s="275"/>
      <c r="EC50" s="280"/>
      <c r="ED50" s="274"/>
      <c r="EE50" s="274"/>
      <c r="EF50" s="275"/>
      <c r="EG50" s="280"/>
      <c r="EH50" s="274"/>
      <c r="EI50" s="274"/>
      <c r="EJ50" s="275"/>
      <c r="EK50" s="280"/>
      <c r="EL50" s="274"/>
      <c r="EM50" s="274"/>
      <c r="EN50" s="275"/>
      <c r="EO50" s="280"/>
      <c r="EP50" s="274"/>
      <c r="EQ50" s="274"/>
      <c r="ER50" s="275"/>
      <c r="ES50" s="280"/>
      <c r="ET50" s="274"/>
      <c r="EU50" s="274"/>
      <c r="EV50" s="275"/>
      <c r="EW50" s="263"/>
      <c r="EX50" s="263"/>
      <c r="EY50" s="263"/>
      <c r="EZ50" s="263"/>
      <c r="FA50" s="263"/>
    </row>
    <row r="51" spans="2:157" s="264" customFormat="1" ht="29.25" customHeight="1">
      <c r="B51" s="257"/>
      <c r="C51" s="32"/>
      <c r="D51" s="270"/>
      <c r="E51" s="271"/>
      <c r="F51" s="258"/>
      <c r="G51" s="415"/>
      <c r="H51" s="259"/>
      <c r="I51" s="361"/>
      <c r="J51" s="261"/>
      <c r="K51" s="261"/>
      <c r="L51" s="262"/>
      <c r="M51" s="260"/>
      <c r="N51" s="261"/>
      <c r="O51" s="261"/>
      <c r="P51" s="262"/>
      <c r="Q51" s="260"/>
      <c r="R51" s="261"/>
      <c r="S51" s="261"/>
      <c r="T51" s="262"/>
      <c r="U51" s="260"/>
      <c r="V51" s="261"/>
      <c r="W51" s="261"/>
      <c r="X51" s="262"/>
      <c r="Y51" s="260"/>
      <c r="Z51" s="261"/>
      <c r="AA51" s="261"/>
      <c r="AB51" s="262"/>
      <c r="AC51" s="260"/>
      <c r="AD51" s="261"/>
      <c r="AE51" s="238"/>
      <c r="AF51" s="262"/>
      <c r="AG51" s="260"/>
      <c r="AH51" s="261"/>
      <c r="AI51" s="261"/>
      <c r="AJ51" s="262"/>
      <c r="AK51" s="260"/>
      <c r="AL51" s="261"/>
      <c r="AM51" s="261"/>
      <c r="AN51" s="262"/>
      <c r="AO51" s="280"/>
      <c r="AP51" s="274"/>
      <c r="AQ51" s="274"/>
      <c r="AR51" s="275"/>
      <c r="AS51" s="280"/>
      <c r="AT51" s="274"/>
      <c r="AU51" s="274"/>
      <c r="AV51" s="275"/>
      <c r="AW51" s="280"/>
      <c r="AX51" s="274"/>
      <c r="AY51" s="274"/>
      <c r="AZ51" s="275"/>
      <c r="BA51" s="280"/>
      <c r="BB51" s="274"/>
      <c r="BC51" s="274"/>
      <c r="BD51" s="275"/>
      <c r="BE51" s="280"/>
      <c r="BF51" s="274"/>
      <c r="BG51" s="274"/>
      <c r="BH51" s="275"/>
      <c r="BI51" s="280"/>
      <c r="BJ51" s="274"/>
      <c r="BK51" s="274"/>
      <c r="BL51" s="275"/>
      <c r="BM51" s="280"/>
      <c r="BN51" s="274"/>
      <c r="BO51" s="274"/>
      <c r="BP51" s="275"/>
      <c r="BQ51" s="280"/>
      <c r="BR51" s="274"/>
      <c r="BS51" s="274"/>
      <c r="BT51" s="275"/>
      <c r="BU51" s="280"/>
      <c r="BV51" s="274"/>
      <c r="BW51" s="274"/>
      <c r="BX51" s="275"/>
      <c r="BY51" s="280"/>
      <c r="BZ51" s="274"/>
      <c r="CA51" s="274"/>
      <c r="CB51" s="275"/>
      <c r="CC51" s="280"/>
      <c r="CD51" s="274"/>
      <c r="CE51" s="274"/>
      <c r="CF51" s="275"/>
      <c r="CG51" s="280"/>
      <c r="CH51" s="274"/>
      <c r="CI51" s="274"/>
      <c r="CJ51" s="275"/>
      <c r="CK51" s="280"/>
      <c r="CL51" s="274"/>
      <c r="CM51" s="274"/>
      <c r="CN51" s="275"/>
      <c r="CO51" s="280"/>
      <c r="CP51" s="274"/>
      <c r="CQ51" s="274"/>
      <c r="CR51" s="275"/>
      <c r="CS51" s="280"/>
      <c r="CT51" s="274"/>
      <c r="CU51" s="274"/>
      <c r="CV51" s="275"/>
      <c r="CW51" s="280"/>
      <c r="CX51" s="274"/>
      <c r="CY51" s="274"/>
      <c r="CZ51" s="275"/>
      <c r="DA51" s="280"/>
      <c r="DB51" s="274"/>
      <c r="DC51" s="274"/>
      <c r="DD51" s="275"/>
      <c r="DE51" s="280"/>
      <c r="DF51" s="274"/>
      <c r="DG51" s="274"/>
      <c r="DH51" s="275"/>
      <c r="DI51" s="280"/>
      <c r="DJ51" s="274"/>
      <c r="DK51" s="274"/>
      <c r="DL51" s="275"/>
      <c r="DM51" s="280"/>
      <c r="DN51" s="274"/>
      <c r="DO51" s="274"/>
      <c r="DP51" s="275"/>
      <c r="DQ51" s="280"/>
      <c r="DR51" s="274"/>
      <c r="DS51" s="274"/>
      <c r="DT51" s="275"/>
      <c r="DU51" s="280"/>
      <c r="DV51" s="274"/>
      <c r="DW51" s="274"/>
      <c r="DX51" s="275"/>
      <c r="DY51" s="280"/>
      <c r="DZ51" s="274"/>
      <c r="EA51" s="274"/>
      <c r="EB51" s="275"/>
      <c r="EC51" s="280"/>
      <c r="ED51" s="274"/>
      <c r="EE51" s="274"/>
      <c r="EF51" s="275"/>
      <c r="EG51" s="280"/>
      <c r="EH51" s="274"/>
      <c r="EI51" s="274"/>
      <c r="EJ51" s="275"/>
      <c r="EK51" s="280"/>
      <c r="EL51" s="274"/>
      <c r="EM51" s="274"/>
      <c r="EN51" s="275"/>
      <c r="EO51" s="280"/>
      <c r="EP51" s="274"/>
      <c r="EQ51" s="274"/>
      <c r="ER51" s="275"/>
      <c r="ES51" s="280"/>
      <c r="ET51" s="274"/>
      <c r="EU51" s="274"/>
      <c r="EV51" s="275"/>
      <c r="EW51" s="263"/>
      <c r="EX51" s="263"/>
      <c r="EY51" s="263"/>
      <c r="EZ51" s="263"/>
      <c r="FA51" s="263"/>
    </row>
    <row r="52" spans="2:157" s="256" customFormat="1" ht="29.25" customHeight="1">
      <c r="B52" s="251"/>
      <c r="C52" s="360" t="s">
        <v>175</v>
      </c>
      <c r="D52" s="252"/>
      <c r="E52" s="253"/>
      <c r="F52" s="252"/>
      <c r="G52" s="412"/>
      <c r="H52" s="254"/>
      <c r="I52" s="260"/>
      <c r="J52" s="261"/>
      <c r="K52" s="261"/>
      <c r="L52" s="262"/>
      <c r="M52" s="260"/>
      <c r="N52" s="261"/>
      <c r="O52" s="261"/>
      <c r="P52" s="262"/>
      <c r="Q52" s="260"/>
      <c r="R52" s="261"/>
      <c r="S52" s="261"/>
      <c r="T52" s="262"/>
      <c r="U52" s="260"/>
      <c r="V52" s="261"/>
      <c r="W52" s="261"/>
      <c r="X52" s="262"/>
      <c r="Y52" s="260"/>
      <c r="Z52" s="261"/>
      <c r="AA52" s="261"/>
      <c r="AB52" s="262"/>
      <c r="AC52" s="260"/>
      <c r="AD52" s="261"/>
      <c r="AE52" s="238"/>
      <c r="AF52" s="262"/>
      <c r="AG52" s="260"/>
      <c r="AH52" s="261"/>
      <c r="AI52" s="261"/>
      <c r="AJ52" s="262"/>
      <c r="AK52" s="260"/>
      <c r="AL52" s="261"/>
      <c r="AM52" s="261"/>
      <c r="AN52" s="262"/>
      <c r="AO52" s="245"/>
      <c r="AP52" s="261"/>
      <c r="AQ52" s="261"/>
      <c r="AR52" s="262"/>
      <c r="AS52" s="260"/>
      <c r="AT52" s="261"/>
      <c r="AU52" s="261"/>
      <c r="AV52" s="262"/>
      <c r="AW52" s="260"/>
      <c r="AX52" s="261"/>
      <c r="AY52" s="261"/>
      <c r="AZ52" s="262"/>
      <c r="BA52" s="260"/>
      <c r="BB52" s="261"/>
      <c r="BC52" s="261"/>
      <c r="BD52" s="262"/>
      <c r="BE52" s="260"/>
      <c r="BF52" s="261"/>
      <c r="BG52" s="261"/>
      <c r="BH52" s="262"/>
      <c r="BI52" s="260"/>
      <c r="BJ52" s="261"/>
      <c r="BK52" s="261"/>
      <c r="BL52" s="262"/>
      <c r="BM52" s="260"/>
      <c r="BN52" s="261"/>
      <c r="BO52" s="261"/>
      <c r="BP52" s="262"/>
      <c r="BQ52" s="260"/>
      <c r="BR52" s="261"/>
      <c r="BS52" s="261"/>
      <c r="BT52" s="262"/>
      <c r="BU52" s="260"/>
      <c r="BV52" s="261"/>
      <c r="BW52" s="261"/>
      <c r="BX52" s="262"/>
      <c r="BY52" s="260"/>
      <c r="BZ52" s="261"/>
      <c r="CA52" s="261"/>
      <c r="CB52" s="262"/>
      <c r="CC52" s="260"/>
      <c r="CD52" s="261"/>
      <c r="CE52" s="261"/>
      <c r="CF52" s="262"/>
      <c r="CG52" s="260"/>
      <c r="CH52" s="261"/>
      <c r="CI52" s="261"/>
      <c r="CJ52" s="262"/>
      <c r="CK52" s="260"/>
      <c r="CL52" s="261"/>
      <c r="CM52" s="261"/>
      <c r="CN52" s="262"/>
      <c r="CO52" s="260"/>
      <c r="CP52" s="261"/>
      <c r="CQ52" s="261"/>
      <c r="CR52" s="262"/>
      <c r="CS52" s="260"/>
      <c r="CT52" s="261"/>
      <c r="CU52" s="261"/>
      <c r="CV52" s="262"/>
      <c r="CW52" s="260"/>
      <c r="CX52" s="261"/>
      <c r="CY52" s="261"/>
      <c r="CZ52" s="262"/>
      <c r="DA52" s="260"/>
      <c r="DB52" s="261"/>
      <c r="DC52" s="261"/>
      <c r="DD52" s="262"/>
      <c r="DE52" s="260"/>
      <c r="DF52" s="261"/>
      <c r="DG52" s="261"/>
      <c r="DH52" s="262"/>
      <c r="DI52" s="260"/>
      <c r="DJ52" s="261"/>
      <c r="DK52" s="261"/>
      <c r="DL52" s="262"/>
      <c r="DM52" s="260"/>
      <c r="DN52" s="261"/>
      <c r="DO52" s="261"/>
      <c r="DP52" s="262"/>
      <c r="DQ52" s="260"/>
      <c r="DR52" s="261"/>
      <c r="DS52" s="261"/>
      <c r="DT52" s="262"/>
      <c r="DU52" s="260"/>
      <c r="DV52" s="261"/>
      <c r="DW52" s="261"/>
      <c r="DX52" s="262"/>
      <c r="DY52" s="260"/>
      <c r="DZ52" s="261"/>
      <c r="EA52" s="261"/>
      <c r="EB52" s="262"/>
      <c r="EC52" s="260"/>
      <c r="ED52" s="261"/>
      <c r="EE52" s="261"/>
      <c r="EF52" s="262"/>
      <c r="EG52" s="260"/>
      <c r="EH52" s="261"/>
      <c r="EI52" s="261"/>
      <c r="EJ52" s="262"/>
      <c r="EK52" s="260"/>
      <c r="EL52" s="261"/>
      <c r="EM52" s="261"/>
      <c r="EN52" s="262"/>
      <c r="EO52" s="260"/>
      <c r="EP52" s="261"/>
      <c r="EQ52" s="261"/>
      <c r="ER52" s="262"/>
      <c r="ES52" s="260"/>
      <c r="ET52" s="261"/>
      <c r="EU52" s="261"/>
      <c r="EV52" s="262"/>
      <c r="EW52" s="263"/>
      <c r="EX52" s="255"/>
      <c r="EY52" s="255"/>
      <c r="EZ52" s="247"/>
      <c r="FA52" s="255"/>
    </row>
    <row r="53" spans="2:157" s="264" customFormat="1" ht="29.25" customHeight="1">
      <c r="B53" s="257"/>
      <c r="C53" s="301"/>
      <c r="D53" s="302"/>
      <c r="E53" s="306"/>
      <c r="F53" s="302"/>
      <c r="G53" s="418"/>
      <c r="H53" s="303"/>
      <c r="I53" s="260"/>
      <c r="J53" s="261"/>
      <c r="K53" s="261"/>
      <c r="L53" s="262"/>
      <c r="M53" s="260"/>
      <c r="N53" s="261"/>
      <c r="O53" s="261"/>
      <c r="P53" s="262"/>
      <c r="Q53" s="260"/>
      <c r="R53" s="261"/>
      <c r="S53" s="261"/>
      <c r="T53" s="262"/>
      <c r="U53" s="260"/>
      <c r="V53" s="261"/>
      <c r="W53" s="261"/>
      <c r="X53" s="262"/>
      <c r="Y53" s="260"/>
      <c r="Z53" s="261"/>
      <c r="AA53" s="261"/>
      <c r="AB53" s="262"/>
      <c r="AC53" s="260"/>
      <c r="AD53" s="261"/>
      <c r="AE53" s="238"/>
      <c r="AF53" s="262"/>
      <c r="AG53" s="260"/>
      <c r="AH53" s="261"/>
      <c r="AI53" s="261"/>
      <c r="AJ53" s="262"/>
      <c r="AK53" s="260"/>
      <c r="AL53" s="261"/>
      <c r="AM53" s="261"/>
      <c r="AN53" s="262"/>
      <c r="AO53" s="260"/>
      <c r="AP53" s="261"/>
      <c r="AQ53" s="261"/>
      <c r="AR53" s="262"/>
      <c r="AS53" s="260"/>
      <c r="AT53" s="261"/>
      <c r="AU53" s="261"/>
      <c r="AV53" s="262"/>
      <c r="AW53" s="260"/>
      <c r="AX53" s="261"/>
      <c r="AY53" s="261"/>
      <c r="AZ53" s="262"/>
      <c r="BA53" s="260"/>
      <c r="BB53" s="261"/>
      <c r="BC53" s="261"/>
      <c r="BD53" s="262"/>
      <c r="BE53" s="260"/>
      <c r="BF53" s="261"/>
      <c r="BG53" s="261"/>
      <c r="BH53" s="262"/>
      <c r="BI53" s="260"/>
      <c r="BJ53" s="261"/>
      <c r="BK53" s="261"/>
      <c r="BL53" s="262"/>
      <c r="BM53" s="260"/>
      <c r="BN53" s="261"/>
      <c r="BO53" s="261"/>
      <c r="BP53" s="262"/>
      <c r="BQ53" s="260"/>
      <c r="BR53" s="261"/>
      <c r="BS53" s="261"/>
      <c r="BT53" s="262"/>
      <c r="BU53" s="260"/>
      <c r="BV53" s="261"/>
      <c r="BW53" s="261"/>
      <c r="BX53" s="262"/>
      <c r="BY53" s="260"/>
      <c r="BZ53" s="261"/>
      <c r="CA53" s="261"/>
      <c r="CB53" s="262"/>
      <c r="CC53" s="260"/>
      <c r="CD53" s="261"/>
      <c r="CE53" s="261"/>
      <c r="CF53" s="262"/>
      <c r="CG53" s="260"/>
      <c r="CH53" s="261"/>
      <c r="CI53" s="261"/>
      <c r="CJ53" s="262"/>
      <c r="CK53" s="260"/>
      <c r="CL53" s="261"/>
      <c r="CM53" s="261"/>
      <c r="CN53" s="262"/>
      <c r="CO53" s="260"/>
      <c r="CP53" s="261"/>
      <c r="CQ53" s="261"/>
      <c r="CR53" s="262"/>
      <c r="CS53" s="260"/>
      <c r="CT53" s="261"/>
      <c r="CU53" s="261"/>
      <c r="CV53" s="262"/>
      <c r="CW53" s="260"/>
      <c r="CX53" s="261"/>
      <c r="CY53" s="261"/>
      <c r="CZ53" s="262"/>
      <c r="DA53" s="260"/>
      <c r="DB53" s="261"/>
      <c r="DC53" s="261"/>
      <c r="DD53" s="262"/>
      <c r="DE53" s="260"/>
      <c r="DF53" s="261"/>
      <c r="DG53" s="261"/>
      <c r="DH53" s="262"/>
      <c r="DI53" s="260"/>
      <c r="DJ53" s="261"/>
      <c r="DK53" s="261"/>
      <c r="DL53" s="262"/>
      <c r="DM53" s="260"/>
      <c r="DN53" s="261"/>
      <c r="DO53" s="261"/>
      <c r="DP53" s="262"/>
      <c r="DQ53" s="260"/>
      <c r="DR53" s="261"/>
      <c r="DS53" s="261"/>
      <c r="DT53" s="262"/>
      <c r="DU53" s="260"/>
      <c r="DV53" s="261"/>
      <c r="DW53" s="261"/>
      <c r="DX53" s="262"/>
      <c r="DY53" s="260"/>
      <c r="DZ53" s="261"/>
      <c r="EA53" s="261"/>
      <c r="EB53" s="262"/>
      <c r="EC53" s="260"/>
      <c r="ED53" s="261"/>
      <c r="EE53" s="261"/>
      <c r="EF53" s="262"/>
      <c r="EG53" s="260"/>
      <c r="EH53" s="261"/>
      <c r="EI53" s="261"/>
      <c r="EJ53" s="262"/>
      <c r="EK53" s="260"/>
      <c r="EL53" s="261"/>
      <c r="EM53" s="261"/>
      <c r="EN53" s="262"/>
      <c r="EO53" s="260"/>
      <c r="EP53" s="261"/>
      <c r="EQ53" s="261"/>
      <c r="ER53" s="262"/>
      <c r="ES53" s="260"/>
      <c r="ET53" s="261"/>
      <c r="EU53" s="261"/>
      <c r="EV53" s="262"/>
      <c r="EW53" s="263"/>
      <c r="EX53" s="247"/>
      <c r="EY53" s="247"/>
      <c r="EZ53" s="247"/>
      <c r="FA53" s="247"/>
    </row>
    <row r="54" spans="2:157" s="264" customFormat="1" ht="29.25" customHeight="1">
      <c r="B54" s="257"/>
      <c r="C54" s="299" t="s">
        <v>147</v>
      </c>
      <c r="D54" s="252"/>
      <c r="E54" s="253"/>
      <c r="F54" s="10"/>
      <c r="G54" s="413"/>
      <c r="H54" s="11"/>
      <c r="I54" s="260"/>
      <c r="J54" s="261"/>
      <c r="K54" s="261"/>
      <c r="L54" s="262"/>
      <c r="M54" s="260"/>
      <c r="N54" s="261"/>
      <c r="O54" s="261"/>
      <c r="P54" s="262"/>
      <c r="Q54" s="260"/>
      <c r="R54" s="261"/>
      <c r="S54" s="261"/>
      <c r="T54" s="262"/>
      <c r="U54" s="260"/>
      <c r="V54" s="261"/>
      <c r="W54" s="261"/>
      <c r="X54" s="262"/>
      <c r="Y54" s="260"/>
      <c r="Z54" s="261"/>
      <c r="AA54" s="261"/>
      <c r="AB54" s="262"/>
      <c r="AC54" s="260"/>
      <c r="AD54" s="261"/>
      <c r="AE54" s="238"/>
      <c r="AF54" s="262"/>
      <c r="AG54" s="260"/>
      <c r="AH54" s="261"/>
      <c r="AI54" s="261"/>
      <c r="AJ54" s="262"/>
      <c r="AK54" s="260"/>
      <c r="AL54" s="261"/>
      <c r="AM54" s="261"/>
      <c r="AN54" s="262"/>
      <c r="AO54" s="260"/>
      <c r="AP54" s="261"/>
      <c r="AQ54" s="261"/>
      <c r="AR54" s="262"/>
      <c r="AS54" s="260"/>
      <c r="AT54" s="261"/>
      <c r="AU54" s="261"/>
      <c r="AV54" s="262"/>
      <c r="AW54" s="260"/>
      <c r="AX54" s="261"/>
      <c r="AY54" s="261"/>
      <c r="AZ54" s="262"/>
      <c r="BA54" s="260"/>
      <c r="BB54" s="261"/>
      <c r="BC54" s="261"/>
      <c r="BD54" s="262"/>
      <c r="BE54" s="260"/>
      <c r="BF54" s="261"/>
      <c r="BG54" s="261"/>
      <c r="BH54" s="262"/>
      <c r="BI54" s="260"/>
      <c r="BJ54" s="261"/>
      <c r="BK54" s="261"/>
      <c r="BL54" s="262"/>
      <c r="BM54" s="260"/>
      <c r="BN54" s="261"/>
      <c r="BO54" s="261"/>
      <c r="BP54" s="262"/>
      <c r="BQ54" s="260"/>
      <c r="BR54" s="261"/>
      <c r="BS54" s="261"/>
      <c r="BT54" s="262"/>
      <c r="BU54" s="260"/>
      <c r="BV54" s="261"/>
      <c r="BW54" s="261"/>
      <c r="BX54" s="262"/>
      <c r="BY54" s="260"/>
      <c r="BZ54" s="261"/>
      <c r="CA54" s="261"/>
      <c r="CB54" s="262"/>
      <c r="CC54" s="260"/>
      <c r="CD54" s="261"/>
      <c r="CE54" s="261"/>
      <c r="CF54" s="262"/>
      <c r="CG54" s="260"/>
      <c r="CH54" s="261"/>
      <c r="CI54" s="261"/>
      <c r="CJ54" s="262"/>
      <c r="CK54" s="260"/>
      <c r="CL54" s="261"/>
      <c r="CM54" s="261"/>
      <c r="CN54" s="262"/>
      <c r="CO54" s="260"/>
      <c r="CP54" s="261"/>
      <c r="CQ54" s="261"/>
      <c r="CR54" s="262"/>
      <c r="CS54" s="260"/>
      <c r="CT54" s="261"/>
      <c r="CU54" s="261"/>
      <c r="CV54" s="262"/>
      <c r="CW54" s="260"/>
      <c r="CX54" s="261"/>
      <c r="CY54" s="261"/>
      <c r="CZ54" s="262"/>
      <c r="DA54" s="260"/>
      <c r="DB54" s="261"/>
      <c r="DC54" s="261"/>
      <c r="DD54" s="262"/>
      <c r="DE54" s="260"/>
      <c r="DF54" s="261"/>
      <c r="DG54" s="261"/>
      <c r="DH54" s="262"/>
      <c r="DI54" s="260"/>
      <c r="DJ54" s="261"/>
      <c r="DK54" s="261"/>
      <c r="DL54" s="262"/>
      <c r="DM54" s="260"/>
      <c r="DN54" s="261"/>
      <c r="DO54" s="261"/>
      <c r="DP54" s="262"/>
      <c r="DQ54" s="260"/>
      <c r="DR54" s="261"/>
      <c r="DS54" s="261"/>
      <c r="DT54" s="262"/>
      <c r="DU54" s="260"/>
      <c r="DV54" s="261"/>
      <c r="DW54" s="261"/>
      <c r="DX54" s="262"/>
      <c r="DY54" s="260"/>
      <c r="DZ54" s="261"/>
      <c r="EA54" s="261"/>
      <c r="EB54" s="262"/>
      <c r="EC54" s="260"/>
      <c r="ED54" s="261"/>
      <c r="EE54" s="261"/>
      <c r="EF54" s="262"/>
      <c r="EG54" s="260"/>
      <c r="EH54" s="261"/>
      <c r="EI54" s="261"/>
      <c r="EJ54" s="262"/>
      <c r="EK54" s="260"/>
      <c r="EL54" s="261"/>
      <c r="EM54" s="261"/>
      <c r="EN54" s="262"/>
      <c r="EO54" s="260"/>
      <c r="EP54" s="261"/>
      <c r="EQ54" s="261"/>
      <c r="ER54" s="262"/>
      <c r="ES54" s="260"/>
      <c r="ET54" s="261"/>
      <c r="EU54" s="261"/>
      <c r="EV54" s="262"/>
      <c r="EW54" s="263"/>
      <c r="EX54" s="247"/>
      <c r="EY54" s="247"/>
      <c r="EZ54" s="247"/>
      <c r="FA54" s="247"/>
    </row>
    <row r="55" spans="2:157" s="264" customFormat="1" ht="29.25" customHeight="1">
      <c r="B55" s="257"/>
      <c r="C55" s="14" t="s">
        <v>26</v>
      </c>
      <c r="D55" s="307" t="s">
        <v>149</v>
      </c>
      <c r="E55" s="308">
        <v>2</v>
      </c>
      <c r="F55" s="265"/>
      <c r="G55" s="417"/>
      <c r="H55" s="267"/>
      <c r="I55" s="260"/>
      <c r="J55" s="261"/>
      <c r="K55" s="261"/>
      <c r="L55" s="262"/>
      <c r="M55" s="260"/>
      <c r="N55" s="261"/>
      <c r="O55" s="261"/>
      <c r="P55" s="262"/>
      <c r="Q55" s="260"/>
      <c r="R55" s="261"/>
      <c r="S55" s="261"/>
      <c r="T55" s="262"/>
      <c r="U55" s="333"/>
      <c r="V55" s="432"/>
      <c r="W55" s="432"/>
      <c r="X55" s="433"/>
      <c r="Y55" s="333"/>
      <c r="Z55" s="432"/>
      <c r="AA55" s="432"/>
      <c r="AB55" s="433"/>
      <c r="AC55" s="333"/>
      <c r="AD55" s="432"/>
      <c r="AE55" s="432"/>
      <c r="AF55" s="433"/>
      <c r="AG55" s="333">
        <f>+E55</f>
        <v>2</v>
      </c>
      <c r="AH55" s="432">
        <f>+E55</f>
        <v>2</v>
      </c>
      <c r="AI55" s="432">
        <f>+E55</f>
        <v>2</v>
      </c>
      <c r="AJ55" s="433">
        <f>+E55</f>
        <v>2</v>
      </c>
      <c r="AK55" s="333">
        <f>+E55</f>
        <v>2</v>
      </c>
      <c r="AL55" s="432">
        <f>+E55</f>
        <v>2</v>
      </c>
      <c r="AM55" s="432">
        <f>+E55</f>
        <v>2</v>
      </c>
      <c r="AN55" s="433">
        <f>+E55</f>
        <v>2</v>
      </c>
      <c r="AO55" s="333">
        <f>+E55</f>
        <v>2</v>
      </c>
      <c r="AP55" s="432">
        <f>+E55</f>
        <v>2</v>
      </c>
      <c r="AQ55" s="432">
        <f>+E55</f>
        <v>2</v>
      </c>
      <c r="AR55" s="433">
        <f>+E55</f>
        <v>2</v>
      </c>
      <c r="AS55" s="333">
        <f>+E55</f>
        <v>2</v>
      </c>
      <c r="AT55" s="432">
        <f>+E55</f>
        <v>2</v>
      </c>
      <c r="AU55" s="432">
        <f>+E55</f>
        <v>2</v>
      </c>
      <c r="AV55" s="433">
        <f>+E55</f>
        <v>2</v>
      </c>
      <c r="AW55" s="333">
        <f>+E55</f>
        <v>2</v>
      </c>
      <c r="AX55" s="432">
        <f>+E55</f>
        <v>2</v>
      </c>
      <c r="AY55" s="432">
        <f>+E55</f>
        <v>2</v>
      </c>
      <c r="AZ55" s="433">
        <f>+E55</f>
        <v>2</v>
      </c>
      <c r="BA55" s="333">
        <f>+E55</f>
        <v>2</v>
      </c>
      <c r="BB55" s="432">
        <f>+E55</f>
        <v>2</v>
      </c>
      <c r="BC55" s="432">
        <f>+E55</f>
        <v>2</v>
      </c>
      <c r="BD55" s="433">
        <f>+E55</f>
        <v>2</v>
      </c>
      <c r="BE55" s="333">
        <f>+E55</f>
        <v>2</v>
      </c>
      <c r="BF55" s="432">
        <f>+E55</f>
        <v>2</v>
      </c>
      <c r="BG55" s="432">
        <f>+E55</f>
        <v>2</v>
      </c>
      <c r="BH55" s="433">
        <f>+E55</f>
        <v>2</v>
      </c>
      <c r="BI55" s="333">
        <f>+E55</f>
        <v>2</v>
      </c>
      <c r="BJ55" s="432">
        <f>+E55</f>
        <v>2</v>
      </c>
      <c r="BK55" s="432">
        <f>+E55</f>
        <v>2</v>
      </c>
      <c r="BL55" s="433">
        <f>+E55</f>
        <v>2</v>
      </c>
      <c r="BM55" s="333">
        <f>+E55</f>
        <v>2</v>
      </c>
      <c r="BN55" s="432">
        <f>+E55</f>
        <v>2</v>
      </c>
      <c r="BO55" s="432">
        <f>+E55</f>
        <v>2</v>
      </c>
      <c r="BP55" s="433">
        <f>+E55</f>
        <v>2</v>
      </c>
      <c r="BQ55" s="333">
        <f t="shared" ref="BQ55:BQ57" si="455">+AK55</f>
        <v>2</v>
      </c>
      <c r="BR55" s="432">
        <f t="shared" ref="BR55:BR57" si="456">+AK55</f>
        <v>2</v>
      </c>
      <c r="BS55" s="432">
        <f t="shared" ref="BS55:BS57" si="457">+AK55</f>
        <v>2</v>
      </c>
      <c r="BT55" s="433">
        <f t="shared" ref="BT55:BT57" si="458">+AK55</f>
        <v>2</v>
      </c>
      <c r="BU55" s="333">
        <f t="shared" ref="BU55:BU57" si="459">+AO55</f>
        <v>2</v>
      </c>
      <c r="BV55" s="432">
        <f t="shared" ref="BV55:BV57" si="460">+AO55</f>
        <v>2</v>
      </c>
      <c r="BW55" s="432">
        <f t="shared" ref="BW55:BW57" si="461">+AO55</f>
        <v>2</v>
      </c>
      <c r="BX55" s="433">
        <f t="shared" ref="BX55:BX57" si="462">+AO55</f>
        <v>2</v>
      </c>
      <c r="BY55" s="333">
        <f t="shared" ref="BY55:BY57" si="463">+AS55</f>
        <v>2</v>
      </c>
      <c r="BZ55" s="432">
        <f t="shared" ref="BZ55:BZ57" si="464">+AS55</f>
        <v>2</v>
      </c>
      <c r="CA55" s="432">
        <f t="shared" ref="CA55:CA57" si="465">+AS55</f>
        <v>2</v>
      </c>
      <c r="CB55" s="433">
        <f t="shared" ref="CB55:CB57" si="466">+AS55</f>
        <v>2</v>
      </c>
      <c r="CC55" s="333">
        <f t="shared" ref="CC55:CC57" si="467">+AW55</f>
        <v>2</v>
      </c>
      <c r="CD55" s="432">
        <f t="shared" ref="CD55:CD57" si="468">+AW55</f>
        <v>2</v>
      </c>
      <c r="CE55" s="432">
        <f t="shared" ref="CE55:CE57" si="469">+AW55</f>
        <v>2</v>
      </c>
      <c r="CF55" s="433">
        <f t="shared" ref="CF55:CF57" si="470">+AW55</f>
        <v>2</v>
      </c>
      <c r="CG55" s="333">
        <f t="shared" ref="CG55:CG57" si="471">+BA55</f>
        <v>2</v>
      </c>
      <c r="CH55" s="432">
        <f t="shared" ref="CH55:CH57" si="472">+BA55</f>
        <v>2</v>
      </c>
      <c r="CI55" s="432">
        <f t="shared" ref="CI55:CI57" si="473">+BA55</f>
        <v>2</v>
      </c>
      <c r="CJ55" s="433">
        <f t="shared" ref="CJ55:CJ57" si="474">+BA55</f>
        <v>2</v>
      </c>
      <c r="CK55" s="333">
        <f t="shared" ref="CK55:CK57" si="475">+BE55</f>
        <v>2</v>
      </c>
      <c r="CL55" s="432">
        <f t="shared" ref="CL55:CL57" si="476">+BE55</f>
        <v>2</v>
      </c>
      <c r="CM55" s="432">
        <f t="shared" ref="CM55:CM57" si="477">+BE55</f>
        <v>2</v>
      </c>
      <c r="CN55" s="433">
        <f t="shared" ref="CN55:CN57" si="478">+BE55</f>
        <v>2</v>
      </c>
      <c r="CO55" s="333">
        <f t="shared" ref="CO55:CO57" si="479">+BI55</f>
        <v>2</v>
      </c>
      <c r="CP55" s="432">
        <f t="shared" ref="CP55:CP57" si="480">+BI55</f>
        <v>2</v>
      </c>
      <c r="CQ55" s="432">
        <f t="shared" ref="CQ55:CQ57" si="481">+BI55</f>
        <v>2</v>
      </c>
      <c r="CR55" s="433">
        <f t="shared" ref="CR55:CR57" si="482">+BI55</f>
        <v>2</v>
      </c>
      <c r="CS55" s="333">
        <f t="shared" ref="CS55:CS57" si="483">+BM55</f>
        <v>2</v>
      </c>
      <c r="CT55" s="432">
        <f t="shared" ref="CT55:CT57" si="484">+BM55</f>
        <v>2</v>
      </c>
      <c r="CU55" s="432">
        <f t="shared" ref="CU55:CU57" si="485">+BM55</f>
        <v>2</v>
      </c>
      <c r="CV55" s="433">
        <f t="shared" ref="CV55:CV57" si="486">+BM55</f>
        <v>2</v>
      </c>
      <c r="CW55" s="333">
        <f t="shared" ref="CW55:CW57" si="487">+BQ55</f>
        <v>2</v>
      </c>
      <c r="CX55" s="432">
        <f t="shared" ref="CX55:CX57" si="488">+BQ55</f>
        <v>2</v>
      </c>
      <c r="CY55" s="432">
        <f t="shared" ref="CY55:CY57" si="489">+BQ55</f>
        <v>2</v>
      </c>
      <c r="CZ55" s="433">
        <f t="shared" ref="CZ55:CZ57" si="490">+BQ55</f>
        <v>2</v>
      </c>
      <c r="DA55" s="333">
        <f t="shared" ref="DA55:DA57" si="491">+BU55</f>
        <v>2</v>
      </c>
      <c r="DB55" s="432">
        <f t="shared" ref="DB55:DB57" si="492">+BU55</f>
        <v>2</v>
      </c>
      <c r="DC55" s="432">
        <f t="shared" ref="DC55:DC57" si="493">+BU55</f>
        <v>2</v>
      </c>
      <c r="DD55" s="433">
        <f t="shared" ref="DD55:DD57" si="494">+BU55</f>
        <v>2</v>
      </c>
      <c r="DE55" s="333">
        <f t="shared" ref="DE55:DE57" si="495">+BY55</f>
        <v>2</v>
      </c>
      <c r="DF55" s="432">
        <f t="shared" ref="DF55:DF57" si="496">+BY55</f>
        <v>2</v>
      </c>
      <c r="DG55" s="432">
        <f t="shared" ref="DG55:DG57" si="497">+BY55</f>
        <v>2</v>
      </c>
      <c r="DH55" s="433">
        <f t="shared" ref="DH55:DH57" si="498">+BY55</f>
        <v>2</v>
      </c>
      <c r="DI55" s="333">
        <f t="shared" ref="DI55:DI57" si="499">+CC55</f>
        <v>2</v>
      </c>
      <c r="DJ55" s="432">
        <f t="shared" ref="DJ55:DJ57" si="500">+CC55</f>
        <v>2</v>
      </c>
      <c r="DK55" s="432">
        <f t="shared" ref="DK55:DK57" si="501">+CC55</f>
        <v>2</v>
      </c>
      <c r="DL55" s="433">
        <f t="shared" ref="DL55:DL57" si="502">+CC55</f>
        <v>2</v>
      </c>
      <c r="DM55" s="333">
        <f t="shared" ref="DM55:DM57" si="503">+CG55</f>
        <v>2</v>
      </c>
      <c r="DN55" s="432">
        <f t="shared" ref="DN55:DN57" si="504">+CG55</f>
        <v>2</v>
      </c>
      <c r="DO55" s="432">
        <f t="shared" ref="DO55:DO57" si="505">+CG55</f>
        <v>2</v>
      </c>
      <c r="DP55" s="433">
        <f t="shared" ref="DP55:DP57" si="506">+CG55</f>
        <v>2</v>
      </c>
      <c r="DQ55" s="333">
        <f t="shared" ref="DQ55:DQ57" si="507">+CK55</f>
        <v>2</v>
      </c>
      <c r="DR55" s="432">
        <f t="shared" ref="DR55:DR57" si="508">+CK55</f>
        <v>2</v>
      </c>
      <c r="DS55" s="432">
        <f t="shared" ref="DS55:DS57" si="509">+CK55</f>
        <v>2</v>
      </c>
      <c r="DT55" s="433">
        <f t="shared" ref="DT55:DT57" si="510">+CK55</f>
        <v>2</v>
      </c>
      <c r="DU55" s="333">
        <f t="shared" ref="DU55:DU57" si="511">+CO55</f>
        <v>2</v>
      </c>
      <c r="DV55" s="432">
        <f t="shared" ref="DV55:DV57" si="512">+CO55</f>
        <v>2</v>
      </c>
      <c r="DW55" s="432">
        <f t="shared" ref="DW55:DW57" si="513">+CO55</f>
        <v>2</v>
      </c>
      <c r="DX55" s="433">
        <f t="shared" ref="DX55:DX57" si="514">+CO55</f>
        <v>2</v>
      </c>
      <c r="DY55" s="333">
        <f t="shared" ref="DY55:DY57" si="515">+CS55</f>
        <v>2</v>
      </c>
      <c r="DZ55" s="432">
        <f t="shared" ref="DZ55:DZ57" si="516">+CS55</f>
        <v>2</v>
      </c>
      <c r="EA55" s="432">
        <f t="shared" ref="EA55:EA57" si="517">+CS55</f>
        <v>2</v>
      </c>
      <c r="EB55" s="433">
        <f t="shared" ref="EB55:EB57" si="518">+CS55</f>
        <v>2</v>
      </c>
      <c r="EC55" s="333">
        <f t="shared" ref="EC55:EC57" si="519">+CW55</f>
        <v>2</v>
      </c>
      <c r="ED55" s="432">
        <f t="shared" ref="ED55:ED57" si="520">+CW55</f>
        <v>2</v>
      </c>
      <c r="EE55" s="432">
        <f t="shared" ref="EE55:EE57" si="521">+CW55</f>
        <v>2</v>
      </c>
      <c r="EF55" s="433">
        <f t="shared" ref="EF55:EF57" si="522">+CW55</f>
        <v>2</v>
      </c>
      <c r="EG55" s="333">
        <f t="shared" ref="EG55:EG57" si="523">+DA55</f>
        <v>2</v>
      </c>
      <c r="EH55" s="432">
        <f t="shared" ref="EH55:EH57" si="524">+DA55</f>
        <v>2</v>
      </c>
      <c r="EI55" s="432">
        <f t="shared" ref="EI55:EI57" si="525">+DA55</f>
        <v>2</v>
      </c>
      <c r="EJ55" s="433">
        <f t="shared" ref="EJ55:EJ57" si="526">+DA55</f>
        <v>2</v>
      </c>
      <c r="EK55" s="333">
        <f t="shared" ref="EK55:EK57" si="527">+DE55</f>
        <v>2</v>
      </c>
      <c r="EL55" s="432">
        <f t="shared" ref="EL55:EL57" si="528">+DE55</f>
        <v>2</v>
      </c>
      <c r="EM55" s="432">
        <f t="shared" ref="EM55:EM57" si="529">+DE55</f>
        <v>2</v>
      </c>
      <c r="EN55" s="433">
        <f t="shared" ref="EN55:EN57" si="530">+DE55</f>
        <v>2</v>
      </c>
      <c r="EO55" s="333">
        <f t="shared" ref="EO55:EO57" si="531">+DI55</f>
        <v>2</v>
      </c>
      <c r="EP55" s="432">
        <f t="shared" ref="EP55:EP57" si="532">+DI55</f>
        <v>2</v>
      </c>
      <c r="EQ55" s="432">
        <f t="shared" ref="EQ55:EQ57" si="533">+DI55</f>
        <v>2</v>
      </c>
      <c r="ER55" s="433">
        <f t="shared" ref="ER55:ER57" si="534">+DI55</f>
        <v>2</v>
      </c>
      <c r="ES55" s="333">
        <f t="shared" ref="ES55:ES57" si="535">+DM55</f>
        <v>2</v>
      </c>
      <c r="ET55" s="432">
        <f t="shared" ref="ET55:ET57" si="536">+DM55</f>
        <v>2</v>
      </c>
      <c r="EU55" s="432">
        <f t="shared" ref="EU55:EU57" si="537">+DM55</f>
        <v>2</v>
      </c>
      <c r="EV55" s="433">
        <f t="shared" ref="EV55:EV57" si="538">+DM55</f>
        <v>2</v>
      </c>
      <c r="EW55" s="263">
        <f>SUM(I55:DD55)/4</f>
        <v>38</v>
      </c>
      <c r="EX55" s="263">
        <v>16</v>
      </c>
      <c r="EY55" s="263">
        <f t="shared" ref="EY55:EY57" si="539">24-EX55</f>
        <v>8</v>
      </c>
      <c r="EZ55" s="263">
        <f t="shared" ref="EZ55:EZ57" si="540">+EW55*EX55*28</f>
        <v>17024</v>
      </c>
      <c r="FA55" s="263">
        <f t="shared" ref="FA55:FA57" si="541">+EW55*EY55*30</f>
        <v>9120</v>
      </c>
    </row>
    <row r="56" spans="2:157" s="264" customFormat="1" ht="29.25" customHeight="1">
      <c r="B56" s="257"/>
      <c r="C56" s="14" t="s">
        <v>27</v>
      </c>
      <c r="D56" s="307" t="s">
        <v>149</v>
      </c>
      <c r="E56" s="308">
        <v>2</v>
      </c>
      <c r="F56" s="258"/>
      <c r="G56" s="415"/>
      <c r="H56" s="259"/>
      <c r="I56" s="260"/>
      <c r="J56" s="261"/>
      <c r="K56" s="261"/>
      <c r="L56" s="262"/>
      <c r="M56" s="260"/>
      <c r="N56" s="261"/>
      <c r="O56" s="261"/>
      <c r="P56" s="262"/>
      <c r="Q56" s="260"/>
      <c r="R56" s="261"/>
      <c r="S56" s="261"/>
      <c r="T56" s="262"/>
      <c r="U56" s="333"/>
      <c r="V56" s="432"/>
      <c r="W56" s="432"/>
      <c r="X56" s="433"/>
      <c r="Y56" s="333"/>
      <c r="Z56" s="432"/>
      <c r="AA56" s="432"/>
      <c r="AB56" s="433"/>
      <c r="AC56" s="333"/>
      <c r="AD56" s="432"/>
      <c r="AE56" s="432"/>
      <c r="AF56" s="433"/>
      <c r="AG56" s="333">
        <f t="shared" ref="AG56:AG57" si="542">+E56</f>
        <v>2</v>
      </c>
      <c r="AH56" s="432">
        <f t="shared" ref="AH56:AH57" si="543">+E56</f>
        <v>2</v>
      </c>
      <c r="AI56" s="432">
        <f t="shared" ref="AI56:AI57" si="544">+E56</f>
        <v>2</v>
      </c>
      <c r="AJ56" s="433">
        <f t="shared" ref="AJ56:AJ57" si="545">+E56</f>
        <v>2</v>
      </c>
      <c r="AK56" s="333">
        <f t="shared" ref="AK56:AK73" si="546">+E56</f>
        <v>2</v>
      </c>
      <c r="AL56" s="432">
        <f t="shared" ref="AL56:AL73" si="547">+E56</f>
        <v>2</v>
      </c>
      <c r="AM56" s="432">
        <f t="shared" ref="AM56:AM73" si="548">+E56</f>
        <v>2</v>
      </c>
      <c r="AN56" s="433">
        <f t="shared" ref="AN56:AN73" si="549">+E56</f>
        <v>2</v>
      </c>
      <c r="AO56" s="333">
        <f t="shared" ref="AO56:AO57" si="550">+E56</f>
        <v>2</v>
      </c>
      <c r="AP56" s="432">
        <f t="shared" ref="AP56:AP57" si="551">+E56</f>
        <v>2</v>
      </c>
      <c r="AQ56" s="432">
        <f t="shared" ref="AQ56:AQ57" si="552">+E56</f>
        <v>2</v>
      </c>
      <c r="AR56" s="433">
        <f t="shared" ref="AR56:AR57" si="553">+E56</f>
        <v>2</v>
      </c>
      <c r="AS56" s="333">
        <f t="shared" ref="AS56:AS57" si="554">+E56</f>
        <v>2</v>
      </c>
      <c r="AT56" s="432">
        <f t="shared" ref="AT56:AT57" si="555">+E56</f>
        <v>2</v>
      </c>
      <c r="AU56" s="432">
        <f t="shared" ref="AU56:AU57" si="556">+E56</f>
        <v>2</v>
      </c>
      <c r="AV56" s="433">
        <f t="shared" ref="AV56:AV57" si="557">+E56</f>
        <v>2</v>
      </c>
      <c r="AW56" s="333">
        <f t="shared" ref="AW56:AW57" si="558">+E56</f>
        <v>2</v>
      </c>
      <c r="AX56" s="432">
        <f t="shared" ref="AX56:AX57" si="559">+E56</f>
        <v>2</v>
      </c>
      <c r="AY56" s="432">
        <f t="shared" ref="AY56:AY57" si="560">+E56</f>
        <v>2</v>
      </c>
      <c r="AZ56" s="433">
        <f t="shared" ref="AZ56:AZ57" si="561">+E56</f>
        <v>2</v>
      </c>
      <c r="BA56" s="333">
        <f t="shared" ref="BA56:BA57" si="562">+E56</f>
        <v>2</v>
      </c>
      <c r="BB56" s="432">
        <f t="shared" ref="BB56:BB57" si="563">+E56</f>
        <v>2</v>
      </c>
      <c r="BC56" s="432">
        <f t="shared" ref="BC56:BC57" si="564">+E56</f>
        <v>2</v>
      </c>
      <c r="BD56" s="433">
        <f t="shared" ref="BD56:BD57" si="565">+E56</f>
        <v>2</v>
      </c>
      <c r="BE56" s="333">
        <f t="shared" ref="BE56:BE57" si="566">+E56</f>
        <v>2</v>
      </c>
      <c r="BF56" s="432">
        <f t="shared" ref="BF56:BF57" si="567">+E56</f>
        <v>2</v>
      </c>
      <c r="BG56" s="432">
        <f t="shared" ref="BG56:BG57" si="568">+E56</f>
        <v>2</v>
      </c>
      <c r="BH56" s="433">
        <f t="shared" ref="BH56:BH57" si="569">+E56</f>
        <v>2</v>
      </c>
      <c r="BI56" s="333">
        <f t="shared" ref="BI56:BI57" si="570">+E56</f>
        <v>2</v>
      </c>
      <c r="BJ56" s="432">
        <f t="shared" ref="BJ56:BJ57" si="571">+E56</f>
        <v>2</v>
      </c>
      <c r="BK56" s="432">
        <f t="shared" ref="BK56:BK57" si="572">+E56</f>
        <v>2</v>
      </c>
      <c r="BL56" s="433">
        <f t="shared" ref="BL56:BL57" si="573">+E56</f>
        <v>2</v>
      </c>
      <c r="BM56" s="333">
        <f t="shared" ref="BM56:BM57" si="574">+E56</f>
        <v>2</v>
      </c>
      <c r="BN56" s="432">
        <f t="shared" ref="BN56:BN57" si="575">+E56</f>
        <v>2</v>
      </c>
      <c r="BO56" s="432">
        <f t="shared" ref="BO56:BO57" si="576">+E56</f>
        <v>2</v>
      </c>
      <c r="BP56" s="433">
        <f t="shared" ref="BP56:BP57" si="577">+E56</f>
        <v>2</v>
      </c>
      <c r="BQ56" s="333">
        <f t="shared" si="455"/>
        <v>2</v>
      </c>
      <c r="BR56" s="432">
        <f t="shared" si="456"/>
        <v>2</v>
      </c>
      <c r="BS56" s="432">
        <f t="shared" si="457"/>
        <v>2</v>
      </c>
      <c r="BT56" s="433">
        <f t="shared" si="458"/>
        <v>2</v>
      </c>
      <c r="BU56" s="333">
        <f t="shared" si="459"/>
        <v>2</v>
      </c>
      <c r="BV56" s="432">
        <f t="shared" si="460"/>
        <v>2</v>
      </c>
      <c r="BW56" s="432">
        <f t="shared" si="461"/>
        <v>2</v>
      </c>
      <c r="BX56" s="433">
        <f t="shared" si="462"/>
        <v>2</v>
      </c>
      <c r="BY56" s="333">
        <f t="shared" si="463"/>
        <v>2</v>
      </c>
      <c r="BZ56" s="432">
        <f t="shared" si="464"/>
        <v>2</v>
      </c>
      <c r="CA56" s="432">
        <f t="shared" si="465"/>
        <v>2</v>
      </c>
      <c r="CB56" s="433">
        <f t="shared" si="466"/>
        <v>2</v>
      </c>
      <c r="CC56" s="333">
        <f t="shared" si="467"/>
        <v>2</v>
      </c>
      <c r="CD56" s="432">
        <f t="shared" si="468"/>
        <v>2</v>
      </c>
      <c r="CE56" s="432">
        <f t="shared" si="469"/>
        <v>2</v>
      </c>
      <c r="CF56" s="433">
        <f t="shared" si="470"/>
        <v>2</v>
      </c>
      <c r="CG56" s="333">
        <f t="shared" si="471"/>
        <v>2</v>
      </c>
      <c r="CH56" s="432">
        <f t="shared" si="472"/>
        <v>2</v>
      </c>
      <c r="CI56" s="432">
        <f t="shared" si="473"/>
        <v>2</v>
      </c>
      <c r="CJ56" s="433">
        <f t="shared" si="474"/>
        <v>2</v>
      </c>
      <c r="CK56" s="333">
        <f t="shared" si="475"/>
        <v>2</v>
      </c>
      <c r="CL56" s="432">
        <f t="shared" si="476"/>
        <v>2</v>
      </c>
      <c r="CM56" s="432">
        <f t="shared" si="477"/>
        <v>2</v>
      </c>
      <c r="CN56" s="433">
        <f t="shared" si="478"/>
        <v>2</v>
      </c>
      <c r="CO56" s="333">
        <f t="shared" si="479"/>
        <v>2</v>
      </c>
      <c r="CP56" s="432">
        <f t="shared" si="480"/>
        <v>2</v>
      </c>
      <c r="CQ56" s="432">
        <f t="shared" si="481"/>
        <v>2</v>
      </c>
      <c r="CR56" s="433">
        <f t="shared" si="482"/>
        <v>2</v>
      </c>
      <c r="CS56" s="333">
        <f t="shared" si="483"/>
        <v>2</v>
      </c>
      <c r="CT56" s="432">
        <f t="shared" si="484"/>
        <v>2</v>
      </c>
      <c r="CU56" s="432">
        <f t="shared" si="485"/>
        <v>2</v>
      </c>
      <c r="CV56" s="433">
        <f t="shared" si="486"/>
        <v>2</v>
      </c>
      <c r="CW56" s="333">
        <f t="shared" si="487"/>
        <v>2</v>
      </c>
      <c r="CX56" s="432">
        <f t="shared" si="488"/>
        <v>2</v>
      </c>
      <c r="CY56" s="432">
        <f t="shared" si="489"/>
        <v>2</v>
      </c>
      <c r="CZ56" s="433">
        <f t="shared" si="490"/>
        <v>2</v>
      </c>
      <c r="DA56" s="333">
        <f t="shared" si="491"/>
        <v>2</v>
      </c>
      <c r="DB56" s="432">
        <f t="shared" si="492"/>
        <v>2</v>
      </c>
      <c r="DC56" s="432">
        <f t="shared" si="493"/>
        <v>2</v>
      </c>
      <c r="DD56" s="433">
        <f t="shared" si="494"/>
        <v>2</v>
      </c>
      <c r="DE56" s="333">
        <f t="shared" si="495"/>
        <v>2</v>
      </c>
      <c r="DF56" s="432">
        <f t="shared" si="496"/>
        <v>2</v>
      </c>
      <c r="DG56" s="432">
        <f t="shared" si="497"/>
        <v>2</v>
      </c>
      <c r="DH56" s="433">
        <f t="shared" si="498"/>
        <v>2</v>
      </c>
      <c r="DI56" s="333">
        <f t="shared" si="499"/>
        <v>2</v>
      </c>
      <c r="DJ56" s="432">
        <f t="shared" si="500"/>
        <v>2</v>
      </c>
      <c r="DK56" s="432">
        <f t="shared" si="501"/>
        <v>2</v>
      </c>
      <c r="DL56" s="433">
        <f t="shared" si="502"/>
        <v>2</v>
      </c>
      <c r="DM56" s="333">
        <f t="shared" si="503"/>
        <v>2</v>
      </c>
      <c r="DN56" s="432">
        <f t="shared" si="504"/>
        <v>2</v>
      </c>
      <c r="DO56" s="432">
        <f t="shared" si="505"/>
        <v>2</v>
      </c>
      <c r="DP56" s="433">
        <f t="shared" si="506"/>
        <v>2</v>
      </c>
      <c r="DQ56" s="333">
        <f t="shared" si="507"/>
        <v>2</v>
      </c>
      <c r="DR56" s="432">
        <f t="shared" si="508"/>
        <v>2</v>
      </c>
      <c r="DS56" s="432">
        <f t="shared" si="509"/>
        <v>2</v>
      </c>
      <c r="DT56" s="433">
        <f t="shared" si="510"/>
        <v>2</v>
      </c>
      <c r="DU56" s="333">
        <f t="shared" si="511"/>
        <v>2</v>
      </c>
      <c r="DV56" s="432">
        <f t="shared" si="512"/>
        <v>2</v>
      </c>
      <c r="DW56" s="432">
        <f t="shared" si="513"/>
        <v>2</v>
      </c>
      <c r="DX56" s="433">
        <f t="shared" si="514"/>
        <v>2</v>
      </c>
      <c r="DY56" s="333">
        <f t="shared" si="515"/>
        <v>2</v>
      </c>
      <c r="DZ56" s="432">
        <f t="shared" si="516"/>
        <v>2</v>
      </c>
      <c r="EA56" s="432">
        <f t="shared" si="517"/>
        <v>2</v>
      </c>
      <c r="EB56" s="433">
        <f t="shared" si="518"/>
        <v>2</v>
      </c>
      <c r="EC56" s="333">
        <f t="shared" si="519"/>
        <v>2</v>
      </c>
      <c r="ED56" s="432">
        <f t="shared" si="520"/>
        <v>2</v>
      </c>
      <c r="EE56" s="432">
        <f t="shared" si="521"/>
        <v>2</v>
      </c>
      <c r="EF56" s="433">
        <f t="shared" si="522"/>
        <v>2</v>
      </c>
      <c r="EG56" s="333">
        <f t="shared" si="523"/>
        <v>2</v>
      </c>
      <c r="EH56" s="432">
        <f t="shared" si="524"/>
        <v>2</v>
      </c>
      <c r="EI56" s="432">
        <f t="shared" si="525"/>
        <v>2</v>
      </c>
      <c r="EJ56" s="433">
        <f t="shared" si="526"/>
        <v>2</v>
      </c>
      <c r="EK56" s="333">
        <f t="shared" si="527"/>
        <v>2</v>
      </c>
      <c r="EL56" s="432">
        <f t="shared" si="528"/>
        <v>2</v>
      </c>
      <c r="EM56" s="432">
        <f t="shared" si="529"/>
        <v>2</v>
      </c>
      <c r="EN56" s="433">
        <f t="shared" si="530"/>
        <v>2</v>
      </c>
      <c r="EO56" s="333">
        <f t="shared" si="531"/>
        <v>2</v>
      </c>
      <c r="EP56" s="432">
        <f t="shared" si="532"/>
        <v>2</v>
      </c>
      <c r="EQ56" s="432">
        <f t="shared" si="533"/>
        <v>2</v>
      </c>
      <c r="ER56" s="433">
        <f t="shared" si="534"/>
        <v>2</v>
      </c>
      <c r="ES56" s="333">
        <f t="shared" si="535"/>
        <v>2</v>
      </c>
      <c r="ET56" s="432">
        <f t="shared" si="536"/>
        <v>2</v>
      </c>
      <c r="EU56" s="432">
        <f t="shared" si="537"/>
        <v>2</v>
      </c>
      <c r="EV56" s="433">
        <f t="shared" si="538"/>
        <v>2</v>
      </c>
      <c r="EW56" s="263">
        <f>SUM(I56:DD56)/4</f>
        <v>38</v>
      </c>
      <c r="EX56" s="263">
        <v>16</v>
      </c>
      <c r="EY56" s="263">
        <f t="shared" si="539"/>
        <v>8</v>
      </c>
      <c r="EZ56" s="263">
        <f t="shared" si="540"/>
        <v>17024</v>
      </c>
      <c r="FA56" s="263">
        <f t="shared" si="541"/>
        <v>9120</v>
      </c>
    </row>
    <row r="57" spans="2:157" s="264" customFormat="1" ht="29.25" customHeight="1">
      <c r="B57" s="257"/>
      <c r="C57" s="14" t="s">
        <v>176</v>
      </c>
      <c r="D57" s="307" t="s">
        <v>149</v>
      </c>
      <c r="E57" s="308">
        <v>2</v>
      </c>
      <c r="F57" s="235"/>
      <c r="G57" s="411"/>
      <c r="H57" s="249"/>
      <c r="I57" s="260"/>
      <c r="J57" s="261"/>
      <c r="K57" s="261"/>
      <c r="L57" s="262"/>
      <c r="M57" s="260"/>
      <c r="N57" s="261"/>
      <c r="O57" s="261"/>
      <c r="P57" s="262"/>
      <c r="Q57" s="260"/>
      <c r="R57" s="261"/>
      <c r="S57" s="261"/>
      <c r="T57" s="262"/>
      <c r="U57" s="333"/>
      <c r="V57" s="432"/>
      <c r="W57" s="432"/>
      <c r="X57" s="433"/>
      <c r="Y57" s="333"/>
      <c r="Z57" s="432"/>
      <c r="AA57" s="432"/>
      <c r="AB57" s="433"/>
      <c r="AC57" s="333"/>
      <c r="AD57" s="432"/>
      <c r="AE57" s="432"/>
      <c r="AF57" s="433"/>
      <c r="AG57" s="333">
        <f t="shared" si="542"/>
        <v>2</v>
      </c>
      <c r="AH57" s="432">
        <f t="shared" si="543"/>
        <v>2</v>
      </c>
      <c r="AI57" s="432">
        <f t="shared" si="544"/>
        <v>2</v>
      </c>
      <c r="AJ57" s="433">
        <f t="shared" si="545"/>
        <v>2</v>
      </c>
      <c r="AK57" s="333">
        <f t="shared" si="546"/>
        <v>2</v>
      </c>
      <c r="AL57" s="432">
        <f t="shared" si="547"/>
        <v>2</v>
      </c>
      <c r="AM57" s="432">
        <f t="shared" si="548"/>
        <v>2</v>
      </c>
      <c r="AN57" s="433">
        <f t="shared" si="549"/>
        <v>2</v>
      </c>
      <c r="AO57" s="333">
        <f t="shared" si="550"/>
        <v>2</v>
      </c>
      <c r="AP57" s="432">
        <f t="shared" si="551"/>
        <v>2</v>
      </c>
      <c r="AQ57" s="432">
        <f t="shared" si="552"/>
        <v>2</v>
      </c>
      <c r="AR57" s="433">
        <f t="shared" si="553"/>
        <v>2</v>
      </c>
      <c r="AS57" s="333">
        <f t="shared" si="554"/>
        <v>2</v>
      </c>
      <c r="AT57" s="432">
        <f t="shared" si="555"/>
        <v>2</v>
      </c>
      <c r="AU57" s="432">
        <f t="shared" si="556"/>
        <v>2</v>
      </c>
      <c r="AV57" s="433">
        <f t="shared" si="557"/>
        <v>2</v>
      </c>
      <c r="AW57" s="333">
        <f t="shared" si="558"/>
        <v>2</v>
      </c>
      <c r="AX57" s="432">
        <f t="shared" si="559"/>
        <v>2</v>
      </c>
      <c r="AY57" s="432">
        <f t="shared" si="560"/>
        <v>2</v>
      </c>
      <c r="AZ57" s="433">
        <f t="shared" si="561"/>
        <v>2</v>
      </c>
      <c r="BA57" s="333">
        <f t="shared" si="562"/>
        <v>2</v>
      </c>
      <c r="BB57" s="432">
        <f t="shared" si="563"/>
        <v>2</v>
      </c>
      <c r="BC57" s="432">
        <f t="shared" si="564"/>
        <v>2</v>
      </c>
      <c r="BD57" s="433">
        <f t="shared" si="565"/>
        <v>2</v>
      </c>
      <c r="BE57" s="333">
        <f t="shared" si="566"/>
        <v>2</v>
      </c>
      <c r="BF57" s="432">
        <f t="shared" si="567"/>
        <v>2</v>
      </c>
      <c r="BG57" s="432">
        <f t="shared" si="568"/>
        <v>2</v>
      </c>
      <c r="BH57" s="433">
        <f t="shared" si="569"/>
        <v>2</v>
      </c>
      <c r="BI57" s="333">
        <f t="shared" si="570"/>
        <v>2</v>
      </c>
      <c r="BJ57" s="432">
        <f t="shared" si="571"/>
        <v>2</v>
      </c>
      <c r="BK57" s="432">
        <f t="shared" si="572"/>
        <v>2</v>
      </c>
      <c r="BL57" s="433">
        <f t="shared" si="573"/>
        <v>2</v>
      </c>
      <c r="BM57" s="333">
        <f t="shared" si="574"/>
        <v>2</v>
      </c>
      <c r="BN57" s="432">
        <f t="shared" si="575"/>
        <v>2</v>
      </c>
      <c r="BO57" s="432">
        <f t="shared" si="576"/>
        <v>2</v>
      </c>
      <c r="BP57" s="433">
        <f t="shared" si="577"/>
        <v>2</v>
      </c>
      <c r="BQ57" s="333">
        <f t="shared" si="455"/>
        <v>2</v>
      </c>
      <c r="BR57" s="432">
        <f t="shared" si="456"/>
        <v>2</v>
      </c>
      <c r="BS57" s="432">
        <f t="shared" si="457"/>
        <v>2</v>
      </c>
      <c r="BT57" s="433">
        <f t="shared" si="458"/>
        <v>2</v>
      </c>
      <c r="BU57" s="333">
        <f t="shared" si="459"/>
        <v>2</v>
      </c>
      <c r="BV57" s="432">
        <f t="shared" si="460"/>
        <v>2</v>
      </c>
      <c r="BW57" s="432">
        <f t="shared" si="461"/>
        <v>2</v>
      </c>
      <c r="BX57" s="433">
        <f t="shared" si="462"/>
        <v>2</v>
      </c>
      <c r="BY57" s="333">
        <f t="shared" si="463"/>
        <v>2</v>
      </c>
      <c r="BZ57" s="432">
        <f t="shared" si="464"/>
        <v>2</v>
      </c>
      <c r="CA57" s="432">
        <f t="shared" si="465"/>
        <v>2</v>
      </c>
      <c r="CB57" s="433">
        <f t="shared" si="466"/>
        <v>2</v>
      </c>
      <c r="CC57" s="333">
        <f t="shared" si="467"/>
        <v>2</v>
      </c>
      <c r="CD57" s="432">
        <f t="shared" si="468"/>
        <v>2</v>
      </c>
      <c r="CE57" s="432">
        <f t="shared" si="469"/>
        <v>2</v>
      </c>
      <c r="CF57" s="433">
        <f t="shared" si="470"/>
        <v>2</v>
      </c>
      <c r="CG57" s="333">
        <f t="shared" si="471"/>
        <v>2</v>
      </c>
      <c r="CH57" s="432">
        <f t="shared" si="472"/>
        <v>2</v>
      </c>
      <c r="CI57" s="432">
        <f t="shared" si="473"/>
        <v>2</v>
      </c>
      <c r="CJ57" s="433">
        <f t="shared" si="474"/>
        <v>2</v>
      </c>
      <c r="CK57" s="333">
        <f t="shared" si="475"/>
        <v>2</v>
      </c>
      <c r="CL57" s="432">
        <f t="shared" si="476"/>
        <v>2</v>
      </c>
      <c r="CM57" s="432">
        <f t="shared" si="477"/>
        <v>2</v>
      </c>
      <c r="CN57" s="433">
        <f t="shared" si="478"/>
        <v>2</v>
      </c>
      <c r="CO57" s="333">
        <f t="shared" si="479"/>
        <v>2</v>
      </c>
      <c r="CP57" s="432">
        <f t="shared" si="480"/>
        <v>2</v>
      </c>
      <c r="CQ57" s="432">
        <f t="shared" si="481"/>
        <v>2</v>
      </c>
      <c r="CR57" s="433">
        <f t="shared" si="482"/>
        <v>2</v>
      </c>
      <c r="CS57" s="333">
        <f t="shared" si="483"/>
        <v>2</v>
      </c>
      <c r="CT57" s="432">
        <f t="shared" si="484"/>
        <v>2</v>
      </c>
      <c r="CU57" s="432">
        <f t="shared" si="485"/>
        <v>2</v>
      </c>
      <c r="CV57" s="433">
        <f t="shared" si="486"/>
        <v>2</v>
      </c>
      <c r="CW57" s="333">
        <f t="shared" si="487"/>
        <v>2</v>
      </c>
      <c r="CX57" s="432">
        <f t="shared" si="488"/>
        <v>2</v>
      </c>
      <c r="CY57" s="432">
        <f t="shared" si="489"/>
        <v>2</v>
      </c>
      <c r="CZ57" s="433">
        <f t="shared" si="490"/>
        <v>2</v>
      </c>
      <c r="DA57" s="333">
        <f t="shared" si="491"/>
        <v>2</v>
      </c>
      <c r="DB57" s="432">
        <f t="shared" si="492"/>
        <v>2</v>
      </c>
      <c r="DC57" s="432">
        <f t="shared" si="493"/>
        <v>2</v>
      </c>
      <c r="DD57" s="433">
        <f t="shared" si="494"/>
        <v>2</v>
      </c>
      <c r="DE57" s="333">
        <f t="shared" si="495"/>
        <v>2</v>
      </c>
      <c r="DF57" s="432">
        <f t="shared" si="496"/>
        <v>2</v>
      </c>
      <c r="DG57" s="432">
        <f t="shared" si="497"/>
        <v>2</v>
      </c>
      <c r="DH57" s="433">
        <f t="shared" si="498"/>
        <v>2</v>
      </c>
      <c r="DI57" s="333">
        <f t="shared" si="499"/>
        <v>2</v>
      </c>
      <c r="DJ57" s="432">
        <f t="shared" si="500"/>
        <v>2</v>
      </c>
      <c r="DK57" s="432">
        <f t="shared" si="501"/>
        <v>2</v>
      </c>
      <c r="DL57" s="433">
        <f t="shared" si="502"/>
        <v>2</v>
      </c>
      <c r="DM57" s="333">
        <f t="shared" si="503"/>
        <v>2</v>
      </c>
      <c r="DN57" s="432">
        <f t="shared" si="504"/>
        <v>2</v>
      </c>
      <c r="DO57" s="432">
        <f t="shared" si="505"/>
        <v>2</v>
      </c>
      <c r="DP57" s="433">
        <f t="shared" si="506"/>
        <v>2</v>
      </c>
      <c r="DQ57" s="333">
        <f t="shared" si="507"/>
        <v>2</v>
      </c>
      <c r="DR57" s="432">
        <f t="shared" si="508"/>
        <v>2</v>
      </c>
      <c r="DS57" s="432">
        <f t="shared" si="509"/>
        <v>2</v>
      </c>
      <c r="DT57" s="433">
        <f t="shared" si="510"/>
        <v>2</v>
      </c>
      <c r="DU57" s="333">
        <f t="shared" si="511"/>
        <v>2</v>
      </c>
      <c r="DV57" s="432">
        <f t="shared" si="512"/>
        <v>2</v>
      </c>
      <c r="DW57" s="432">
        <f t="shared" si="513"/>
        <v>2</v>
      </c>
      <c r="DX57" s="433">
        <f t="shared" si="514"/>
        <v>2</v>
      </c>
      <c r="DY57" s="333">
        <f t="shared" si="515"/>
        <v>2</v>
      </c>
      <c r="DZ57" s="432">
        <f t="shared" si="516"/>
        <v>2</v>
      </c>
      <c r="EA57" s="432">
        <f t="shared" si="517"/>
        <v>2</v>
      </c>
      <c r="EB57" s="433">
        <f t="shared" si="518"/>
        <v>2</v>
      </c>
      <c r="EC57" s="333">
        <f t="shared" si="519"/>
        <v>2</v>
      </c>
      <c r="ED57" s="432">
        <f t="shared" si="520"/>
        <v>2</v>
      </c>
      <c r="EE57" s="432">
        <f t="shared" si="521"/>
        <v>2</v>
      </c>
      <c r="EF57" s="433">
        <f t="shared" si="522"/>
        <v>2</v>
      </c>
      <c r="EG57" s="333">
        <f t="shared" si="523"/>
        <v>2</v>
      </c>
      <c r="EH57" s="432">
        <f t="shared" si="524"/>
        <v>2</v>
      </c>
      <c r="EI57" s="432">
        <f t="shared" si="525"/>
        <v>2</v>
      </c>
      <c r="EJ57" s="433">
        <f t="shared" si="526"/>
        <v>2</v>
      </c>
      <c r="EK57" s="333">
        <f t="shared" si="527"/>
        <v>2</v>
      </c>
      <c r="EL57" s="432">
        <f t="shared" si="528"/>
        <v>2</v>
      </c>
      <c r="EM57" s="432">
        <f t="shared" si="529"/>
        <v>2</v>
      </c>
      <c r="EN57" s="433">
        <f t="shared" si="530"/>
        <v>2</v>
      </c>
      <c r="EO57" s="333">
        <f t="shared" si="531"/>
        <v>2</v>
      </c>
      <c r="EP57" s="432">
        <f t="shared" si="532"/>
        <v>2</v>
      </c>
      <c r="EQ57" s="432">
        <f t="shared" si="533"/>
        <v>2</v>
      </c>
      <c r="ER57" s="433">
        <f t="shared" si="534"/>
        <v>2</v>
      </c>
      <c r="ES57" s="333">
        <f t="shared" si="535"/>
        <v>2</v>
      </c>
      <c r="ET57" s="432">
        <f t="shared" si="536"/>
        <v>2</v>
      </c>
      <c r="EU57" s="432">
        <f t="shared" si="537"/>
        <v>2</v>
      </c>
      <c r="EV57" s="433">
        <f t="shared" si="538"/>
        <v>2</v>
      </c>
      <c r="EW57" s="263">
        <f>SUM(I57:DD57)/4</f>
        <v>38</v>
      </c>
      <c r="EX57" s="263">
        <v>16</v>
      </c>
      <c r="EY57" s="263">
        <f t="shared" si="539"/>
        <v>8</v>
      </c>
      <c r="EZ57" s="263">
        <f t="shared" si="540"/>
        <v>17024</v>
      </c>
      <c r="FA57" s="263">
        <f t="shared" si="541"/>
        <v>9120</v>
      </c>
    </row>
    <row r="58" spans="2:157" s="264" customFormat="1" ht="29.25" customHeight="1">
      <c r="B58" s="257"/>
      <c r="C58" s="14"/>
      <c r="D58" s="307"/>
      <c r="E58" s="383"/>
      <c r="F58" s="235"/>
      <c r="G58" s="411"/>
      <c r="H58" s="249"/>
      <c r="I58" s="260"/>
      <c r="J58" s="261"/>
      <c r="K58" s="261"/>
      <c r="L58" s="262"/>
      <c r="M58" s="260"/>
      <c r="N58" s="261"/>
      <c r="O58" s="261"/>
      <c r="P58" s="262"/>
      <c r="Q58" s="260"/>
      <c r="R58" s="261"/>
      <c r="S58" s="261"/>
      <c r="T58" s="262"/>
      <c r="U58" s="260"/>
      <c r="V58" s="261"/>
      <c r="W58" s="261"/>
      <c r="X58" s="262"/>
      <c r="Y58" s="260"/>
      <c r="Z58" s="261"/>
      <c r="AA58" s="261"/>
      <c r="AB58" s="262"/>
      <c r="AC58" s="260"/>
      <c r="AD58" s="261"/>
      <c r="AE58" s="238"/>
      <c r="AF58" s="262"/>
      <c r="AG58" s="260"/>
      <c r="AH58" s="261"/>
      <c r="AI58" s="261"/>
      <c r="AJ58" s="262"/>
      <c r="AK58" s="333"/>
      <c r="AL58" s="432"/>
      <c r="AM58" s="432"/>
      <c r="AN58" s="433"/>
      <c r="AO58" s="260"/>
      <c r="AP58" s="261"/>
      <c r="AQ58" s="261"/>
      <c r="AR58" s="262"/>
      <c r="AS58" s="260"/>
      <c r="AT58" s="261"/>
      <c r="AU58" s="261"/>
      <c r="AV58" s="262"/>
      <c r="AW58" s="260"/>
      <c r="AX58" s="261"/>
      <c r="AY58" s="261"/>
      <c r="AZ58" s="262"/>
      <c r="BA58" s="260"/>
      <c r="BB58" s="261"/>
      <c r="BC58" s="261"/>
      <c r="BD58" s="262"/>
      <c r="BE58" s="260"/>
      <c r="BF58" s="261"/>
      <c r="BG58" s="261"/>
      <c r="BH58" s="262"/>
      <c r="BI58" s="260"/>
      <c r="BJ58" s="261"/>
      <c r="BK58" s="261"/>
      <c r="BL58" s="262"/>
      <c r="BM58" s="260"/>
      <c r="BN58" s="261"/>
      <c r="BO58" s="261"/>
      <c r="BP58" s="262"/>
      <c r="BQ58" s="260"/>
      <c r="BR58" s="261"/>
      <c r="BS58" s="261"/>
      <c r="BT58" s="262"/>
      <c r="BU58" s="260"/>
      <c r="BV58" s="261"/>
      <c r="BW58" s="261"/>
      <c r="BX58" s="262"/>
      <c r="BY58" s="260"/>
      <c r="BZ58" s="261"/>
      <c r="CA58" s="261"/>
      <c r="CB58" s="262"/>
      <c r="CC58" s="260"/>
      <c r="CD58" s="261"/>
      <c r="CE58" s="261"/>
      <c r="CF58" s="262"/>
      <c r="CG58" s="260"/>
      <c r="CH58" s="261"/>
      <c r="CI58" s="261"/>
      <c r="CJ58" s="262"/>
      <c r="CK58" s="260"/>
      <c r="CL58" s="261"/>
      <c r="CM58" s="261"/>
      <c r="CN58" s="262"/>
      <c r="CO58" s="260"/>
      <c r="CP58" s="261"/>
      <c r="CQ58" s="261"/>
      <c r="CR58" s="262"/>
      <c r="CS58" s="260"/>
      <c r="CT58" s="261"/>
      <c r="CU58" s="261"/>
      <c r="CV58" s="262"/>
      <c r="CW58" s="260"/>
      <c r="CX58" s="261"/>
      <c r="CY58" s="261"/>
      <c r="CZ58" s="262"/>
      <c r="DA58" s="260"/>
      <c r="DB58" s="261"/>
      <c r="DC58" s="261"/>
      <c r="DD58" s="262"/>
      <c r="DE58" s="260"/>
      <c r="DF58" s="261"/>
      <c r="DG58" s="261"/>
      <c r="DH58" s="262"/>
      <c r="DI58" s="260"/>
      <c r="DJ58" s="261"/>
      <c r="DK58" s="261"/>
      <c r="DL58" s="262"/>
      <c r="DM58" s="260"/>
      <c r="DN58" s="261"/>
      <c r="DO58" s="261"/>
      <c r="DP58" s="262"/>
      <c r="DQ58" s="260"/>
      <c r="DR58" s="261"/>
      <c r="DS58" s="261"/>
      <c r="DT58" s="262"/>
      <c r="DU58" s="260"/>
      <c r="DV58" s="261"/>
      <c r="DW58" s="261"/>
      <c r="DX58" s="262"/>
      <c r="DY58" s="260"/>
      <c r="DZ58" s="261"/>
      <c r="EA58" s="261"/>
      <c r="EB58" s="262"/>
      <c r="EC58" s="260"/>
      <c r="ED58" s="261"/>
      <c r="EE58" s="261"/>
      <c r="EF58" s="262"/>
      <c r="EG58" s="260"/>
      <c r="EH58" s="261"/>
      <c r="EI58" s="261"/>
      <c r="EJ58" s="262"/>
      <c r="EK58" s="260"/>
      <c r="EL58" s="261"/>
      <c r="EM58" s="261"/>
      <c r="EN58" s="262"/>
      <c r="EO58" s="260"/>
      <c r="EP58" s="261"/>
      <c r="EQ58" s="261"/>
      <c r="ER58" s="262"/>
      <c r="ES58" s="260"/>
      <c r="ET58" s="261"/>
      <c r="EU58" s="261"/>
      <c r="EV58" s="262"/>
      <c r="EW58" s="263"/>
      <c r="EX58" s="263"/>
      <c r="EY58" s="263"/>
      <c r="EZ58" s="263"/>
      <c r="FA58" s="263"/>
    </row>
    <row r="59" spans="2:157" s="264" customFormat="1" ht="29.25" customHeight="1">
      <c r="B59" s="257"/>
      <c r="C59" s="381" t="s">
        <v>23</v>
      </c>
      <c r="D59" s="270"/>
      <c r="E59" s="271"/>
      <c r="F59" s="258"/>
      <c r="G59" s="415"/>
      <c r="H59" s="259"/>
      <c r="I59" s="260"/>
      <c r="J59" s="261"/>
      <c r="K59" s="261"/>
      <c r="L59" s="262"/>
      <c r="M59" s="260"/>
      <c r="N59" s="261"/>
      <c r="O59" s="261"/>
      <c r="P59" s="262"/>
      <c r="Q59" s="260"/>
      <c r="R59" s="261"/>
      <c r="S59" s="261"/>
      <c r="T59" s="262"/>
      <c r="U59" s="260"/>
      <c r="V59" s="261"/>
      <c r="W59" s="261"/>
      <c r="X59" s="262"/>
      <c r="Y59" s="260"/>
      <c r="Z59" s="261"/>
      <c r="AA59" s="261"/>
      <c r="AB59" s="262"/>
      <c r="AC59" s="260"/>
      <c r="AD59" s="261"/>
      <c r="AE59" s="238"/>
      <c r="AF59" s="262"/>
      <c r="AG59" s="260"/>
      <c r="AH59" s="261"/>
      <c r="AI59" s="261"/>
      <c r="AJ59" s="262"/>
      <c r="AK59" s="333"/>
      <c r="AL59" s="432"/>
      <c r="AM59" s="432"/>
      <c r="AN59" s="433"/>
      <c r="AO59" s="260"/>
      <c r="AP59" s="261"/>
      <c r="AQ59" s="261"/>
      <c r="AR59" s="262"/>
      <c r="AS59" s="260"/>
      <c r="AT59" s="261"/>
      <c r="AU59" s="261"/>
      <c r="AV59" s="262"/>
      <c r="AW59" s="260"/>
      <c r="AX59" s="261"/>
      <c r="AY59" s="261"/>
      <c r="AZ59" s="262"/>
      <c r="BA59" s="260"/>
      <c r="BB59" s="261"/>
      <c r="BC59" s="261"/>
      <c r="BD59" s="262"/>
      <c r="BE59" s="260"/>
      <c r="BF59" s="261"/>
      <c r="BG59" s="261"/>
      <c r="BH59" s="262"/>
      <c r="BI59" s="260"/>
      <c r="BJ59" s="261"/>
      <c r="BK59" s="261"/>
      <c r="BL59" s="262"/>
      <c r="BM59" s="260"/>
      <c r="BN59" s="261"/>
      <c r="BO59" s="261"/>
      <c r="BP59" s="262"/>
      <c r="BQ59" s="260"/>
      <c r="BR59" s="261"/>
      <c r="BS59" s="261"/>
      <c r="BT59" s="262"/>
      <c r="BU59" s="260"/>
      <c r="BV59" s="261"/>
      <c r="BW59" s="261"/>
      <c r="BX59" s="262"/>
      <c r="BY59" s="260"/>
      <c r="BZ59" s="261"/>
      <c r="CA59" s="261"/>
      <c r="CB59" s="262"/>
      <c r="CC59" s="260"/>
      <c r="CD59" s="261"/>
      <c r="CE59" s="261"/>
      <c r="CF59" s="262"/>
      <c r="CG59" s="260"/>
      <c r="CH59" s="261"/>
      <c r="CI59" s="261"/>
      <c r="CJ59" s="262"/>
      <c r="CK59" s="260"/>
      <c r="CL59" s="261"/>
      <c r="CM59" s="261"/>
      <c r="CN59" s="262"/>
      <c r="CO59" s="260"/>
      <c r="CP59" s="261"/>
      <c r="CQ59" s="261"/>
      <c r="CR59" s="262"/>
      <c r="CS59" s="260"/>
      <c r="CT59" s="261"/>
      <c r="CU59" s="261"/>
      <c r="CV59" s="262"/>
      <c r="CW59" s="260"/>
      <c r="CX59" s="261"/>
      <c r="CY59" s="261"/>
      <c r="CZ59" s="262"/>
      <c r="DA59" s="260"/>
      <c r="DB59" s="261"/>
      <c r="DC59" s="261"/>
      <c r="DD59" s="262"/>
      <c r="DE59" s="260"/>
      <c r="DF59" s="261"/>
      <c r="DG59" s="261"/>
      <c r="DH59" s="262"/>
      <c r="DI59" s="260"/>
      <c r="DJ59" s="261"/>
      <c r="DK59" s="261"/>
      <c r="DL59" s="262"/>
      <c r="DM59" s="260"/>
      <c r="DN59" s="261"/>
      <c r="DO59" s="261"/>
      <c r="DP59" s="262"/>
      <c r="DQ59" s="260"/>
      <c r="DR59" s="261"/>
      <c r="DS59" s="261"/>
      <c r="DT59" s="262"/>
      <c r="DU59" s="260"/>
      <c r="DV59" s="261"/>
      <c r="DW59" s="261"/>
      <c r="DX59" s="262"/>
      <c r="DY59" s="260"/>
      <c r="DZ59" s="261"/>
      <c r="EA59" s="261"/>
      <c r="EB59" s="262"/>
      <c r="EC59" s="260"/>
      <c r="ED59" s="261"/>
      <c r="EE59" s="261"/>
      <c r="EF59" s="262"/>
      <c r="EG59" s="260"/>
      <c r="EH59" s="261"/>
      <c r="EI59" s="261"/>
      <c r="EJ59" s="262"/>
      <c r="EK59" s="260"/>
      <c r="EL59" s="261"/>
      <c r="EM59" s="261"/>
      <c r="EN59" s="262"/>
      <c r="EO59" s="260"/>
      <c r="EP59" s="261"/>
      <c r="EQ59" s="261"/>
      <c r="ER59" s="262"/>
      <c r="ES59" s="260"/>
      <c r="ET59" s="261"/>
      <c r="EU59" s="261"/>
      <c r="EV59" s="262"/>
      <c r="EW59" s="263"/>
      <c r="EX59" s="263"/>
      <c r="EY59" s="263"/>
      <c r="EZ59" s="263"/>
      <c r="FA59" s="263"/>
    </row>
    <row r="60" spans="2:157" s="264" customFormat="1" ht="29.25" customHeight="1">
      <c r="B60" s="257"/>
      <c r="C60" s="382" t="s">
        <v>31</v>
      </c>
      <c r="D60" s="270" t="s">
        <v>149</v>
      </c>
      <c r="E60" s="271">
        <v>1</v>
      </c>
      <c r="F60" s="258"/>
      <c r="G60" s="415"/>
      <c r="H60" s="259"/>
      <c r="I60" s="260"/>
      <c r="J60" s="261"/>
      <c r="K60" s="261"/>
      <c r="L60" s="262"/>
      <c r="M60" s="260"/>
      <c r="N60" s="261"/>
      <c r="O60" s="261"/>
      <c r="P60" s="262"/>
      <c r="Q60" s="260"/>
      <c r="R60" s="261"/>
      <c r="S60" s="261"/>
      <c r="T60" s="262"/>
      <c r="U60" s="333"/>
      <c r="V60" s="432"/>
      <c r="W60" s="432"/>
      <c r="X60" s="433"/>
      <c r="Y60" s="333"/>
      <c r="Z60" s="432"/>
      <c r="AA60" s="432"/>
      <c r="AB60" s="262"/>
      <c r="AC60" s="260"/>
      <c r="AD60" s="261"/>
      <c r="AE60" s="261"/>
      <c r="AF60" s="262"/>
      <c r="AG60" s="333">
        <f>+E60</f>
        <v>1</v>
      </c>
      <c r="AH60" s="432">
        <f>+E60</f>
        <v>1</v>
      </c>
      <c r="AI60" s="432">
        <f>+E60</f>
        <v>1</v>
      </c>
      <c r="AJ60" s="433">
        <f>+E60</f>
        <v>1</v>
      </c>
      <c r="AK60" s="333">
        <f t="shared" si="546"/>
        <v>1</v>
      </c>
      <c r="AL60" s="432">
        <f t="shared" si="547"/>
        <v>1</v>
      </c>
      <c r="AM60" s="432">
        <f t="shared" si="548"/>
        <v>1</v>
      </c>
      <c r="AN60" s="433">
        <f t="shared" si="549"/>
        <v>1</v>
      </c>
      <c r="AO60" s="333">
        <f>+E60</f>
        <v>1</v>
      </c>
      <c r="AP60" s="432">
        <f>+E60</f>
        <v>1</v>
      </c>
      <c r="AQ60" s="432">
        <f>+E60</f>
        <v>1</v>
      </c>
      <c r="AR60" s="433">
        <f>+E60</f>
        <v>1</v>
      </c>
      <c r="AS60" s="333">
        <f>+E60</f>
        <v>1</v>
      </c>
      <c r="AT60" s="432">
        <f>+E60</f>
        <v>1</v>
      </c>
      <c r="AU60" s="432">
        <f>+E60</f>
        <v>1</v>
      </c>
      <c r="AV60" s="433">
        <f>+E60</f>
        <v>1</v>
      </c>
      <c r="AW60" s="333">
        <f>+E60</f>
        <v>1</v>
      </c>
      <c r="AX60" s="432">
        <f>+E60</f>
        <v>1</v>
      </c>
      <c r="AY60" s="432">
        <f>+E60</f>
        <v>1</v>
      </c>
      <c r="AZ60" s="433">
        <f>+E60</f>
        <v>1</v>
      </c>
      <c r="BA60" s="333">
        <f>+E60</f>
        <v>1</v>
      </c>
      <c r="BB60" s="432">
        <f>+E60</f>
        <v>1</v>
      </c>
      <c r="BC60" s="432">
        <f>+E60</f>
        <v>1</v>
      </c>
      <c r="BD60" s="433">
        <f>+E60</f>
        <v>1</v>
      </c>
      <c r="BE60" s="333">
        <f>+E60</f>
        <v>1</v>
      </c>
      <c r="BF60" s="432">
        <f>+E60</f>
        <v>1</v>
      </c>
      <c r="BG60" s="432">
        <f>+E60</f>
        <v>1</v>
      </c>
      <c r="BH60" s="433">
        <f>+E60</f>
        <v>1</v>
      </c>
      <c r="BI60" s="333">
        <f>+E60</f>
        <v>1</v>
      </c>
      <c r="BJ60" s="432">
        <f>+E60</f>
        <v>1</v>
      </c>
      <c r="BK60" s="432">
        <f>+E60</f>
        <v>1</v>
      </c>
      <c r="BL60" s="433">
        <f>+E60</f>
        <v>1</v>
      </c>
      <c r="BM60" s="333">
        <f>+E60</f>
        <v>1</v>
      </c>
      <c r="BN60" s="432">
        <f>+E60</f>
        <v>1</v>
      </c>
      <c r="BO60" s="432">
        <f>+E60</f>
        <v>1</v>
      </c>
      <c r="BP60" s="433">
        <f>+E60</f>
        <v>1</v>
      </c>
      <c r="BQ60" s="333">
        <f t="shared" ref="BQ60:BQ73" si="578">+AK60</f>
        <v>1</v>
      </c>
      <c r="BR60" s="432">
        <f t="shared" ref="BR60:BR73" si="579">+AK60</f>
        <v>1</v>
      </c>
      <c r="BS60" s="432">
        <f t="shared" ref="BS60:BS73" si="580">+AK60</f>
        <v>1</v>
      </c>
      <c r="BT60" s="433">
        <f t="shared" ref="BT60:BT73" si="581">+AK60</f>
        <v>1</v>
      </c>
      <c r="BU60" s="333">
        <f t="shared" ref="BU60:BU73" si="582">+AK60</f>
        <v>1</v>
      </c>
      <c r="BV60" s="432">
        <f t="shared" ref="BV60:BV73" si="583">+AK60</f>
        <v>1</v>
      </c>
      <c r="BW60" s="432">
        <f t="shared" ref="BW60:BW73" si="584">+AK60</f>
        <v>1</v>
      </c>
      <c r="BX60" s="433">
        <f t="shared" ref="BX60:BX73" si="585">+AK60</f>
        <v>1</v>
      </c>
      <c r="BY60" s="333">
        <f t="shared" ref="BY60:BY73" si="586">+AS60</f>
        <v>1</v>
      </c>
      <c r="BZ60" s="432">
        <f t="shared" ref="BZ60:BZ73" si="587">+AS60</f>
        <v>1</v>
      </c>
      <c r="CA60" s="432">
        <f t="shared" ref="CA60:CA73" si="588">+AS60</f>
        <v>1</v>
      </c>
      <c r="CB60" s="433">
        <f t="shared" ref="CB60:CB73" si="589">+AS60</f>
        <v>1</v>
      </c>
      <c r="CC60" s="333">
        <f t="shared" ref="CC60:CC73" si="590">+AS60</f>
        <v>1</v>
      </c>
      <c r="CD60" s="432">
        <f t="shared" ref="CD60:CD73" si="591">+AS60</f>
        <v>1</v>
      </c>
      <c r="CE60" s="432">
        <f t="shared" ref="CE60:CE73" si="592">+AS60</f>
        <v>1</v>
      </c>
      <c r="CF60" s="433">
        <f t="shared" ref="CF60:CF73" si="593">+AS60</f>
        <v>1</v>
      </c>
      <c r="CG60" s="333">
        <f t="shared" ref="CG60:CG73" si="594">+BA60</f>
        <v>1</v>
      </c>
      <c r="CH60" s="432">
        <f t="shared" ref="CH60:CH73" si="595">+BA60</f>
        <v>1</v>
      </c>
      <c r="CI60" s="432">
        <f t="shared" ref="CI60:CI73" si="596">+BA60</f>
        <v>1</v>
      </c>
      <c r="CJ60" s="433">
        <f t="shared" ref="CJ60:CJ73" si="597">+BA60</f>
        <v>1</v>
      </c>
      <c r="CK60" s="333">
        <f t="shared" ref="CK60:CK73" si="598">+BA60</f>
        <v>1</v>
      </c>
      <c r="CL60" s="432">
        <f t="shared" ref="CL60:CL73" si="599">+BA60</f>
        <v>1</v>
      </c>
      <c r="CM60" s="432">
        <f t="shared" ref="CM60:CM73" si="600">+BA60</f>
        <v>1</v>
      </c>
      <c r="CN60" s="433">
        <f t="shared" ref="CN60:CN73" si="601">+BA60</f>
        <v>1</v>
      </c>
      <c r="CO60" s="333">
        <f t="shared" ref="CO60:CO73" si="602">+BI60</f>
        <v>1</v>
      </c>
      <c r="CP60" s="432">
        <f t="shared" ref="CP60:CP73" si="603">+BI60</f>
        <v>1</v>
      </c>
      <c r="CQ60" s="432">
        <f t="shared" ref="CQ60:CQ73" si="604">+BI60</f>
        <v>1</v>
      </c>
      <c r="CR60" s="433">
        <f t="shared" ref="CR60:CR73" si="605">+BI60</f>
        <v>1</v>
      </c>
      <c r="CS60" s="333">
        <f t="shared" ref="CS60:CS73" si="606">+BI60</f>
        <v>1</v>
      </c>
      <c r="CT60" s="432">
        <f t="shared" ref="CT60:CT73" si="607">+BI60</f>
        <v>1</v>
      </c>
      <c r="CU60" s="432">
        <f t="shared" ref="CU60:CU73" si="608">+BI60</f>
        <v>1</v>
      </c>
      <c r="CV60" s="433">
        <f t="shared" ref="CV60:CV73" si="609">+BI60</f>
        <v>1</v>
      </c>
      <c r="CW60" s="333">
        <f t="shared" ref="CW60:CW73" si="610">+BQ60</f>
        <v>1</v>
      </c>
      <c r="CX60" s="432">
        <f t="shared" ref="CX60:CX73" si="611">+BQ60</f>
        <v>1</v>
      </c>
      <c r="CY60" s="432">
        <f t="shared" ref="CY60:CY73" si="612">+BQ60</f>
        <v>1</v>
      </c>
      <c r="CZ60" s="433">
        <f t="shared" ref="CZ60:CZ73" si="613">+BQ60</f>
        <v>1</v>
      </c>
      <c r="DA60" s="333">
        <f t="shared" ref="DA60:DA73" si="614">+BQ60</f>
        <v>1</v>
      </c>
      <c r="DB60" s="432">
        <f t="shared" ref="DB60:DB73" si="615">+BQ60</f>
        <v>1</v>
      </c>
      <c r="DC60" s="432">
        <f t="shared" ref="DC60:DC73" si="616">+BQ60</f>
        <v>1</v>
      </c>
      <c r="DD60" s="433">
        <f t="shared" ref="DD60:DD73" si="617">+BQ60</f>
        <v>1</v>
      </c>
      <c r="DE60" s="333">
        <f t="shared" ref="DE60:DE73" si="618">+BY60</f>
        <v>1</v>
      </c>
      <c r="DF60" s="432">
        <f t="shared" ref="DF60:DF73" si="619">+BY60</f>
        <v>1</v>
      </c>
      <c r="DG60" s="432">
        <f t="shared" ref="DG60:DG73" si="620">+BY60</f>
        <v>1</v>
      </c>
      <c r="DH60" s="433">
        <f t="shared" ref="DH60:DH73" si="621">+BY60</f>
        <v>1</v>
      </c>
      <c r="DI60" s="333">
        <f t="shared" ref="DI60:DI73" si="622">+BY60</f>
        <v>1</v>
      </c>
      <c r="DJ60" s="432">
        <f t="shared" ref="DJ60:DJ73" si="623">+BY60</f>
        <v>1</v>
      </c>
      <c r="DK60" s="432">
        <f t="shared" ref="DK60:DK73" si="624">+BY60</f>
        <v>1</v>
      </c>
      <c r="DL60" s="433">
        <f t="shared" ref="DL60:DL73" si="625">+BY60</f>
        <v>1</v>
      </c>
      <c r="DM60" s="333">
        <f t="shared" ref="DM60:DM73" si="626">+CG60</f>
        <v>1</v>
      </c>
      <c r="DN60" s="432">
        <f t="shared" ref="DN60:DN73" si="627">+CG60</f>
        <v>1</v>
      </c>
      <c r="DO60" s="432">
        <f t="shared" ref="DO60:DO73" si="628">+CG60</f>
        <v>1</v>
      </c>
      <c r="DP60" s="433">
        <f t="shared" ref="DP60:DP73" si="629">+CG60</f>
        <v>1</v>
      </c>
      <c r="DQ60" s="333">
        <f t="shared" ref="DQ60:DQ73" si="630">+CG60</f>
        <v>1</v>
      </c>
      <c r="DR60" s="432">
        <f t="shared" ref="DR60:DR73" si="631">+CG60</f>
        <v>1</v>
      </c>
      <c r="DS60" s="432">
        <f t="shared" ref="DS60:DS73" si="632">+CG60</f>
        <v>1</v>
      </c>
      <c r="DT60" s="433">
        <f t="shared" ref="DT60:DT73" si="633">+CG60</f>
        <v>1</v>
      </c>
      <c r="DU60" s="333">
        <f t="shared" ref="DU60:DU73" si="634">+CO60</f>
        <v>1</v>
      </c>
      <c r="DV60" s="432">
        <f t="shared" ref="DV60:DV73" si="635">+CO60</f>
        <v>1</v>
      </c>
      <c r="DW60" s="432">
        <f t="shared" ref="DW60:DW73" si="636">+CO60</f>
        <v>1</v>
      </c>
      <c r="DX60" s="433">
        <f t="shared" ref="DX60:DX73" si="637">+CO60</f>
        <v>1</v>
      </c>
      <c r="DY60" s="333">
        <f t="shared" ref="DY60:DY73" si="638">+CO60</f>
        <v>1</v>
      </c>
      <c r="DZ60" s="432">
        <f t="shared" ref="DZ60:DZ73" si="639">+CO60</f>
        <v>1</v>
      </c>
      <c r="EA60" s="432">
        <f t="shared" ref="EA60:EA73" si="640">+CO60</f>
        <v>1</v>
      </c>
      <c r="EB60" s="433">
        <f t="shared" ref="EB60:EB73" si="641">+CO60</f>
        <v>1</v>
      </c>
      <c r="EC60" s="333">
        <f t="shared" ref="EC60:EC73" si="642">+CW60</f>
        <v>1</v>
      </c>
      <c r="ED60" s="432">
        <f t="shared" ref="ED60:ED73" si="643">+CW60</f>
        <v>1</v>
      </c>
      <c r="EE60" s="432">
        <f t="shared" ref="EE60:EE73" si="644">+CW60</f>
        <v>1</v>
      </c>
      <c r="EF60" s="433">
        <f t="shared" ref="EF60:EF73" si="645">+CW60</f>
        <v>1</v>
      </c>
      <c r="EG60" s="333">
        <f t="shared" ref="EG60:EG73" si="646">+CW60</f>
        <v>1</v>
      </c>
      <c r="EH60" s="432">
        <f t="shared" ref="EH60:EH73" si="647">+CW60</f>
        <v>1</v>
      </c>
      <c r="EI60" s="432">
        <f t="shared" ref="EI60:EI73" si="648">+CW60</f>
        <v>1</v>
      </c>
      <c r="EJ60" s="433">
        <f t="shared" ref="EJ60:EJ73" si="649">+CW60</f>
        <v>1</v>
      </c>
      <c r="EK60" s="333">
        <f t="shared" ref="EK60:EK73" si="650">+DE60</f>
        <v>1</v>
      </c>
      <c r="EL60" s="432">
        <f t="shared" ref="EL60:EL73" si="651">+DE60</f>
        <v>1</v>
      </c>
      <c r="EM60" s="432">
        <f t="shared" ref="EM60:EM73" si="652">+DE60</f>
        <v>1</v>
      </c>
      <c r="EN60" s="433">
        <f t="shared" ref="EN60:EN73" si="653">+DE60</f>
        <v>1</v>
      </c>
      <c r="EO60" s="333">
        <f t="shared" ref="EO60:EO73" si="654">+DE60</f>
        <v>1</v>
      </c>
      <c r="EP60" s="432">
        <f t="shared" ref="EP60:EP73" si="655">+DE60</f>
        <v>1</v>
      </c>
      <c r="EQ60" s="432">
        <f t="shared" ref="EQ60:EQ73" si="656">+DE60</f>
        <v>1</v>
      </c>
      <c r="ER60" s="433">
        <f t="shared" ref="ER60:ER73" si="657">+DE60</f>
        <v>1</v>
      </c>
      <c r="ES60" s="333">
        <f t="shared" ref="ES60:ES73" si="658">+DM60</f>
        <v>1</v>
      </c>
      <c r="ET60" s="432">
        <f t="shared" ref="ET60:ET73" si="659">+DM60</f>
        <v>1</v>
      </c>
      <c r="EU60" s="432">
        <f t="shared" ref="EU60:EU73" si="660">+DM60</f>
        <v>1</v>
      </c>
      <c r="EV60" s="433">
        <f t="shared" ref="EV60:EV73" si="661">+DM60</f>
        <v>1</v>
      </c>
      <c r="EW60" s="263">
        <f>SUM(I60:DD60)/4</f>
        <v>19</v>
      </c>
      <c r="EX60" s="263"/>
      <c r="EY60" s="263"/>
      <c r="EZ60" s="263"/>
      <c r="FA60" s="263"/>
    </row>
    <row r="61" spans="2:157" s="264" customFormat="1" ht="29.25" customHeight="1">
      <c r="B61" s="257"/>
      <c r="C61" s="382" t="s">
        <v>32</v>
      </c>
      <c r="D61" s="270" t="s">
        <v>149</v>
      </c>
      <c r="E61" s="271">
        <v>1</v>
      </c>
      <c r="F61" s="258"/>
      <c r="G61" s="415"/>
      <c r="H61" s="259"/>
      <c r="I61" s="260"/>
      <c r="J61" s="261"/>
      <c r="K61" s="261"/>
      <c r="L61" s="262"/>
      <c r="M61" s="260"/>
      <c r="N61" s="261"/>
      <c r="O61" s="261"/>
      <c r="P61" s="262"/>
      <c r="Q61" s="260"/>
      <c r="R61" s="261"/>
      <c r="S61" s="261"/>
      <c r="T61" s="262"/>
      <c r="U61" s="333"/>
      <c r="V61" s="432"/>
      <c r="W61" s="432"/>
      <c r="X61" s="433"/>
      <c r="Y61" s="333"/>
      <c r="Z61" s="432"/>
      <c r="AA61" s="432"/>
      <c r="AB61" s="262"/>
      <c r="AC61" s="260"/>
      <c r="AD61" s="261"/>
      <c r="AE61" s="261"/>
      <c r="AF61" s="262"/>
      <c r="AG61" s="333">
        <f t="shared" ref="AG61:AG73" si="662">+E61</f>
        <v>1</v>
      </c>
      <c r="AH61" s="432">
        <f t="shared" ref="AH61:AH73" si="663">+E61</f>
        <v>1</v>
      </c>
      <c r="AI61" s="432">
        <f t="shared" ref="AI61:AI73" si="664">+E61</f>
        <v>1</v>
      </c>
      <c r="AJ61" s="433">
        <f t="shared" ref="AJ61:AJ73" si="665">+E61</f>
        <v>1</v>
      </c>
      <c r="AK61" s="333">
        <f t="shared" si="546"/>
        <v>1</v>
      </c>
      <c r="AL61" s="432">
        <f t="shared" si="547"/>
        <v>1</v>
      </c>
      <c r="AM61" s="432">
        <f t="shared" si="548"/>
        <v>1</v>
      </c>
      <c r="AN61" s="433">
        <f t="shared" si="549"/>
        <v>1</v>
      </c>
      <c r="AO61" s="333">
        <f t="shared" ref="AO61:AO73" si="666">+E61</f>
        <v>1</v>
      </c>
      <c r="AP61" s="432">
        <f t="shared" ref="AP61:AP73" si="667">+E61</f>
        <v>1</v>
      </c>
      <c r="AQ61" s="432">
        <f t="shared" ref="AQ61:AQ73" si="668">+E61</f>
        <v>1</v>
      </c>
      <c r="AR61" s="433">
        <f t="shared" ref="AR61:AR73" si="669">+E61</f>
        <v>1</v>
      </c>
      <c r="AS61" s="333">
        <f t="shared" ref="AS61:AS73" si="670">+E61</f>
        <v>1</v>
      </c>
      <c r="AT61" s="432">
        <f t="shared" ref="AT61:AT73" si="671">+E61</f>
        <v>1</v>
      </c>
      <c r="AU61" s="432">
        <f t="shared" ref="AU61:AU73" si="672">+E61</f>
        <v>1</v>
      </c>
      <c r="AV61" s="433">
        <f t="shared" ref="AV61:AV73" si="673">+E61</f>
        <v>1</v>
      </c>
      <c r="AW61" s="333">
        <f t="shared" ref="AW61:AW73" si="674">+E61</f>
        <v>1</v>
      </c>
      <c r="AX61" s="432">
        <f t="shared" ref="AX61:AX73" si="675">+E61</f>
        <v>1</v>
      </c>
      <c r="AY61" s="432">
        <f t="shared" ref="AY61:AY73" si="676">+E61</f>
        <v>1</v>
      </c>
      <c r="AZ61" s="433">
        <f t="shared" ref="AZ61:AZ73" si="677">+E61</f>
        <v>1</v>
      </c>
      <c r="BA61" s="333">
        <f t="shared" ref="BA61:BA73" si="678">+E61</f>
        <v>1</v>
      </c>
      <c r="BB61" s="432">
        <f t="shared" ref="BB61:BB73" si="679">+E61</f>
        <v>1</v>
      </c>
      <c r="BC61" s="432">
        <f t="shared" ref="BC61:BC73" si="680">+E61</f>
        <v>1</v>
      </c>
      <c r="BD61" s="433">
        <f t="shared" ref="BD61:BD73" si="681">+E61</f>
        <v>1</v>
      </c>
      <c r="BE61" s="333">
        <f t="shared" ref="BE61:BE73" si="682">+E61</f>
        <v>1</v>
      </c>
      <c r="BF61" s="432">
        <f t="shared" ref="BF61:BF73" si="683">+E61</f>
        <v>1</v>
      </c>
      <c r="BG61" s="432">
        <f t="shared" ref="BG61:BG73" si="684">+E61</f>
        <v>1</v>
      </c>
      <c r="BH61" s="433">
        <f t="shared" ref="BH61:BH73" si="685">+E61</f>
        <v>1</v>
      </c>
      <c r="BI61" s="333">
        <f t="shared" ref="BI61:BI73" si="686">+E61</f>
        <v>1</v>
      </c>
      <c r="BJ61" s="432">
        <f t="shared" ref="BJ61:BJ73" si="687">+E61</f>
        <v>1</v>
      </c>
      <c r="BK61" s="432">
        <f t="shared" ref="BK61:BK73" si="688">+E61</f>
        <v>1</v>
      </c>
      <c r="BL61" s="433">
        <f t="shared" ref="BL61:BL73" si="689">+E61</f>
        <v>1</v>
      </c>
      <c r="BM61" s="333">
        <f t="shared" ref="BM61:BM73" si="690">+E61</f>
        <v>1</v>
      </c>
      <c r="BN61" s="432">
        <f t="shared" ref="BN61:BN73" si="691">+E61</f>
        <v>1</v>
      </c>
      <c r="BO61" s="432">
        <f t="shared" ref="BO61:BO73" si="692">+E61</f>
        <v>1</v>
      </c>
      <c r="BP61" s="433">
        <f t="shared" ref="BP61:BP73" si="693">+E61</f>
        <v>1</v>
      </c>
      <c r="BQ61" s="333">
        <f t="shared" si="578"/>
        <v>1</v>
      </c>
      <c r="BR61" s="432">
        <f t="shared" si="579"/>
        <v>1</v>
      </c>
      <c r="BS61" s="432">
        <f t="shared" si="580"/>
        <v>1</v>
      </c>
      <c r="BT61" s="433">
        <f t="shared" si="581"/>
        <v>1</v>
      </c>
      <c r="BU61" s="333">
        <f t="shared" si="582"/>
        <v>1</v>
      </c>
      <c r="BV61" s="432">
        <f t="shared" si="583"/>
        <v>1</v>
      </c>
      <c r="BW61" s="432">
        <f t="shared" si="584"/>
        <v>1</v>
      </c>
      <c r="BX61" s="433">
        <f t="shared" si="585"/>
        <v>1</v>
      </c>
      <c r="BY61" s="333">
        <f t="shared" si="586"/>
        <v>1</v>
      </c>
      <c r="BZ61" s="432">
        <f t="shared" si="587"/>
        <v>1</v>
      </c>
      <c r="CA61" s="432">
        <f t="shared" si="588"/>
        <v>1</v>
      </c>
      <c r="CB61" s="433">
        <f t="shared" si="589"/>
        <v>1</v>
      </c>
      <c r="CC61" s="333">
        <f t="shared" si="590"/>
        <v>1</v>
      </c>
      <c r="CD61" s="432">
        <f t="shared" si="591"/>
        <v>1</v>
      </c>
      <c r="CE61" s="432">
        <f t="shared" si="592"/>
        <v>1</v>
      </c>
      <c r="CF61" s="433">
        <f t="shared" si="593"/>
        <v>1</v>
      </c>
      <c r="CG61" s="333">
        <f t="shared" si="594"/>
        <v>1</v>
      </c>
      <c r="CH61" s="432">
        <f t="shared" si="595"/>
        <v>1</v>
      </c>
      <c r="CI61" s="432">
        <f t="shared" si="596"/>
        <v>1</v>
      </c>
      <c r="CJ61" s="433">
        <f t="shared" si="597"/>
        <v>1</v>
      </c>
      <c r="CK61" s="333">
        <f t="shared" si="598"/>
        <v>1</v>
      </c>
      <c r="CL61" s="432">
        <f t="shared" si="599"/>
        <v>1</v>
      </c>
      <c r="CM61" s="432">
        <f t="shared" si="600"/>
        <v>1</v>
      </c>
      <c r="CN61" s="433">
        <f t="shared" si="601"/>
        <v>1</v>
      </c>
      <c r="CO61" s="333">
        <f t="shared" si="602"/>
        <v>1</v>
      </c>
      <c r="CP61" s="432">
        <f t="shared" si="603"/>
        <v>1</v>
      </c>
      <c r="CQ61" s="432">
        <f t="shared" si="604"/>
        <v>1</v>
      </c>
      <c r="CR61" s="433">
        <f t="shared" si="605"/>
        <v>1</v>
      </c>
      <c r="CS61" s="333">
        <f t="shared" si="606"/>
        <v>1</v>
      </c>
      <c r="CT61" s="432">
        <f t="shared" si="607"/>
        <v>1</v>
      </c>
      <c r="CU61" s="432">
        <f t="shared" si="608"/>
        <v>1</v>
      </c>
      <c r="CV61" s="433">
        <f t="shared" si="609"/>
        <v>1</v>
      </c>
      <c r="CW61" s="333">
        <f t="shared" si="610"/>
        <v>1</v>
      </c>
      <c r="CX61" s="432">
        <f t="shared" si="611"/>
        <v>1</v>
      </c>
      <c r="CY61" s="432">
        <f t="shared" si="612"/>
        <v>1</v>
      </c>
      <c r="CZ61" s="433">
        <f t="shared" si="613"/>
        <v>1</v>
      </c>
      <c r="DA61" s="333">
        <f t="shared" si="614"/>
        <v>1</v>
      </c>
      <c r="DB61" s="432">
        <f t="shared" si="615"/>
        <v>1</v>
      </c>
      <c r="DC61" s="432">
        <f t="shared" si="616"/>
        <v>1</v>
      </c>
      <c r="DD61" s="433">
        <f t="shared" si="617"/>
        <v>1</v>
      </c>
      <c r="DE61" s="333">
        <f t="shared" si="618"/>
        <v>1</v>
      </c>
      <c r="DF61" s="432">
        <f t="shared" si="619"/>
        <v>1</v>
      </c>
      <c r="DG61" s="432">
        <f t="shared" si="620"/>
        <v>1</v>
      </c>
      <c r="DH61" s="433">
        <f t="shared" si="621"/>
        <v>1</v>
      </c>
      <c r="DI61" s="333">
        <f t="shared" si="622"/>
        <v>1</v>
      </c>
      <c r="DJ61" s="432">
        <f t="shared" si="623"/>
        <v>1</v>
      </c>
      <c r="DK61" s="432">
        <f t="shared" si="624"/>
        <v>1</v>
      </c>
      <c r="DL61" s="433">
        <f t="shared" si="625"/>
        <v>1</v>
      </c>
      <c r="DM61" s="333">
        <f t="shared" si="626"/>
        <v>1</v>
      </c>
      <c r="DN61" s="432">
        <f t="shared" si="627"/>
        <v>1</v>
      </c>
      <c r="DO61" s="432">
        <f t="shared" si="628"/>
        <v>1</v>
      </c>
      <c r="DP61" s="433">
        <f t="shared" si="629"/>
        <v>1</v>
      </c>
      <c r="DQ61" s="333">
        <f t="shared" si="630"/>
        <v>1</v>
      </c>
      <c r="DR61" s="432">
        <f t="shared" si="631"/>
        <v>1</v>
      </c>
      <c r="DS61" s="432">
        <f t="shared" si="632"/>
        <v>1</v>
      </c>
      <c r="DT61" s="433">
        <f t="shared" si="633"/>
        <v>1</v>
      </c>
      <c r="DU61" s="333">
        <f t="shared" si="634"/>
        <v>1</v>
      </c>
      <c r="DV61" s="432">
        <f t="shared" si="635"/>
        <v>1</v>
      </c>
      <c r="DW61" s="432">
        <f t="shared" si="636"/>
        <v>1</v>
      </c>
      <c r="DX61" s="433">
        <f t="shared" si="637"/>
        <v>1</v>
      </c>
      <c r="DY61" s="333">
        <f t="shared" si="638"/>
        <v>1</v>
      </c>
      <c r="DZ61" s="432">
        <f t="shared" si="639"/>
        <v>1</v>
      </c>
      <c r="EA61" s="432">
        <f t="shared" si="640"/>
        <v>1</v>
      </c>
      <c r="EB61" s="433">
        <f t="shared" si="641"/>
        <v>1</v>
      </c>
      <c r="EC61" s="333">
        <f t="shared" si="642"/>
        <v>1</v>
      </c>
      <c r="ED61" s="432">
        <f t="shared" si="643"/>
        <v>1</v>
      </c>
      <c r="EE61" s="432">
        <f t="shared" si="644"/>
        <v>1</v>
      </c>
      <c r="EF61" s="433">
        <f t="shared" si="645"/>
        <v>1</v>
      </c>
      <c r="EG61" s="333">
        <f t="shared" si="646"/>
        <v>1</v>
      </c>
      <c r="EH61" s="432">
        <f t="shared" si="647"/>
        <v>1</v>
      </c>
      <c r="EI61" s="432">
        <f t="shared" si="648"/>
        <v>1</v>
      </c>
      <c r="EJ61" s="433">
        <f t="shared" si="649"/>
        <v>1</v>
      </c>
      <c r="EK61" s="333">
        <f t="shared" si="650"/>
        <v>1</v>
      </c>
      <c r="EL61" s="432">
        <f t="shared" si="651"/>
        <v>1</v>
      </c>
      <c r="EM61" s="432">
        <f t="shared" si="652"/>
        <v>1</v>
      </c>
      <c r="EN61" s="433">
        <f t="shared" si="653"/>
        <v>1</v>
      </c>
      <c r="EO61" s="333">
        <f t="shared" si="654"/>
        <v>1</v>
      </c>
      <c r="EP61" s="432">
        <f t="shared" si="655"/>
        <v>1</v>
      </c>
      <c r="EQ61" s="432">
        <f t="shared" si="656"/>
        <v>1</v>
      </c>
      <c r="ER61" s="433">
        <f t="shared" si="657"/>
        <v>1</v>
      </c>
      <c r="ES61" s="333">
        <f t="shared" si="658"/>
        <v>1</v>
      </c>
      <c r="ET61" s="432">
        <f t="shared" si="659"/>
        <v>1</v>
      </c>
      <c r="EU61" s="432">
        <f t="shared" si="660"/>
        <v>1</v>
      </c>
      <c r="EV61" s="433">
        <f t="shared" si="661"/>
        <v>1</v>
      </c>
      <c r="EW61" s="263">
        <f>SUM(I61:DD61)/4</f>
        <v>19</v>
      </c>
      <c r="EX61" s="263"/>
      <c r="EY61" s="263"/>
      <c r="EZ61" s="263"/>
      <c r="FA61" s="263"/>
    </row>
    <row r="62" spans="2:157" s="264" customFormat="1" ht="29.25" customHeight="1">
      <c r="B62" s="257"/>
      <c r="C62" s="23" t="s">
        <v>28</v>
      </c>
      <c r="D62" s="270" t="s">
        <v>149</v>
      </c>
      <c r="E62" s="271">
        <v>1</v>
      </c>
      <c r="F62" s="258"/>
      <c r="G62" s="415"/>
      <c r="H62" s="259"/>
      <c r="I62" s="260"/>
      <c r="J62" s="261"/>
      <c r="K62" s="261"/>
      <c r="L62" s="262"/>
      <c r="M62" s="260"/>
      <c r="N62" s="261"/>
      <c r="O62" s="261"/>
      <c r="P62" s="262"/>
      <c r="Q62" s="260"/>
      <c r="R62" s="261"/>
      <c r="S62" s="261"/>
      <c r="T62" s="262"/>
      <c r="U62" s="333"/>
      <c r="V62" s="432"/>
      <c r="W62" s="432"/>
      <c r="X62" s="433"/>
      <c r="Y62" s="333"/>
      <c r="Z62" s="432"/>
      <c r="AA62" s="432"/>
      <c r="AB62" s="262"/>
      <c r="AC62" s="260"/>
      <c r="AD62" s="261"/>
      <c r="AE62" s="261"/>
      <c r="AF62" s="262"/>
      <c r="AG62" s="333">
        <f t="shared" si="662"/>
        <v>1</v>
      </c>
      <c r="AH62" s="432">
        <f t="shared" si="663"/>
        <v>1</v>
      </c>
      <c r="AI62" s="432">
        <f t="shared" si="664"/>
        <v>1</v>
      </c>
      <c r="AJ62" s="433">
        <f t="shared" si="665"/>
        <v>1</v>
      </c>
      <c r="AK62" s="333">
        <f t="shared" si="546"/>
        <v>1</v>
      </c>
      <c r="AL62" s="432">
        <f t="shared" si="547"/>
        <v>1</v>
      </c>
      <c r="AM62" s="432">
        <f t="shared" si="548"/>
        <v>1</v>
      </c>
      <c r="AN62" s="433">
        <f t="shared" si="549"/>
        <v>1</v>
      </c>
      <c r="AO62" s="333">
        <f t="shared" si="666"/>
        <v>1</v>
      </c>
      <c r="AP62" s="432">
        <f t="shared" si="667"/>
        <v>1</v>
      </c>
      <c r="AQ62" s="432">
        <f t="shared" si="668"/>
        <v>1</v>
      </c>
      <c r="AR62" s="433">
        <f t="shared" si="669"/>
        <v>1</v>
      </c>
      <c r="AS62" s="333">
        <f t="shared" si="670"/>
        <v>1</v>
      </c>
      <c r="AT62" s="432">
        <f t="shared" si="671"/>
        <v>1</v>
      </c>
      <c r="AU62" s="432">
        <f t="shared" si="672"/>
        <v>1</v>
      </c>
      <c r="AV62" s="433">
        <f t="shared" si="673"/>
        <v>1</v>
      </c>
      <c r="AW62" s="333">
        <f t="shared" si="674"/>
        <v>1</v>
      </c>
      <c r="AX62" s="432">
        <f t="shared" si="675"/>
        <v>1</v>
      </c>
      <c r="AY62" s="432">
        <f t="shared" si="676"/>
        <v>1</v>
      </c>
      <c r="AZ62" s="433">
        <f t="shared" si="677"/>
        <v>1</v>
      </c>
      <c r="BA62" s="333">
        <f t="shared" si="678"/>
        <v>1</v>
      </c>
      <c r="BB62" s="432">
        <f t="shared" si="679"/>
        <v>1</v>
      </c>
      <c r="BC62" s="432">
        <f t="shared" si="680"/>
        <v>1</v>
      </c>
      <c r="BD62" s="433">
        <f t="shared" si="681"/>
        <v>1</v>
      </c>
      <c r="BE62" s="333">
        <f t="shared" si="682"/>
        <v>1</v>
      </c>
      <c r="BF62" s="432">
        <f t="shared" si="683"/>
        <v>1</v>
      </c>
      <c r="BG62" s="432">
        <f t="shared" si="684"/>
        <v>1</v>
      </c>
      <c r="BH62" s="433">
        <f t="shared" si="685"/>
        <v>1</v>
      </c>
      <c r="BI62" s="333">
        <f t="shared" si="686"/>
        <v>1</v>
      </c>
      <c r="BJ62" s="432">
        <f t="shared" si="687"/>
        <v>1</v>
      </c>
      <c r="BK62" s="432">
        <f t="shared" si="688"/>
        <v>1</v>
      </c>
      <c r="BL62" s="433">
        <f t="shared" si="689"/>
        <v>1</v>
      </c>
      <c r="BM62" s="333">
        <f t="shared" si="690"/>
        <v>1</v>
      </c>
      <c r="BN62" s="432">
        <f t="shared" si="691"/>
        <v>1</v>
      </c>
      <c r="BO62" s="432">
        <f t="shared" si="692"/>
        <v>1</v>
      </c>
      <c r="BP62" s="433">
        <f t="shared" si="693"/>
        <v>1</v>
      </c>
      <c r="BQ62" s="333">
        <f t="shared" si="578"/>
        <v>1</v>
      </c>
      <c r="BR62" s="432">
        <f t="shared" si="579"/>
        <v>1</v>
      </c>
      <c r="BS62" s="432">
        <f t="shared" si="580"/>
        <v>1</v>
      </c>
      <c r="BT62" s="433">
        <f t="shared" si="581"/>
        <v>1</v>
      </c>
      <c r="BU62" s="333">
        <f t="shared" si="582"/>
        <v>1</v>
      </c>
      <c r="BV62" s="432">
        <f t="shared" si="583"/>
        <v>1</v>
      </c>
      <c r="BW62" s="432">
        <f t="shared" si="584"/>
        <v>1</v>
      </c>
      <c r="BX62" s="433">
        <f t="shared" si="585"/>
        <v>1</v>
      </c>
      <c r="BY62" s="333">
        <f t="shared" si="586"/>
        <v>1</v>
      </c>
      <c r="BZ62" s="432">
        <f t="shared" si="587"/>
        <v>1</v>
      </c>
      <c r="CA62" s="432">
        <f t="shared" si="588"/>
        <v>1</v>
      </c>
      <c r="CB62" s="433">
        <f t="shared" si="589"/>
        <v>1</v>
      </c>
      <c r="CC62" s="333">
        <f t="shared" si="590"/>
        <v>1</v>
      </c>
      <c r="CD62" s="432">
        <f t="shared" si="591"/>
        <v>1</v>
      </c>
      <c r="CE62" s="432">
        <f t="shared" si="592"/>
        <v>1</v>
      </c>
      <c r="CF62" s="433">
        <f t="shared" si="593"/>
        <v>1</v>
      </c>
      <c r="CG62" s="333">
        <f t="shared" si="594"/>
        <v>1</v>
      </c>
      <c r="CH62" s="432">
        <f t="shared" si="595"/>
        <v>1</v>
      </c>
      <c r="CI62" s="432">
        <f t="shared" si="596"/>
        <v>1</v>
      </c>
      <c r="CJ62" s="433">
        <f t="shared" si="597"/>
        <v>1</v>
      </c>
      <c r="CK62" s="333">
        <f t="shared" si="598"/>
        <v>1</v>
      </c>
      <c r="CL62" s="432">
        <f t="shared" si="599"/>
        <v>1</v>
      </c>
      <c r="CM62" s="432">
        <f t="shared" si="600"/>
        <v>1</v>
      </c>
      <c r="CN62" s="433">
        <f t="shared" si="601"/>
        <v>1</v>
      </c>
      <c r="CO62" s="333">
        <f t="shared" si="602"/>
        <v>1</v>
      </c>
      <c r="CP62" s="432">
        <f t="shared" si="603"/>
        <v>1</v>
      </c>
      <c r="CQ62" s="432">
        <f t="shared" si="604"/>
        <v>1</v>
      </c>
      <c r="CR62" s="433">
        <f t="shared" si="605"/>
        <v>1</v>
      </c>
      <c r="CS62" s="333">
        <f t="shared" si="606"/>
        <v>1</v>
      </c>
      <c r="CT62" s="432">
        <f t="shared" si="607"/>
        <v>1</v>
      </c>
      <c r="CU62" s="432">
        <f t="shared" si="608"/>
        <v>1</v>
      </c>
      <c r="CV62" s="433">
        <f t="shared" si="609"/>
        <v>1</v>
      </c>
      <c r="CW62" s="333">
        <f t="shared" si="610"/>
        <v>1</v>
      </c>
      <c r="CX62" s="432">
        <f t="shared" si="611"/>
        <v>1</v>
      </c>
      <c r="CY62" s="432">
        <f t="shared" si="612"/>
        <v>1</v>
      </c>
      <c r="CZ62" s="433">
        <f t="shared" si="613"/>
        <v>1</v>
      </c>
      <c r="DA62" s="333">
        <f t="shared" si="614"/>
        <v>1</v>
      </c>
      <c r="DB62" s="432">
        <f t="shared" si="615"/>
        <v>1</v>
      </c>
      <c r="DC62" s="432">
        <f t="shared" si="616"/>
        <v>1</v>
      </c>
      <c r="DD62" s="433">
        <f t="shared" si="617"/>
        <v>1</v>
      </c>
      <c r="DE62" s="333">
        <f t="shared" si="618"/>
        <v>1</v>
      </c>
      <c r="DF62" s="432">
        <f t="shared" si="619"/>
        <v>1</v>
      </c>
      <c r="DG62" s="432">
        <f t="shared" si="620"/>
        <v>1</v>
      </c>
      <c r="DH62" s="433">
        <f t="shared" si="621"/>
        <v>1</v>
      </c>
      <c r="DI62" s="333">
        <f t="shared" si="622"/>
        <v>1</v>
      </c>
      <c r="DJ62" s="432">
        <f t="shared" si="623"/>
        <v>1</v>
      </c>
      <c r="DK62" s="432">
        <f t="shared" si="624"/>
        <v>1</v>
      </c>
      <c r="DL62" s="433">
        <f t="shared" si="625"/>
        <v>1</v>
      </c>
      <c r="DM62" s="333">
        <f t="shared" si="626"/>
        <v>1</v>
      </c>
      <c r="DN62" s="432">
        <f t="shared" si="627"/>
        <v>1</v>
      </c>
      <c r="DO62" s="432">
        <f t="shared" si="628"/>
        <v>1</v>
      </c>
      <c r="DP62" s="433">
        <f t="shared" si="629"/>
        <v>1</v>
      </c>
      <c r="DQ62" s="333">
        <f t="shared" si="630"/>
        <v>1</v>
      </c>
      <c r="DR62" s="432">
        <f t="shared" si="631"/>
        <v>1</v>
      </c>
      <c r="DS62" s="432">
        <f t="shared" si="632"/>
        <v>1</v>
      </c>
      <c r="DT62" s="433">
        <f t="shared" si="633"/>
        <v>1</v>
      </c>
      <c r="DU62" s="333">
        <f t="shared" si="634"/>
        <v>1</v>
      </c>
      <c r="DV62" s="432">
        <f t="shared" si="635"/>
        <v>1</v>
      </c>
      <c r="DW62" s="432">
        <f t="shared" si="636"/>
        <v>1</v>
      </c>
      <c r="DX62" s="433">
        <f t="shared" si="637"/>
        <v>1</v>
      </c>
      <c r="DY62" s="333">
        <f t="shared" si="638"/>
        <v>1</v>
      </c>
      <c r="DZ62" s="432">
        <f t="shared" si="639"/>
        <v>1</v>
      </c>
      <c r="EA62" s="432">
        <f t="shared" si="640"/>
        <v>1</v>
      </c>
      <c r="EB62" s="433">
        <f t="shared" si="641"/>
        <v>1</v>
      </c>
      <c r="EC62" s="333">
        <f t="shared" si="642"/>
        <v>1</v>
      </c>
      <c r="ED62" s="432">
        <f t="shared" si="643"/>
        <v>1</v>
      </c>
      <c r="EE62" s="432">
        <f t="shared" si="644"/>
        <v>1</v>
      </c>
      <c r="EF62" s="433">
        <f t="shared" si="645"/>
        <v>1</v>
      </c>
      <c r="EG62" s="333">
        <f t="shared" si="646"/>
        <v>1</v>
      </c>
      <c r="EH62" s="432">
        <f t="shared" si="647"/>
        <v>1</v>
      </c>
      <c r="EI62" s="432">
        <f t="shared" si="648"/>
        <v>1</v>
      </c>
      <c r="EJ62" s="433">
        <f t="shared" si="649"/>
        <v>1</v>
      </c>
      <c r="EK62" s="333">
        <f t="shared" si="650"/>
        <v>1</v>
      </c>
      <c r="EL62" s="432">
        <f t="shared" si="651"/>
        <v>1</v>
      </c>
      <c r="EM62" s="432">
        <f t="shared" si="652"/>
        <v>1</v>
      </c>
      <c r="EN62" s="433">
        <f t="shared" si="653"/>
        <v>1</v>
      </c>
      <c r="EO62" s="333">
        <f t="shared" si="654"/>
        <v>1</v>
      </c>
      <c r="EP62" s="432">
        <f t="shared" si="655"/>
        <v>1</v>
      </c>
      <c r="EQ62" s="432">
        <f t="shared" si="656"/>
        <v>1</v>
      </c>
      <c r="ER62" s="433">
        <f t="shared" si="657"/>
        <v>1</v>
      </c>
      <c r="ES62" s="333">
        <f t="shared" si="658"/>
        <v>1</v>
      </c>
      <c r="ET62" s="432">
        <f t="shared" si="659"/>
        <v>1</v>
      </c>
      <c r="EU62" s="432">
        <f t="shared" si="660"/>
        <v>1</v>
      </c>
      <c r="EV62" s="433">
        <f t="shared" si="661"/>
        <v>1</v>
      </c>
      <c r="EW62" s="263">
        <f>SUM(I62:DD62)/4</f>
        <v>19</v>
      </c>
      <c r="EX62" s="263"/>
      <c r="EY62" s="263"/>
      <c r="EZ62" s="263"/>
      <c r="FA62" s="263"/>
    </row>
    <row r="63" spans="2:157" s="264" customFormat="1" ht="29.25" customHeight="1">
      <c r="B63" s="257"/>
      <c r="C63" s="23" t="s">
        <v>29</v>
      </c>
      <c r="D63" s="270" t="s">
        <v>149</v>
      </c>
      <c r="E63" s="271">
        <v>4</v>
      </c>
      <c r="F63" s="258"/>
      <c r="G63" s="415"/>
      <c r="H63" s="259"/>
      <c r="I63" s="260"/>
      <c r="J63" s="261"/>
      <c r="K63" s="261"/>
      <c r="L63" s="262"/>
      <c r="M63" s="260"/>
      <c r="N63" s="261"/>
      <c r="O63" s="261"/>
      <c r="P63" s="262"/>
      <c r="Q63" s="260"/>
      <c r="R63" s="261"/>
      <c r="S63" s="261"/>
      <c r="T63" s="262"/>
      <c r="U63" s="333"/>
      <c r="V63" s="432"/>
      <c r="W63" s="432"/>
      <c r="X63" s="433"/>
      <c r="Y63" s="333"/>
      <c r="Z63" s="432"/>
      <c r="AA63" s="432"/>
      <c r="AB63" s="262"/>
      <c r="AC63" s="260"/>
      <c r="AD63" s="261"/>
      <c r="AE63" s="261"/>
      <c r="AF63" s="262"/>
      <c r="AG63" s="333">
        <f t="shared" si="662"/>
        <v>4</v>
      </c>
      <c r="AH63" s="432">
        <f t="shared" si="663"/>
        <v>4</v>
      </c>
      <c r="AI63" s="432">
        <f t="shared" si="664"/>
        <v>4</v>
      </c>
      <c r="AJ63" s="433">
        <f t="shared" si="665"/>
        <v>4</v>
      </c>
      <c r="AK63" s="333">
        <f t="shared" si="546"/>
        <v>4</v>
      </c>
      <c r="AL63" s="432">
        <f t="shared" si="547"/>
        <v>4</v>
      </c>
      <c r="AM63" s="432">
        <f t="shared" si="548"/>
        <v>4</v>
      </c>
      <c r="AN63" s="433">
        <f t="shared" si="549"/>
        <v>4</v>
      </c>
      <c r="AO63" s="333">
        <f t="shared" si="666"/>
        <v>4</v>
      </c>
      <c r="AP63" s="432">
        <f t="shared" si="667"/>
        <v>4</v>
      </c>
      <c r="AQ63" s="432">
        <f t="shared" si="668"/>
        <v>4</v>
      </c>
      <c r="AR63" s="433">
        <f t="shared" si="669"/>
        <v>4</v>
      </c>
      <c r="AS63" s="333">
        <f t="shared" si="670"/>
        <v>4</v>
      </c>
      <c r="AT63" s="432">
        <f t="shared" si="671"/>
        <v>4</v>
      </c>
      <c r="AU63" s="432">
        <f t="shared" si="672"/>
        <v>4</v>
      </c>
      <c r="AV63" s="433">
        <f t="shared" si="673"/>
        <v>4</v>
      </c>
      <c r="AW63" s="333">
        <f t="shared" si="674"/>
        <v>4</v>
      </c>
      <c r="AX63" s="432">
        <f t="shared" si="675"/>
        <v>4</v>
      </c>
      <c r="AY63" s="432">
        <f t="shared" si="676"/>
        <v>4</v>
      </c>
      <c r="AZ63" s="433">
        <f t="shared" si="677"/>
        <v>4</v>
      </c>
      <c r="BA63" s="333">
        <f t="shared" si="678"/>
        <v>4</v>
      </c>
      <c r="BB63" s="432">
        <f t="shared" si="679"/>
        <v>4</v>
      </c>
      <c r="BC63" s="432">
        <f t="shared" si="680"/>
        <v>4</v>
      </c>
      <c r="BD63" s="433">
        <f t="shared" si="681"/>
        <v>4</v>
      </c>
      <c r="BE63" s="333">
        <f t="shared" si="682"/>
        <v>4</v>
      </c>
      <c r="BF63" s="432">
        <f t="shared" si="683"/>
        <v>4</v>
      </c>
      <c r="BG63" s="432">
        <f t="shared" si="684"/>
        <v>4</v>
      </c>
      <c r="BH63" s="433">
        <f t="shared" si="685"/>
        <v>4</v>
      </c>
      <c r="BI63" s="333">
        <f t="shared" si="686"/>
        <v>4</v>
      </c>
      <c r="BJ63" s="432">
        <f t="shared" si="687"/>
        <v>4</v>
      </c>
      <c r="BK63" s="432">
        <f t="shared" si="688"/>
        <v>4</v>
      </c>
      <c r="BL63" s="433">
        <f t="shared" si="689"/>
        <v>4</v>
      </c>
      <c r="BM63" s="333">
        <f t="shared" si="690"/>
        <v>4</v>
      </c>
      <c r="BN63" s="432">
        <f t="shared" si="691"/>
        <v>4</v>
      </c>
      <c r="BO63" s="432">
        <f t="shared" si="692"/>
        <v>4</v>
      </c>
      <c r="BP63" s="433">
        <f t="shared" si="693"/>
        <v>4</v>
      </c>
      <c r="BQ63" s="333">
        <f t="shared" si="578"/>
        <v>4</v>
      </c>
      <c r="BR63" s="432">
        <f t="shared" si="579"/>
        <v>4</v>
      </c>
      <c r="BS63" s="432">
        <f t="shared" si="580"/>
        <v>4</v>
      </c>
      <c r="BT63" s="433">
        <f t="shared" si="581"/>
        <v>4</v>
      </c>
      <c r="BU63" s="333">
        <f t="shared" si="582"/>
        <v>4</v>
      </c>
      <c r="BV63" s="432">
        <f t="shared" si="583"/>
        <v>4</v>
      </c>
      <c r="BW63" s="432">
        <f t="shared" si="584"/>
        <v>4</v>
      </c>
      <c r="BX63" s="433">
        <f t="shared" si="585"/>
        <v>4</v>
      </c>
      <c r="BY63" s="333">
        <f t="shared" si="586"/>
        <v>4</v>
      </c>
      <c r="BZ63" s="432">
        <f t="shared" si="587"/>
        <v>4</v>
      </c>
      <c r="CA63" s="432">
        <f t="shared" si="588"/>
        <v>4</v>
      </c>
      <c r="CB63" s="433">
        <f t="shared" si="589"/>
        <v>4</v>
      </c>
      <c r="CC63" s="333">
        <f t="shared" si="590"/>
        <v>4</v>
      </c>
      <c r="CD63" s="432">
        <f t="shared" si="591"/>
        <v>4</v>
      </c>
      <c r="CE63" s="432">
        <f t="shared" si="592"/>
        <v>4</v>
      </c>
      <c r="CF63" s="433">
        <f t="shared" si="593"/>
        <v>4</v>
      </c>
      <c r="CG63" s="333">
        <f t="shared" si="594"/>
        <v>4</v>
      </c>
      <c r="CH63" s="432">
        <f t="shared" si="595"/>
        <v>4</v>
      </c>
      <c r="CI63" s="432">
        <f t="shared" si="596"/>
        <v>4</v>
      </c>
      <c r="CJ63" s="433">
        <f t="shared" si="597"/>
        <v>4</v>
      </c>
      <c r="CK63" s="333">
        <f t="shared" si="598"/>
        <v>4</v>
      </c>
      <c r="CL63" s="432">
        <f t="shared" si="599"/>
        <v>4</v>
      </c>
      <c r="CM63" s="432">
        <f t="shared" si="600"/>
        <v>4</v>
      </c>
      <c r="CN63" s="433">
        <f t="shared" si="601"/>
        <v>4</v>
      </c>
      <c r="CO63" s="333">
        <f t="shared" si="602"/>
        <v>4</v>
      </c>
      <c r="CP63" s="432">
        <f t="shared" si="603"/>
        <v>4</v>
      </c>
      <c r="CQ63" s="432">
        <f t="shared" si="604"/>
        <v>4</v>
      </c>
      <c r="CR63" s="433">
        <f t="shared" si="605"/>
        <v>4</v>
      </c>
      <c r="CS63" s="333">
        <f t="shared" si="606"/>
        <v>4</v>
      </c>
      <c r="CT63" s="432">
        <f t="shared" si="607"/>
        <v>4</v>
      </c>
      <c r="CU63" s="432">
        <f t="shared" si="608"/>
        <v>4</v>
      </c>
      <c r="CV63" s="433">
        <f t="shared" si="609"/>
        <v>4</v>
      </c>
      <c r="CW63" s="333">
        <f t="shared" si="610"/>
        <v>4</v>
      </c>
      <c r="CX63" s="432">
        <f t="shared" si="611"/>
        <v>4</v>
      </c>
      <c r="CY63" s="432">
        <f t="shared" si="612"/>
        <v>4</v>
      </c>
      <c r="CZ63" s="433">
        <f t="shared" si="613"/>
        <v>4</v>
      </c>
      <c r="DA63" s="333">
        <f t="shared" si="614"/>
        <v>4</v>
      </c>
      <c r="DB63" s="432">
        <f t="shared" si="615"/>
        <v>4</v>
      </c>
      <c r="DC63" s="432">
        <f t="shared" si="616"/>
        <v>4</v>
      </c>
      <c r="DD63" s="433">
        <f t="shared" si="617"/>
        <v>4</v>
      </c>
      <c r="DE63" s="333">
        <f t="shared" si="618"/>
        <v>4</v>
      </c>
      <c r="DF63" s="432">
        <f t="shared" si="619"/>
        <v>4</v>
      </c>
      <c r="DG63" s="432">
        <f t="shared" si="620"/>
        <v>4</v>
      </c>
      <c r="DH63" s="433">
        <f t="shared" si="621"/>
        <v>4</v>
      </c>
      <c r="DI63" s="333">
        <f t="shared" si="622"/>
        <v>4</v>
      </c>
      <c r="DJ63" s="432">
        <f t="shared" si="623"/>
        <v>4</v>
      </c>
      <c r="DK63" s="432">
        <f t="shared" si="624"/>
        <v>4</v>
      </c>
      <c r="DL63" s="433">
        <f t="shared" si="625"/>
        <v>4</v>
      </c>
      <c r="DM63" s="333">
        <f t="shared" si="626"/>
        <v>4</v>
      </c>
      <c r="DN63" s="432">
        <f t="shared" si="627"/>
        <v>4</v>
      </c>
      <c r="DO63" s="432">
        <f t="shared" si="628"/>
        <v>4</v>
      </c>
      <c r="DP63" s="433">
        <f t="shared" si="629"/>
        <v>4</v>
      </c>
      <c r="DQ63" s="333">
        <f t="shared" si="630"/>
        <v>4</v>
      </c>
      <c r="DR63" s="432">
        <f t="shared" si="631"/>
        <v>4</v>
      </c>
      <c r="DS63" s="432">
        <f t="shared" si="632"/>
        <v>4</v>
      </c>
      <c r="DT63" s="433">
        <f t="shared" si="633"/>
        <v>4</v>
      </c>
      <c r="DU63" s="333">
        <f t="shared" si="634"/>
        <v>4</v>
      </c>
      <c r="DV63" s="432">
        <f t="shared" si="635"/>
        <v>4</v>
      </c>
      <c r="DW63" s="432">
        <f t="shared" si="636"/>
        <v>4</v>
      </c>
      <c r="DX63" s="433">
        <f t="shared" si="637"/>
        <v>4</v>
      </c>
      <c r="DY63" s="333">
        <f t="shared" si="638"/>
        <v>4</v>
      </c>
      <c r="DZ63" s="432">
        <f t="shared" si="639"/>
        <v>4</v>
      </c>
      <c r="EA63" s="432">
        <f t="shared" si="640"/>
        <v>4</v>
      </c>
      <c r="EB63" s="433">
        <f t="shared" si="641"/>
        <v>4</v>
      </c>
      <c r="EC63" s="333">
        <f t="shared" si="642"/>
        <v>4</v>
      </c>
      <c r="ED63" s="432">
        <f t="shared" si="643"/>
        <v>4</v>
      </c>
      <c r="EE63" s="432">
        <f t="shared" si="644"/>
        <v>4</v>
      </c>
      <c r="EF63" s="433">
        <f t="shared" si="645"/>
        <v>4</v>
      </c>
      <c r="EG63" s="333">
        <f t="shared" si="646"/>
        <v>4</v>
      </c>
      <c r="EH63" s="432">
        <f t="shared" si="647"/>
        <v>4</v>
      </c>
      <c r="EI63" s="432">
        <f t="shared" si="648"/>
        <v>4</v>
      </c>
      <c r="EJ63" s="433">
        <f t="shared" si="649"/>
        <v>4</v>
      </c>
      <c r="EK63" s="333">
        <f t="shared" si="650"/>
        <v>4</v>
      </c>
      <c r="EL63" s="432">
        <f t="shared" si="651"/>
        <v>4</v>
      </c>
      <c r="EM63" s="432">
        <f t="shared" si="652"/>
        <v>4</v>
      </c>
      <c r="EN63" s="433">
        <f t="shared" si="653"/>
        <v>4</v>
      </c>
      <c r="EO63" s="333">
        <f t="shared" si="654"/>
        <v>4</v>
      </c>
      <c r="EP63" s="432">
        <f t="shared" si="655"/>
        <v>4</v>
      </c>
      <c r="EQ63" s="432">
        <f t="shared" si="656"/>
        <v>4</v>
      </c>
      <c r="ER63" s="433">
        <f t="shared" si="657"/>
        <v>4</v>
      </c>
      <c r="ES63" s="333">
        <f t="shared" si="658"/>
        <v>4</v>
      </c>
      <c r="ET63" s="432">
        <f t="shared" si="659"/>
        <v>4</v>
      </c>
      <c r="EU63" s="432">
        <f t="shared" si="660"/>
        <v>4</v>
      </c>
      <c r="EV63" s="433">
        <f t="shared" si="661"/>
        <v>4</v>
      </c>
      <c r="EW63" s="263">
        <f>SUM(I63:DD63)/4</f>
        <v>76</v>
      </c>
      <c r="EX63" s="263"/>
      <c r="EY63" s="263"/>
      <c r="EZ63" s="263"/>
      <c r="FA63" s="263"/>
    </row>
    <row r="64" spans="2:157" s="264" customFormat="1" ht="29.25" customHeight="1">
      <c r="B64" s="257"/>
      <c r="C64" s="382" t="s">
        <v>33</v>
      </c>
      <c r="D64" s="270" t="s">
        <v>149</v>
      </c>
      <c r="E64" s="271">
        <v>2</v>
      </c>
      <c r="F64" s="258"/>
      <c r="G64" s="415"/>
      <c r="H64" s="259"/>
      <c r="I64" s="260"/>
      <c r="J64" s="261"/>
      <c r="K64" s="261"/>
      <c r="L64" s="262"/>
      <c r="M64" s="260"/>
      <c r="N64" s="261"/>
      <c r="O64" s="261"/>
      <c r="P64" s="262"/>
      <c r="Q64" s="260"/>
      <c r="R64" s="261"/>
      <c r="S64" s="261"/>
      <c r="T64" s="262"/>
      <c r="U64" s="333"/>
      <c r="V64" s="432"/>
      <c r="W64" s="432"/>
      <c r="X64" s="433"/>
      <c r="Y64" s="333"/>
      <c r="Z64" s="432"/>
      <c r="AA64" s="432"/>
      <c r="AB64" s="262"/>
      <c r="AC64" s="260"/>
      <c r="AD64" s="261"/>
      <c r="AE64" s="261"/>
      <c r="AF64" s="262"/>
      <c r="AG64" s="333">
        <f t="shared" si="662"/>
        <v>2</v>
      </c>
      <c r="AH64" s="432">
        <f t="shared" si="663"/>
        <v>2</v>
      </c>
      <c r="AI64" s="432">
        <f t="shared" si="664"/>
        <v>2</v>
      </c>
      <c r="AJ64" s="433">
        <f t="shared" si="665"/>
        <v>2</v>
      </c>
      <c r="AK64" s="333">
        <f t="shared" si="546"/>
        <v>2</v>
      </c>
      <c r="AL64" s="432">
        <f t="shared" si="547"/>
        <v>2</v>
      </c>
      <c r="AM64" s="432">
        <f t="shared" si="548"/>
        <v>2</v>
      </c>
      <c r="AN64" s="433">
        <f t="shared" si="549"/>
        <v>2</v>
      </c>
      <c r="AO64" s="333">
        <f t="shared" si="666"/>
        <v>2</v>
      </c>
      <c r="AP64" s="432">
        <f t="shared" si="667"/>
        <v>2</v>
      </c>
      <c r="AQ64" s="432">
        <f t="shared" si="668"/>
        <v>2</v>
      </c>
      <c r="AR64" s="433">
        <f t="shared" si="669"/>
        <v>2</v>
      </c>
      <c r="AS64" s="333">
        <f t="shared" si="670"/>
        <v>2</v>
      </c>
      <c r="AT64" s="432">
        <f t="shared" si="671"/>
        <v>2</v>
      </c>
      <c r="AU64" s="432">
        <f t="shared" si="672"/>
        <v>2</v>
      </c>
      <c r="AV64" s="433">
        <f t="shared" si="673"/>
        <v>2</v>
      </c>
      <c r="AW64" s="333">
        <f t="shared" si="674"/>
        <v>2</v>
      </c>
      <c r="AX64" s="432">
        <f t="shared" si="675"/>
        <v>2</v>
      </c>
      <c r="AY64" s="432">
        <f t="shared" si="676"/>
        <v>2</v>
      </c>
      <c r="AZ64" s="433">
        <f t="shared" si="677"/>
        <v>2</v>
      </c>
      <c r="BA64" s="333">
        <f t="shared" si="678"/>
        <v>2</v>
      </c>
      <c r="BB64" s="432">
        <f t="shared" si="679"/>
        <v>2</v>
      </c>
      <c r="BC64" s="432">
        <f t="shared" si="680"/>
        <v>2</v>
      </c>
      <c r="BD64" s="433">
        <f t="shared" si="681"/>
        <v>2</v>
      </c>
      <c r="BE64" s="333">
        <f t="shared" si="682"/>
        <v>2</v>
      </c>
      <c r="BF64" s="432">
        <f t="shared" si="683"/>
        <v>2</v>
      </c>
      <c r="BG64" s="432">
        <f t="shared" si="684"/>
        <v>2</v>
      </c>
      <c r="BH64" s="433">
        <f t="shared" si="685"/>
        <v>2</v>
      </c>
      <c r="BI64" s="333">
        <f t="shared" si="686"/>
        <v>2</v>
      </c>
      <c r="BJ64" s="432">
        <f t="shared" si="687"/>
        <v>2</v>
      </c>
      <c r="BK64" s="432">
        <f t="shared" si="688"/>
        <v>2</v>
      </c>
      <c r="BL64" s="433">
        <f t="shared" si="689"/>
        <v>2</v>
      </c>
      <c r="BM64" s="333">
        <f t="shared" si="690"/>
        <v>2</v>
      </c>
      <c r="BN64" s="432">
        <f t="shared" si="691"/>
        <v>2</v>
      </c>
      <c r="BO64" s="432">
        <f t="shared" si="692"/>
        <v>2</v>
      </c>
      <c r="BP64" s="433">
        <f t="shared" si="693"/>
        <v>2</v>
      </c>
      <c r="BQ64" s="333">
        <f t="shared" si="578"/>
        <v>2</v>
      </c>
      <c r="BR64" s="432">
        <f t="shared" si="579"/>
        <v>2</v>
      </c>
      <c r="BS64" s="432">
        <f t="shared" si="580"/>
        <v>2</v>
      </c>
      <c r="BT64" s="433">
        <f t="shared" si="581"/>
        <v>2</v>
      </c>
      <c r="BU64" s="333">
        <f t="shared" si="582"/>
        <v>2</v>
      </c>
      <c r="BV64" s="432">
        <f t="shared" si="583"/>
        <v>2</v>
      </c>
      <c r="BW64" s="432">
        <f t="shared" si="584"/>
        <v>2</v>
      </c>
      <c r="BX64" s="433">
        <f t="shared" si="585"/>
        <v>2</v>
      </c>
      <c r="BY64" s="333">
        <f t="shared" si="586"/>
        <v>2</v>
      </c>
      <c r="BZ64" s="432">
        <f t="shared" si="587"/>
        <v>2</v>
      </c>
      <c r="CA64" s="432">
        <f t="shared" si="588"/>
        <v>2</v>
      </c>
      <c r="CB64" s="433">
        <f t="shared" si="589"/>
        <v>2</v>
      </c>
      <c r="CC64" s="333">
        <f t="shared" si="590"/>
        <v>2</v>
      </c>
      <c r="CD64" s="432">
        <f t="shared" si="591"/>
        <v>2</v>
      </c>
      <c r="CE64" s="432">
        <f t="shared" si="592"/>
        <v>2</v>
      </c>
      <c r="CF64" s="433">
        <f t="shared" si="593"/>
        <v>2</v>
      </c>
      <c r="CG64" s="333">
        <f t="shared" si="594"/>
        <v>2</v>
      </c>
      <c r="CH64" s="432">
        <f t="shared" si="595"/>
        <v>2</v>
      </c>
      <c r="CI64" s="432">
        <f t="shared" si="596"/>
        <v>2</v>
      </c>
      <c r="CJ64" s="433">
        <f t="shared" si="597"/>
        <v>2</v>
      </c>
      <c r="CK64" s="333">
        <f t="shared" si="598"/>
        <v>2</v>
      </c>
      <c r="CL64" s="432">
        <f t="shared" si="599"/>
        <v>2</v>
      </c>
      <c r="CM64" s="432">
        <f t="shared" si="600"/>
        <v>2</v>
      </c>
      <c r="CN64" s="433">
        <f t="shared" si="601"/>
        <v>2</v>
      </c>
      <c r="CO64" s="333">
        <f t="shared" si="602"/>
        <v>2</v>
      </c>
      <c r="CP64" s="432">
        <f t="shared" si="603"/>
        <v>2</v>
      </c>
      <c r="CQ64" s="432">
        <f t="shared" si="604"/>
        <v>2</v>
      </c>
      <c r="CR64" s="433">
        <f t="shared" si="605"/>
        <v>2</v>
      </c>
      <c r="CS64" s="333">
        <f t="shared" si="606"/>
        <v>2</v>
      </c>
      <c r="CT64" s="432">
        <f t="shared" si="607"/>
        <v>2</v>
      </c>
      <c r="CU64" s="432">
        <f t="shared" si="608"/>
        <v>2</v>
      </c>
      <c r="CV64" s="433">
        <f t="shared" si="609"/>
        <v>2</v>
      </c>
      <c r="CW64" s="333">
        <f t="shared" si="610"/>
        <v>2</v>
      </c>
      <c r="CX64" s="432">
        <f t="shared" si="611"/>
        <v>2</v>
      </c>
      <c r="CY64" s="432">
        <f t="shared" si="612"/>
        <v>2</v>
      </c>
      <c r="CZ64" s="433">
        <f t="shared" si="613"/>
        <v>2</v>
      </c>
      <c r="DA64" s="333">
        <f t="shared" si="614"/>
        <v>2</v>
      </c>
      <c r="DB64" s="432">
        <f t="shared" si="615"/>
        <v>2</v>
      </c>
      <c r="DC64" s="432">
        <f t="shared" si="616"/>
        <v>2</v>
      </c>
      <c r="DD64" s="433">
        <f t="shared" si="617"/>
        <v>2</v>
      </c>
      <c r="DE64" s="333">
        <f t="shared" si="618"/>
        <v>2</v>
      </c>
      <c r="DF64" s="432">
        <f t="shared" si="619"/>
        <v>2</v>
      </c>
      <c r="DG64" s="432">
        <f t="shared" si="620"/>
        <v>2</v>
      </c>
      <c r="DH64" s="433">
        <f t="shared" si="621"/>
        <v>2</v>
      </c>
      <c r="DI64" s="333">
        <f t="shared" si="622"/>
        <v>2</v>
      </c>
      <c r="DJ64" s="432">
        <f t="shared" si="623"/>
        <v>2</v>
      </c>
      <c r="DK64" s="432">
        <f t="shared" si="624"/>
        <v>2</v>
      </c>
      <c r="DL64" s="433">
        <f t="shared" si="625"/>
        <v>2</v>
      </c>
      <c r="DM64" s="333">
        <f t="shared" si="626"/>
        <v>2</v>
      </c>
      <c r="DN64" s="432">
        <f t="shared" si="627"/>
        <v>2</v>
      </c>
      <c r="DO64" s="432">
        <f t="shared" si="628"/>
        <v>2</v>
      </c>
      <c r="DP64" s="433">
        <f t="shared" si="629"/>
        <v>2</v>
      </c>
      <c r="DQ64" s="333">
        <f t="shared" si="630"/>
        <v>2</v>
      </c>
      <c r="DR64" s="432">
        <f t="shared" si="631"/>
        <v>2</v>
      </c>
      <c r="DS64" s="432">
        <f t="shared" si="632"/>
        <v>2</v>
      </c>
      <c r="DT64" s="433">
        <f t="shared" si="633"/>
        <v>2</v>
      </c>
      <c r="DU64" s="333">
        <f t="shared" si="634"/>
        <v>2</v>
      </c>
      <c r="DV64" s="432">
        <f t="shared" si="635"/>
        <v>2</v>
      </c>
      <c r="DW64" s="432">
        <f t="shared" si="636"/>
        <v>2</v>
      </c>
      <c r="DX64" s="433">
        <f t="shared" si="637"/>
        <v>2</v>
      </c>
      <c r="DY64" s="333">
        <f t="shared" si="638"/>
        <v>2</v>
      </c>
      <c r="DZ64" s="432">
        <f t="shared" si="639"/>
        <v>2</v>
      </c>
      <c r="EA64" s="432">
        <f t="shared" si="640"/>
        <v>2</v>
      </c>
      <c r="EB64" s="433">
        <f t="shared" si="641"/>
        <v>2</v>
      </c>
      <c r="EC64" s="333">
        <f t="shared" si="642"/>
        <v>2</v>
      </c>
      <c r="ED64" s="432">
        <f t="shared" si="643"/>
        <v>2</v>
      </c>
      <c r="EE64" s="432">
        <f t="shared" si="644"/>
        <v>2</v>
      </c>
      <c r="EF64" s="433">
        <f t="shared" si="645"/>
        <v>2</v>
      </c>
      <c r="EG64" s="333">
        <f t="shared" si="646"/>
        <v>2</v>
      </c>
      <c r="EH64" s="432">
        <f t="shared" si="647"/>
        <v>2</v>
      </c>
      <c r="EI64" s="432">
        <f t="shared" si="648"/>
        <v>2</v>
      </c>
      <c r="EJ64" s="433">
        <f t="shared" si="649"/>
        <v>2</v>
      </c>
      <c r="EK64" s="333">
        <f t="shared" si="650"/>
        <v>2</v>
      </c>
      <c r="EL64" s="432">
        <f t="shared" si="651"/>
        <v>2</v>
      </c>
      <c r="EM64" s="432">
        <f t="shared" si="652"/>
        <v>2</v>
      </c>
      <c r="EN64" s="433">
        <f t="shared" si="653"/>
        <v>2</v>
      </c>
      <c r="EO64" s="333">
        <f t="shared" si="654"/>
        <v>2</v>
      </c>
      <c r="EP64" s="432">
        <f t="shared" si="655"/>
        <v>2</v>
      </c>
      <c r="EQ64" s="432">
        <f t="shared" si="656"/>
        <v>2</v>
      </c>
      <c r="ER64" s="433">
        <f t="shared" si="657"/>
        <v>2</v>
      </c>
      <c r="ES64" s="333">
        <f t="shared" si="658"/>
        <v>2</v>
      </c>
      <c r="ET64" s="432">
        <f t="shared" si="659"/>
        <v>2</v>
      </c>
      <c r="EU64" s="432">
        <f t="shared" si="660"/>
        <v>2</v>
      </c>
      <c r="EV64" s="433">
        <f t="shared" si="661"/>
        <v>2</v>
      </c>
      <c r="EW64" s="263">
        <f>SUM(I64:DD64)/4</f>
        <v>38</v>
      </c>
      <c r="EX64" s="263"/>
      <c r="EY64" s="263"/>
      <c r="EZ64" s="263"/>
      <c r="FA64" s="263"/>
    </row>
    <row r="65" spans="2:157" s="264" customFormat="1" ht="29.25" customHeight="1">
      <c r="B65" s="257"/>
      <c r="C65" s="382" t="s">
        <v>34</v>
      </c>
      <c r="D65" s="270" t="s">
        <v>149</v>
      </c>
      <c r="E65" s="271">
        <v>1</v>
      </c>
      <c r="F65" s="258"/>
      <c r="G65" s="415"/>
      <c r="H65" s="259"/>
      <c r="I65" s="260"/>
      <c r="J65" s="261"/>
      <c r="K65" s="261"/>
      <c r="L65" s="262"/>
      <c r="M65" s="260"/>
      <c r="N65" s="261"/>
      <c r="O65" s="261"/>
      <c r="P65" s="262"/>
      <c r="Q65" s="260"/>
      <c r="R65" s="261"/>
      <c r="S65" s="261"/>
      <c r="T65" s="262"/>
      <c r="U65" s="333"/>
      <c r="V65" s="432"/>
      <c r="W65" s="432"/>
      <c r="X65" s="433"/>
      <c r="Y65" s="333"/>
      <c r="Z65" s="432"/>
      <c r="AA65" s="432"/>
      <c r="AB65" s="262"/>
      <c r="AC65" s="260"/>
      <c r="AD65" s="261"/>
      <c r="AE65" s="261"/>
      <c r="AF65" s="262"/>
      <c r="AG65" s="333">
        <f t="shared" si="662"/>
        <v>1</v>
      </c>
      <c r="AH65" s="432">
        <f t="shared" si="663"/>
        <v>1</v>
      </c>
      <c r="AI65" s="432">
        <f t="shared" si="664"/>
        <v>1</v>
      </c>
      <c r="AJ65" s="433">
        <f t="shared" si="665"/>
        <v>1</v>
      </c>
      <c r="AK65" s="333">
        <f t="shared" si="546"/>
        <v>1</v>
      </c>
      <c r="AL65" s="432">
        <f t="shared" si="547"/>
        <v>1</v>
      </c>
      <c r="AM65" s="432">
        <f t="shared" si="548"/>
        <v>1</v>
      </c>
      <c r="AN65" s="433">
        <f t="shared" si="549"/>
        <v>1</v>
      </c>
      <c r="AO65" s="333">
        <f t="shared" si="666"/>
        <v>1</v>
      </c>
      <c r="AP65" s="432">
        <f t="shared" si="667"/>
        <v>1</v>
      </c>
      <c r="AQ65" s="432">
        <f t="shared" si="668"/>
        <v>1</v>
      </c>
      <c r="AR65" s="433">
        <f t="shared" si="669"/>
        <v>1</v>
      </c>
      <c r="AS65" s="333">
        <f t="shared" si="670"/>
        <v>1</v>
      </c>
      <c r="AT65" s="432">
        <f t="shared" si="671"/>
        <v>1</v>
      </c>
      <c r="AU65" s="432">
        <f t="shared" si="672"/>
        <v>1</v>
      </c>
      <c r="AV65" s="433">
        <f t="shared" si="673"/>
        <v>1</v>
      </c>
      <c r="AW65" s="333">
        <f t="shared" si="674"/>
        <v>1</v>
      </c>
      <c r="AX65" s="432">
        <f t="shared" si="675"/>
        <v>1</v>
      </c>
      <c r="AY65" s="432">
        <f t="shared" si="676"/>
        <v>1</v>
      </c>
      <c r="AZ65" s="433">
        <f t="shared" si="677"/>
        <v>1</v>
      </c>
      <c r="BA65" s="333">
        <f t="shared" si="678"/>
        <v>1</v>
      </c>
      <c r="BB65" s="432">
        <f t="shared" si="679"/>
        <v>1</v>
      </c>
      <c r="BC65" s="432">
        <f t="shared" si="680"/>
        <v>1</v>
      </c>
      <c r="BD65" s="433">
        <f t="shared" si="681"/>
        <v>1</v>
      </c>
      <c r="BE65" s="333">
        <f t="shared" si="682"/>
        <v>1</v>
      </c>
      <c r="BF65" s="432">
        <f t="shared" si="683"/>
        <v>1</v>
      </c>
      <c r="BG65" s="432">
        <f t="shared" si="684"/>
        <v>1</v>
      </c>
      <c r="BH65" s="433">
        <f t="shared" si="685"/>
        <v>1</v>
      </c>
      <c r="BI65" s="333">
        <f t="shared" si="686"/>
        <v>1</v>
      </c>
      <c r="BJ65" s="432">
        <f t="shared" si="687"/>
        <v>1</v>
      </c>
      <c r="BK65" s="432">
        <f t="shared" si="688"/>
        <v>1</v>
      </c>
      <c r="BL65" s="433">
        <f t="shared" si="689"/>
        <v>1</v>
      </c>
      <c r="BM65" s="333">
        <f t="shared" si="690"/>
        <v>1</v>
      </c>
      <c r="BN65" s="432">
        <f t="shared" si="691"/>
        <v>1</v>
      </c>
      <c r="BO65" s="432">
        <f t="shared" si="692"/>
        <v>1</v>
      </c>
      <c r="BP65" s="433">
        <f t="shared" si="693"/>
        <v>1</v>
      </c>
      <c r="BQ65" s="333">
        <f t="shared" si="578"/>
        <v>1</v>
      </c>
      <c r="BR65" s="432">
        <f t="shared" si="579"/>
        <v>1</v>
      </c>
      <c r="BS65" s="432">
        <f t="shared" si="580"/>
        <v>1</v>
      </c>
      <c r="BT65" s="433">
        <f t="shared" si="581"/>
        <v>1</v>
      </c>
      <c r="BU65" s="333">
        <f t="shared" si="582"/>
        <v>1</v>
      </c>
      <c r="BV65" s="432">
        <f t="shared" si="583"/>
        <v>1</v>
      </c>
      <c r="BW65" s="432">
        <f t="shared" si="584"/>
        <v>1</v>
      </c>
      <c r="BX65" s="433">
        <f t="shared" si="585"/>
        <v>1</v>
      </c>
      <c r="BY65" s="333">
        <f t="shared" si="586"/>
        <v>1</v>
      </c>
      <c r="BZ65" s="432">
        <f t="shared" si="587"/>
        <v>1</v>
      </c>
      <c r="CA65" s="432">
        <f t="shared" si="588"/>
        <v>1</v>
      </c>
      <c r="CB65" s="433">
        <f t="shared" si="589"/>
        <v>1</v>
      </c>
      <c r="CC65" s="333">
        <f t="shared" si="590"/>
        <v>1</v>
      </c>
      <c r="CD65" s="432">
        <f t="shared" si="591"/>
        <v>1</v>
      </c>
      <c r="CE65" s="432">
        <f t="shared" si="592"/>
        <v>1</v>
      </c>
      <c r="CF65" s="433">
        <f t="shared" si="593"/>
        <v>1</v>
      </c>
      <c r="CG65" s="333">
        <f t="shared" si="594"/>
        <v>1</v>
      </c>
      <c r="CH65" s="432">
        <f t="shared" si="595"/>
        <v>1</v>
      </c>
      <c r="CI65" s="432">
        <f t="shared" si="596"/>
        <v>1</v>
      </c>
      <c r="CJ65" s="433">
        <f t="shared" si="597"/>
        <v>1</v>
      </c>
      <c r="CK65" s="333">
        <f t="shared" si="598"/>
        <v>1</v>
      </c>
      <c r="CL65" s="432">
        <f t="shared" si="599"/>
        <v>1</v>
      </c>
      <c r="CM65" s="432">
        <f t="shared" si="600"/>
        <v>1</v>
      </c>
      <c r="CN65" s="433">
        <f t="shared" si="601"/>
        <v>1</v>
      </c>
      <c r="CO65" s="333">
        <f t="shared" si="602"/>
        <v>1</v>
      </c>
      <c r="CP65" s="432">
        <f t="shared" si="603"/>
        <v>1</v>
      </c>
      <c r="CQ65" s="432">
        <f t="shared" si="604"/>
        <v>1</v>
      </c>
      <c r="CR65" s="433">
        <f t="shared" si="605"/>
        <v>1</v>
      </c>
      <c r="CS65" s="333">
        <f t="shared" si="606"/>
        <v>1</v>
      </c>
      <c r="CT65" s="432">
        <f t="shared" si="607"/>
        <v>1</v>
      </c>
      <c r="CU65" s="432">
        <f t="shared" si="608"/>
        <v>1</v>
      </c>
      <c r="CV65" s="433">
        <f t="shared" si="609"/>
        <v>1</v>
      </c>
      <c r="CW65" s="333">
        <f t="shared" si="610"/>
        <v>1</v>
      </c>
      <c r="CX65" s="432">
        <f t="shared" si="611"/>
        <v>1</v>
      </c>
      <c r="CY65" s="432">
        <f t="shared" si="612"/>
        <v>1</v>
      </c>
      <c r="CZ65" s="433">
        <f t="shared" si="613"/>
        <v>1</v>
      </c>
      <c r="DA65" s="333">
        <f t="shared" si="614"/>
        <v>1</v>
      </c>
      <c r="DB65" s="432">
        <f t="shared" si="615"/>
        <v>1</v>
      </c>
      <c r="DC65" s="432">
        <f t="shared" si="616"/>
        <v>1</v>
      </c>
      <c r="DD65" s="433">
        <f t="shared" si="617"/>
        <v>1</v>
      </c>
      <c r="DE65" s="333">
        <f t="shared" si="618"/>
        <v>1</v>
      </c>
      <c r="DF65" s="432">
        <f t="shared" si="619"/>
        <v>1</v>
      </c>
      <c r="DG65" s="432">
        <f t="shared" si="620"/>
        <v>1</v>
      </c>
      <c r="DH65" s="433">
        <f t="shared" si="621"/>
        <v>1</v>
      </c>
      <c r="DI65" s="333">
        <f t="shared" si="622"/>
        <v>1</v>
      </c>
      <c r="DJ65" s="432">
        <f t="shared" si="623"/>
        <v>1</v>
      </c>
      <c r="DK65" s="432">
        <f t="shared" si="624"/>
        <v>1</v>
      </c>
      <c r="DL65" s="433">
        <f t="shared" si="625"/>
        <v>1</v>
      </c>
      <c r="DM65" s="333">
        <f t="shared" si="626"/>
        <v>1</v>
      </c>
      <c r="DN65" s="432">
        <f t="shared" si="627"/>
        <v>1</v>
      </c>
      <c r="DO65" s="432">
        <f t="shared" si="628"/>
        <v>1</v>
      </c>
      <c r="DP65" s="433">
        <f t="shared" si="629"/>
        <v>1</v>
      </c>
      <c r="DQ65" s="333">
        <f t="shared" si="630"/>
        <v>1</v>
      </c>
      <c r="DR65" s="432">
        <f t="shared" si="631"/>
        <v>1</v>
      </c>
      <c r="DS65" s="432">
        <f t="shared" si="632"/>
        <v>1</v>
      </c>
      <c r="DT65" s="433">
        <f t="shared" si="633"/>
        <v>1</v>
      </c>
      <c r="DU65" s="333">
        <f t="shared" si="634"/>
        <v>1</v>
      </c>
      <c r="DV65" s="432">
        <f t="shared" si="635"/>
        <v>1</v>
      </c>
      <c r="DW65" s="432">
        <f t="shared" si="636"/>
        <v>1</v>
      </c>
      <c r="DX65" s="433">
        <f t="shared" si="637"/>
        <v>1</v>
      </c>
      <c r="DY65" s="333">
        <f t="shared" si="638"/>
        <v>1</v>
      </c>
      <c r="DZ65" s="432">
        <f t="shared" si="639"/>
        <v>1</v>
      </c>
      <c r="EA65" s="432">
        <f t="shared" si="640"/>
        <v>1</v>
      </c>
      <c r="EB65" s="433">
        <f t="shared" si="641"/>
        <v>1</v>
      </c>
      <c r="EC65" s="333">
        <f t="shared" si="642"/>
        <v>1</v>
      </c>
      <c r="ED65" s="432">
        <f t="shared" si="643"/>
        <v>1</v>
      </c>
      <c r="EE65" s="432">
        <f t="shared" si="644"/>
        <v>1</v>
      </c>
      <c r="EF65" s="433">
        <f t="shared" si="645"/>
        <v>1</v>
      </c>
      <c r="EG65" s="333">
        <f t="shared" si="646"/>
        <v>1</v>
      </c>
      <c r="EH65" s="432">
        <f t="shared" si="647"/>
        <v>1</v>
      </c>
      <c r="EI65" s="432">
        <f t="shared" si="648"/>
        <v>1</v>
      </c>
      <c r="EJ65" s="433">
        <f t="shared" si="649"/>
        <v>1</v>
      </c>
      <c r="EK65" s="333">
        <f t="shared" si="650"/>
        <v>1</v>
      </c>
      <c r="EL65" s="432">
        <f t="shared" si="651"/>
        <v>1</v>
      </c>
      <c r="EM65" s="432">
        <f t="shared" si="652"/>
        <v>1</v>
      </c>
      <c r="EN65" s="433">
        <f t="shared" si="653"/>
        <v>1</v>
      </c>
      <c r="EO65" s="333">
        <f t="shared" si="654"/>
        <v>1</v>
      </c>
      <c r="EP65" s="432">
        <f t="shared" si="655"/>
        <v>1</v>
      </c>
      <c r="EQ65" s="432">
        <f t="shared" si="656"/>
        <v>1</v>
      </c>
      <c r="ER65" s="433">
        <f t="shared" si="657"/>
        <v>1</v>
      </c>
      <c r="ES65" s="333">
        <f t="shared" si="658"/>
        <v>1</v>
      </c>
      <c r="ET65" s="432">
        <f t="shared" si="659"/>
        <v>1</v>
      </c>
      <c r="EU65" s="432">
        <f t="shared" si="660"/>
        <v>1</v>
      </c>
      <c r="EV65" s="433">
        <f t="shared" si="661"/>
        <v>1</v>
      </c>
      <c r="EW65" s="263">
        <f>SUM(I65:DD65)/4</f>
        <v>19</v>
      </c>
      <c r="EX65" s="263"/>
      <c r="EY65" s="263"/>
      <c r="EZ65" s="263"/>
      <c r="FA65" s="263"/>
    </row>
    <row r="66" spans="2:157" s="264" customFormat="1" ht="29.25" customHeight="1">
      <c r="B66" s="257"/>
      <c r="C66" s="382" t="s">
        <v>35</v>
      </c>
      <c r="D66" s="270" t="s">
        <v>149</v>
      </c>
      <c r="E66" s="271">
        <v>1</v>
      </c>
      <c r="F66" s="258"/>
      <c r="G66" s="415"/>
      <c r="H66" s="259"/>
      <c r="I66" s="260"/>
      <c r="J66" s="261"/>
      <c r="K66" s="261"/>
      <c r="L66" s="262"/>
      <c r="M66" s="260"/>
      <c r="N66" s="261"/>
      <c r="O66" s="261"/>
      <c r="P66" s="262"/>
      <c r="Q66" s="260"/>
      <c r="R66" s="261"/>
      <c r="S66" s="261"/>
      <c r="T66" s="262"/>
      <c r="U66" s="333"/>
      <c r="V66" s="432"/>
      <c r="W66" s="432"/>
      <c r="X66" s="433"/>
      <c r="Y66" s="333"/>
      <c r="Z66" s="432"/>
      <c r="AA66" s="432"/>
      <c r="AB66" s="262"/>
      <c r="AC66" s="260"/>
      <c r="AD66" s="261"/>
      <c r="AE66" s="261"/>
      <c r="AF66" s="262"/>
      <c r="AG66" s="333">
        <f t="shared" si="662"/>
        <v>1</v>
      </c>
      <c r="AH66" s="432">
        <f t="shared" si="663"/>
        <v>1</v>
      </c>
      <c r="AI66" s="432">
        <f t="shared" si="664"/>
        <v>1</v>
      </c>
      <c r="AJ66" s="433">
        <f t="shared" si="665"/>
        <v>1</v>
      </c>
      <c r="AK66" s="333">
        <f t="shared" si="546"/>
        <v>1</v>
      </c>
      <c r="AL66" s="432">
        <f t="shared" si="547"/>
        <v>1</v>
      </c>
      <c r="AM66" s="432">
        <f t="shared" si="548"/>
        <v>1</v>
      </c>
      <c r="AN66" s="433">
        <f t="shared" si="549"/>
        <v>1</v>
      </c>
      <c r="AO66" s="333">
        <f t="shared" si="666"/>
        <v>1</v>
      </c>
      <c r="AP66" s="432">
        <f t="shared" si="667"/>
        <v>1</v>
      </c>
      <c r="AQ66" s="432">
        <f t="shared" si="668"/>
        <v>1</v>
      </c>
      <c r="AR66" s="433">
        <f t="shared" si="669"/>
        <v>1</v>
      </c>
      <c r="AS66" s="333">
        <f t="shared" si="670"/>
        <v>1</v>
      </c>
      <c r="AT66" s="432">
        <f t="shared" si="671"/>
        <v>1</v>
      </c>
      <c r="AU66" s="432">
        <f t="shared" si="672"/>
        <v>1</v>
      </c>
      <c r="AV66" s="433">
        <f t="shared" si="673"/>
        <v>1</v>
      </c>
      <c r="AW66" s="333">
        <f t="shared" si="674"/>
        <v>1</v>
      </c>
      <c r="AX66" s="432">
        <f t="shared" si="675"/>
        <v>1</v>
      </c>
      <c r="AY66" s="432">
        <f t="shared" si="676"/>
        <v>1</v>
      </c>
      <c r="AZ66" s="433">
        <f t="shared" si="677"/>
        <v>1</v>
      </c>
      <c r="BA66" s="333">
        <f t="shared" si="678"/>
        <v>1</v>
      </c>
      <c r="BB66" s="432">
        <f t="shared" si="679"/>
        <v>1</v>
      </c>
      <c r="BC66" s="432">
        <f t="shared" si="680"/>
        <v>1</v>
      </c>
      <c r="BD66" s="433">
        <f t="shared" si="681"/>
        <v>1</v>
      </c>
      <c r="BE66" s="333">
        <f t="shared" si="682"/>
        <v>1</v>
      </c>
      <c r="BF66" s="432">
        <f t="shared" si="683"/>
        <v>1</v>
      </c>
      <c r="BG66" s="432">
        <f t="shared" si="684"/>
        <v>1</v>
      </c>
      <c r="BH66" s="433">
        <f t="shared" si="685"/>
        <v>1</v>
      </c>
      <c r="BI66" s="333">
        <f t="shared" si="686"/>
        <v>1</v>
      </c>
      <c r="BJ66" s="432">
        <f t="shared" si="687"/>
        <v>1</v>
      </c>
      <c r="BK66" s="432">
        <f t="shared" si="688"/>
        <v>1</v>
      </c>
      <c r="BL66" s="433">
        <f t="shared" si="689"/>
        <v>1</v>
      </c>
      <c r="BM66" s="333">
        <f t="shared" si="690"/>
        <v>1</v>
      </c>
      <c r="BN66" s="432">
        <f t="shared" si="691"/>
        <v>1</v>
      </c>
      <c r="BO66" s="432">
        <f t="shared" si="692"/>
        <v>1</v>
      </c>
      <c r="BP66" s="433">
        <f t="shared" si="693"/>
        <v>1</v>
      </c>
      <c r="BQ66" s="333">
        <f t="shared" si="578"/>
        <v>1</v>
      </c>
      <c r="BR66" s="432">
        <f t="shared" si="579"/>
        <v>1</v>
      </c>
      <c r="BS66" s="432">
        <f t="shared" si="580"/>
        <v>1</v>
      </c>
      <c r="BT66" s="433">
        <f t="shared" si="581"/>
        <v>1</v>
      </c>
      <c r="BU66" s="333">
        <f t="shared" si="582"/>
        <v>1</v>
      </c>
      <c r="BV66" s="432">
        <f t="shared" si="583"/>
        <v>1</v>
      </c>
      <c r="BW66" s="432">
        <f t="shared" si="584"/>
        <v>1</v>
      </c>
      <c r="BX66" s="433">
        <f t="shared" si="585"/>
        <v>1</v>
      </c>
      <c r="BY66" s="333">
        <f t="shared" si="586"/>
        <v>1</v>
      </c>
      <c r="BZ66" s="432">
        <f t="shared" si="587"/>
        <v>1</v>
      </c>
      <c r="CA66" s="432">
        <f t="shared" si="588"/>
        <v>1</v>
      </c>
      <c r="CB66" s="433">
        <f t="shared" si="589"/>
        <v>1</v>
      </c>
      <c r="CC66" s="333">
        <f t="shared" si="590"/>
        <v>1</v>
      </c>
      <c r="CD66" s="432">
        <f t="shared" si="591"/>
        <v>1</v>
      </c>
      <c r="CE66" s="432">
        <f t="shared" si="592"/>
        <v>1</v>
      </c>
      <c r="CF66" s="433">
        <f t="shared" si="593"/>
        <v>1</v>
      </c>
      <c r="CG66" s="333">
        <f t="shared" si="594"/>
        <v>1</v>
      </c>
      <c r="CH66" s="432">
        <f t="shared" si="595"/>
        <v>1</v>
      </c>
      <c r="CI66" s="432">
        <f t="shared" si="596"/>
        <v>1</v>
      </c>
      <c r="CJ66" s="433">
        <f t="shared" si="597"/>
        <v>1</v>
      </c>
      <c r="CK66" s="333">
        <f t="shared" si="598"/>
        <v>1</v>
      </c>
      <c r="CL66" s="432">
        <f t="shared" si="599"/>
        <v>1</v>
      </c>
      <c r="CM66" s="432">
        <f t="shared" si="600"/>
        <v>1</v>
      </c>
      <c r="CN66" s="433">
        <f t="shared" si="601"/>
        <v>1</v>
      </c>
      <c r="CO66" s="333">
        <f t="shared" si="602"/>
        <v>1</v>
      </c>
      <c r="CP66" s="432">
        <f t="shared" si="603"/>
        <v>1</v>
      </c>
      <c r="CQ66" s="432">
        <f t="shared" si="604"/>
        <v>1</v>
      </c>
      <c r="CR66" s="433">
        <f t="shared" si="605"/>
        <v>1</v>
      </c>
      <c r="CS66" s="333">
        <f t="shared" si="606"/>
        <v>1</v>
      </c>
      <c r="CT66" s="432">
        <f t="shared" si="607"/>
        <v>1</v>
      </c>
      <c r="CU66" s="432">
        <f t="shared" si="608"/>
        <v>1</v>
      </c>
      <c r="CV66" s="433">
        <f t="shared" si="609"/>
        <v>1</v>
      </c>
      <c r="CW66" s="333">
        <f t="shared" si="610"/>
        <v>1</v>
      </c>
      <c r="CX66" s="432">
        <f t="shared" si="611"/>
        <v>1</v>
      </c>
      <c r="CY66" s="432">
        <f t="shared" si="612"/>
        <v>1</v>
      </c>
      <c r="CZ66" s="433">
        <f t="shared" si="613"/>
        <v>1</v>
      </c>
      <c r="DA66" s="333">
        <f t="shared" si="614"/>
        <v>1</v>
      </c>
      <c r="DB66" s="432">
        <f t="shared" si="615"/>
        <v>1</v>
      </c>
      <c r="DC66" s="432">
        <f t="shared" si="616"/>
        <v>1</v>
      </c>
      <c r="DD66" s="433">
        <f t="shared" si="617"/>
        <v>1</v>
      </c>
      <c r="DE66" s="333">
        <f t="shared" si="618"/>
        <v>1</v>
      </c>
      <c r="DF66" s="432">
        <f t="shared" si="619"/>
        <v>1</v>
      </c>
      <c r="DG66" s="432">
        <f t="shared" si="620"/>
        <v>1</v>
      </c>
      <c r="DH66" s="433">
        <f t="shared" si="621"/>
        <v>1</v>
      </c>
      <c r="DI66" s="333">
        <f t="shared" si="622"/>
        <v>1</v>
      </c>
      <c r="DJ66" s="432">
        <f t="shared" si="623"/>
        <v>1</v>
      </c>
      <c r="DK66" s="432">
        <f t="shared" si="624"/>
        <v>1</v>
      </c>
      <c r="DL66" s="433">
        <f t="shared" si="625"/>
        <v>1</v>
      </c>
      <c r="DM66" s="333">
        <f t="shared" si="626"/>
        <v>1</v>
      </c>
      <c r="DN66" s="432">
        <f t="shared" si="627"/>
        <v>1</v>
      </c>
      <c r="DO66" s="432">
        <f t="shared" si="628"/>
        <v>1</v>
      </c>
      <c r="DP66" s="433">
        <f t="shared" si="629"/>
        <v>1</v>
      </c>
      <c r="DQ66" s="333">
        <f t="shared" si="630"/>
        <v>1</v>
      </c>
      <c r="DR66" s="432">
        <f t="shared" si="631"/>
        <v>1</v>
      </c>
      <c r="DS66" s="432">
        <f t="shared" si="632"/>
        <v>1</v>
      </c>
      <c r="DT66" s="433">
        <f t="shared" si="633"/>
        <v>1</v>
      </c>
      <c r="DU66" s="333">
        <f t="shared" si="634"/>
        <v>1</v>
      </c>
      <c r="DV66" s="432">
        <f t="shared" si="635"/>
        <v>1</v>
      </c>
      <c r="DW66" s="432">
        <f t="shared" si="636"/>
        <v>1</v>
      </c>
      <c r="DX66" s="433">
        <f t="shared" si="637"/>
        <v>1</v>
      </c>
      <c r="DY66" s="333">
        <f t="shared" si="638"/>
        <v>1</v>
      </c>
      <c r="DZ66" s="432">
        <f t="shared" si="639"/>
        <v>1</v>
      </c>
      <c r="EA66" s="432">
        <f t="shared" si="640"/>
        <v>1</v>
      </c>
      <c r="EB66" s="433">
        <f t="shared" si="641"/>
        <v>1</v>
      </c>
      <c r="EC66" s="333">
        <f t="shared" si="642"/>
        <v>1</v>
      </c>
      <c r="ED66" s="432">
        <f t="shared" si="643"/>
        <v>1</v>
      </c>
      <c r="EE66" s="432">
        <f t="shared" si="644"/>
        <v>1</v>
      </c>
      <c r="EF66" s="433">
        <f t="shared" si="645"/>
        <v>1</v>
      </c>
      <c r="EG66" s="333">
        <f t="shared" si="646"/>
        <v>1</v>
      </c>
      <c r="EH66" s="432">
        <f t="shared" si="647"/>
        <v>1</v>
      </c>
      <c r="EI66" s="432">
        <f t="shared" si="648"/>
        <v>1</v>
      </c>
      <c r="EJ66" s="433">
        <f t="shared" si="649"/>
        <v>1</v>
      </c>
      <c r="EK66" s="333">
        <f t="shared" si="650"/>
        <v>1</v>
      </c>
      <c r="EL66" s="432">
        <f t="shared" si="651"/>
        <v>1</v>
      </c>
      <c r="EM66" s="432">
        <f t="shared" si="652"/>
        <v>1</v>
      </c>
      <c r="EN66" s="433">
        <f t="shared" si="653"/>
        <v>1</v>
      </c>
      <c r="EO66" s="333">
        <f t="shared" si="654"/>
        <v>1</v>
      </c>
      <c r="EP66" s="432">
        <f t="shared" si="655"/>
        <v>1</v>
      </c>
      <c r="EQ66" s="432">
        <f t="shared" si="656"/>
        <v>1</v>
      </c>
      <c r="ER66" s="433">
        <f t="shared" si="657"/>
        <v>1</v>
      </c>
      <c r="ES66" s="333">
        <f t="shared" si="658"/>
        <v>1</v>
      </c>
      <c r="ET66" s="432">
        <f t="shared" si="659"/>
        <v>1</v>
      </c>
      <c r="EU66" s="432">
        <f t="shared" si="660"/>
        <v>1</v>
      </c>
      <c r="EV66" s="433">
        <f t="shared" si="661"/>
        <v>1</v>
      </c>
      <c r="EW66" s="263">
        <f>SUM(I66:DD66)/4</f>
        <v>19</v>
      </c>
      <c r="EX66" s="263"/>
      <c r="EY66" s="263"/>
      <c r="EZ66" s="263"/>
      <c r="FA66" s="263"/>
    </row>
    <row r="67" spans="2:157" s="264" customFormat="1" ht="29.25" customHeight="1">
      <c r="B67" s="257"/>
      <c r="C67" s="382" t="s">
        <v>36</v>
      </c>
      <c r="D67" s="270" t="s">
        <v>149</v>
      </c>
      <c r="E67" s="271">
        <v>1</v>
      </c>
      <c r="F67" s="258"/>
      <c r="G67" s="415"/>
      <c r="H67" s="259"/>
      <c r="I67" s="260"/>
      <c r="J67" s="261"/>
      <c r="K67" s="261"/>
      <c r="L67" s="262"/>
      <c r="M67" s="260"/>
      <c r="N67" s="261"/>
      <c r="O67" s="261"/>
      <c r="P67" s="262"/>
      <c r="Q67" s="260"/>
      <c r="R67" s="261"/>
      <c r="S67" s="261"/>
      <c r="T67" s="262"/>
      <c r="U67" s="333"/>
      <c r="V67" s="432"/>
      <c r="W67" s="432"/>
      <c r="X67" s="433"/>
      <c r="Y67" s="333"/>
      <c r="Z67" s="432"/>
      <c r="AA67" s="432"/>
      <c r="AB67" s="262"/>
      <c r="AC67" s="260"/>
      <c r="AD67" s="261"/>
      <c r="AE67" s="261"/>
      <c r="AF67" s="262"/>
      <c r="AG67" s="333">
        <f t="shared" si="662"/>
        <v>1</v>
      </c>
      <c r="AH67" s="432">
        <f t="shared" si="663"/>
        <v>1</v>
      </c>
      <c r="AI67" s="432">
        <f t="shared" si="664"/>
        <v>1</v>
      </c>
      <c r="AJ67" s="433">
        <f t="shared" si="665"/>
        <v>1</v>
      </c>
      <c r="AK67" s="333">
        <f t="shared" si="546"/>
        <v>1</v>
      </c>
      <c r="AL67" s="432">
        <f t="shared" si="547"/>
        <v>1</v>
      </c>
      <c r="AM67" s="432">
        <f t="shared" si="548"/>
        <v>1</v>
      </c>
      <c r="AN67" s="433">
        <f t="shared" si="549"/>
        <v>1</v>
      </c>
      <c r="AO67" s="333">
        <f t="shared" si="666"/>
        <v>1</v>
      </c>
      <c r="AP67" s="432">
        <f t="shared" si="667"/>
        <v>1</v>
      </c>
      <c r="AQ67" s="432">
        <f t="shared" si="668"/>
        <v>1</v>
      </c>
      <c r="AR67" s="433">
        <f t="shared" si="669"/>
        <v>1</v>
      </c>
      <c r="AS67" s="333">
        <f t="shared" si="670"/>
        <v>1</v>
      </c>
      <c r="AT67" s="432">
        <f t="shared" si="671"/>
        <v>1</v>
      </c>
      <c r="AU67" s="432">
        <f t="shared" si="672"/>
        <v>1</v>
      </c>
      <c r="AV67" s="433">
        <f t="shared" si="673"/>
        <v>1</v>
      </c>
      <c r="AW67" s="333">
        <f t="shared" si="674"/>
        <v>1</v>
      </c>
      <c r="AX67" s="432">
        <f t="shared" si="675"/>
        <v>1</v>
      </c>
      <c r="AY67" s="432">
        <f t="shared" si="676"/>
        <v>1</v>
      </c>
      <c r="AZ67" s="433">
        <f t="shared" si="677"/>
        <v>1</v>
      </c>
      <c r="BA67" s="333">
        <f t="shared" si="678"/>
        <v>1</v>
      </c>
      <c r="BB67" s="432">
        <f t="shared" si="679"/>
        <v>1</v>
      </c>
      <c r="BC67" s="432">
        <f t="shared" si="680"/>
        <v>1</v>
      </c>
      <c r="BD67" s="433">
        <f t="shared" si="681"/>
        <v>1</v>
      </c>
      <c r="BE67" s="333">
        <f t="shared" si="682"/>
        <v>1</v>
      </c>
      <c r="BF67" s="432">
        <f t="shared" si="683"/>
        <v>1</v>
      </c>
      <c r="BG67" s="432">
        <f t="shared" si="684"/>
        <v>1</v>
      </c>
      <c r="BH67" s="433">
        <f t="shared" si="685"/>
        <v>1</v>
      </c>
      <c r="BI67" s="333">
        <f t="shared" si="686"/>
        <v>1</v>
      </c>
      <c r="BJ67" s="432">
        <f t="shared" si="687"/>
        <v>1</v>
      </c>
      <c r="BK67" s="432">
        <f t="shared" si="688"/>
        <v>1</v>
      </c>
      <c r="BL67" s="433">
        <f t="shared" si="689"/>
        <v>1</v>
      </c>
      <c r="BM67" s="333">
        <f t="shared" si="690"/>
        <v>1</v>
      </c>
      <c r="BN67" s="432">
        <f t="shared" si="691"/>
        <v>1</v>
      </c>
      <c r="BO67" s="432">
        <f t="shared" si="692"/>
        <v>1</v>
      </c>
      <c r="BP67" s="433">
        <f t="shared" si="693"/>
        <v>1</v>
      </c>
      <c r="BQ67" s="333">
        <f t="shared" si="578"/>
        <v>1</v>
      </c>
      <c r="BR67" s="432">
        <f t="shared" si="579"/>
        <v>1</v>
      </c>
      <c r="BS67" s="432">
        <f t="shared" si="580"/>
        <v>1</v>
      </c>
      <c r="BT67" s="433">
        <f t="shared" si="581"/>
        <v>1</v>
      </c>
      <c r="BU67" s="333">
        <f t="shared" si="582"/>
        <v>1</v>
      </c>
      <c r="BV67" s="432">
        <f t="shared" si="583"/>
        <v>1</v>
      </c>
      <c r="BW67" s="432">
        <f t="shared" si="584"/>
        <v>1</v>
      </c>
      <c r="BX67" s="433">
        <f t="shared" si="585"/>
        <v>1</v>
      </c>
      <c r="BY67" s="333">
        <f t="shared" si="586"/>
        <v>1</v>
      </c>
      <c r="BZ67" s="432">
        <f t="shared" si="587"/>
        <v>1</v>
      </c>
      <c r="CA67" s="432">
        <f t="shared" si="588"/>
        <v>1</v>
      </c>
      <c r="CB67" s="433">
        <f t="shared" si="589"/>
        <v>1</v>
      </c>
      <c r="CC67" s="333">
        <f t="shared" si="590"/>
        <v>1</v>
      </c>
      <c r="CD67" s="432">
        <f t="shared" si="591"/>
        <v>1</v>
      </c>
      <c r="CE67" s="432">
        <f t="shared" si="592"/>
        <v>1</v>
      </c>
      <c r="CF67" s="433">
        <f t="shared" si="593"/>
        <v>1</v>
      </c>
      <c r="CG67" s="333">
        <f t="shared" si="594"/>
        <v>1</v>
      </c>
      <c r="CH67" s="432">
        <f t="shared" si="595"/>
        <v>1</v>
      </c>
      <c r="CI67" s="432">
        <f t="shared" si="596"/>
        <v>1</v>
      </c>
      <c r="CJ67" s="433">
        <f t="shared" si="597"/>
        <v>1</v>
      </c>
      <c r="CK67" s="333">
        <f t="shared" si="598"/>
        <v>1</v>
      </c>
      <c r="CL67" s="432">
        <f t="shared" si="599"/>
        <v>1</v>
      </c>
      <c r="CM67" s="432">
        <f t="shared" si="600"/>
        <v>1</v>
      </c>
      <c r="CN67" s="433">
        <f t="shared" si="601"/>
        <v>1</v>
      </c>
      <c r="CO67" s="333">
        <f t="shared" si="602"/>
        <v>1</v>
      </c>
      <c r="CP67" s="432">
        <f t="shared" si="603"/>
        <v>1</v>
      </c>
      <c r="CQ67" s="432">
        <f t="shared" si="604"/>
        <v>1</v>
      </c>
      <c r="CR67" s="433">
        <f t="shared" si="605"/>
        <v>1</v>
      </c>
      <c r="CS67" s="333">
        <f t="shared" si="606"/>
        <v>1</v>
      </c>
      <c r="CT67" s="432">
        <f t="shared" si="607"/>
        <v>1</v>
      </c>
      <c r="CU67" s="432">
        <f t="shared" si="608"/>
        <v>1</v>
      </c>
      <c r="CV67" s="433">
        <f t="shared" si="609"/>
        <v>1</v>
      </c>
      <c r="CW67" s="333">
        <f t="shared" si="610"/>
        <v>1</v>
      </c>
      <c r="CX67" s="432">
        <f t="shared" si="611"/>
        <v>1</v>
      </c>
      <c r="CY67" s="432">
        <f t="shared" si="612"/>
        <v>1</v>
      </c>
      <c r="CZ67" s="433">
        <f t="shared" si="613"/>
        <v>1</v>
      </c>
      <c r="DA67" s="333">
        <f t="shared" si="614"/>
        <v>1</v>
      </c>
      <c r="DB67" s="432">
        <f t="shared" si="615"/>
        <v>1</v>
      </c>
      <c r="DC67" s="432">
        <f t="shared" si="616"/>
        <v>1</v>
      </c>
      <c r="DD67" s="433">
        <f t="shared" si="617"/>
        <v>1</v>
      </c>
      <c r="DE67" s="333">
        <f t="shared" si="618"/>
        <v>1</v>
      </c>
      <c r="DF67" s="432">
        <f t="shared" si="619"/>
        <v>1</v>
      </c>
      <c r="DG67" s="432">
        <f t="shared" si="620"/>
        <v>1</v>
      </c>
      <c r="DH67" s="433">
        <f t="shared" si="621"/>
        <v>1</v>
      </c>
      <c r="DI67" s="333">
        <f t="shared" si="622"/>
        <v>1</v>
      </c>
      <c r="DJ67" s="432">
        <f t="shared" si="623"/>
        <v>1</v>
      </c>
      <c r="DK67" s="432">
        <f t="shared" si="624"/>
        <v>1</v>
      </c>
      <c r="DL67" s="433">
        <f t="shared" si="625"/>
        <v>1</v>
      </c>
      <c r="DM67" s="333">
        <f t="shared" si="626"/>
        <v>1</v>
      </c>
      <c r="DN67" s="432">
        <f t="shared" si="627"/>
        <v>1</v>
      </c>
      <c r="DO67" s="432">
        <f t="shared" si="628"/>
        <v>1</v>
      </c>
      <c r="DP67" s="433">
        <f t="shared" si="629"/>
        <v>1</v>
      </c>
      <c r="DQ67" s="333">
        <f t="shared" si="630"/>
        <v>1</v>
      </c>
      <c r="DR67" s="432">
        <f t="shared" si="631"/>
        <v>1</v>
      </c>
      <c r="DS67" s="432">
        <f t="shared" si="632"/>
        <v>1</v>
      </c>
      <c r="DT67" s="433">
        <f t="shared" si="633"/>
        <v>1</v>
      </c>
      <c r="DU67" s="333">
        <f t="shared" si="634"/>
        <v>1</v>
      </c>
      <c r="DV67" s="432">
        <f t="shared" si="635"/>
        <v>1</v>
      </c>
      <c r="DW67" s="432">
        <f t="shared" si="636"/>
        <v>1</v>
      </c>
      <c r="DX67" s="433">
        <f t="shared" si="637"/>
        <v>1</v>
      </c>
      <c r="DY67" s="333">
        <f t="shared" si="638"/>
        <v>1</v>
      </c>
      <c r="DZ67" s="432">
        <f t="shared" si="639"/>
        <v>1</v>
      </c>
      <c r="EA67" s="432">
        <f t="shared" si="640"/>
        <v>1</v>
      </c>
      <c r="EB67" s="433">
        <f t="shared" si="641"/>
        <v>1</v>
      </c>
      <c r="EC67" s="333">
        <f t="shared" si="642"/>
        <v>1</v>
      </c>
      <c r="ED67" s="432">
        <f t="shared" si="643"/>
        <v>1</v>
      </c>
      <c r="EE67" s="432">
        <f t="shared" si="644"/>
        <v>1</v>
      </c>
      <c r="EF67" s="433">
        <f t="shared" si="645"/>
        <v>1</v>
      </c>
      <c r="EG67" s="333">
        <f t="shared" si="646"/>
        <v>1</v>
      </c>
      <c r="EH67" s="432">
        <f t="shared" si="647"/>
        <v>1</v>
      </c>
      <c r="EI67" s="432">
        <f t="shared" si="648"/>
        <v>1</v>
      </c>
      <c r="EJ67" s="433">
        <f t="shared" si="649"/>
        <v>1</v>
      </c>
      <c r="EK67" s="333">
        <f t="shared" si="650"/>
        <v>1</v>
      </c>
      <c r="EL67" s="432">
        <f t="shared" si="651"/>
        <v>1</v>
      </c>
      <c r="EM67" s="432">
        <f t="shared" si="652"/>
        <v>1</v>
      </c>
      <c r="EN67" s="433">
        <f t="shared" si="653"/>
        <v>1</v>
      </c>
      <c r="EO67" s="333">
        <f t="shared" si="654"/>
        <v>1</v>
      </c>
      <c r="EP67" s="432">
        <f t="shared" si="655"/>
        <v>1</v>
      </c>
      <c r="EQ67" s="432">
        <f t="shared" si="656"/>
        <v>1</v>
      </c>
      <c r="ER67" s="433">
        <f t="shared" si="657"/>
        <v>1</v>
      </c>
      <c r="ES67" s="333">
        <f t="shared" si="658"/>
        <v>1</v>
      </c>
      <c r="ET67" s="432">
        <f t="shared" si="659"/>
        <v>1</v>
      </c>
      <c r="EU67" s="432">
        <f t="shared" si="660"/>
        <v>1</v>
      </c>
      <c r="EV67" s="433">
        <f t="shared" si="661"/>
        <v>1</v>
      </c>
      <c r="EW67" s="263">
        <f>SUM(I67:DD67)/4</f>
        <v>19</v>
      </c>
      <c r="EX67" s="263"/>
      <c r="EY67" s="263"/>
      <c r="EZ67" s="263"/>
      <c r="FA67" s="263"/>
    </row>
    <row r="68" spans="2:157" s="264" customFormat="1" ht="29.25" customHeight="1">
      <c r="B68" s="257"/>
      <c r="C68" s="382" t="s">
        <v>37</v>
      </c>
      <c r="D68" s="270" t="s">
        <v>149</v>
      </c>
      <c r="E68" s="271">
        <v>1</v>
      </c>
      <c r="F68" s="258"/>
      <c r="G68" s="415"/>
      <c r="H68" s="259"/>
      <c r="I68" s="260"/>
      <c r="J68" s="261"/>
      <c r="K68" s="261"/>
      <c r="L68" s="262"/>
      <c r="M68" s="260"/>
      <c r="N68" s="261"/>
      <c r="O68" s="261"/>
      <c r="P68" s="262"/>
      <c r="Q68" s="260"/>
      <c r="R68" s="261"/>
      <c r="S68" s="261"/>
      <c r="T68" s="262"/>
      <c r="U68" s="333"/>
      <c r="V68" s="432"/>
      <c r="W68" s="432"/>
      <c r="X68" s="433"/>
      <c r="Y68" s="333"/>
      <c r="Z68" s="432"/>
      <c r="AA68" s="432"/>
      <c r="AB68" s="262"/>
      <c r="AC68" s="260"/>
      <c r="AD68" s="261"/>
      <c r="AE68" s="261"/>
      <c r="AF68" s="262"/>
      <c r="AG68" s="333">
        <f t="shared" si="662"/>
        <v>1</v>
      </c>
      <c r="AH68" s="432">
        <f t="shared" si="663"/>
        <v>1</v>
      </c>
      <c r="AI68" s="432">
        <f t="shared" si="664"/>
        <v>1</v>
      </c>
      <c r="AJ68" s="433">
        <f t="shared" si="665"/>
        <v>1</v>
      </c>
      <c r="AK68" s="333">
        <f t="shared" si="546"/>
        <v>1</v>
      </c>
      <c r="AL68" s="432">
        <f t="shared" si="547"/>
        <v>1</v>
      </c>
      <c r="AM68" s="432">
        <f t="shared" si="548"/>
        <v>1</v>
      </c>
      <c r="AN68" s="433">
        <f t="shared" si="549"/>
        <v>1</v>
      </c>
      <c r="AO68" s="333">
        <f t="shared" si="666"/>
        <v>1</v>
      </c>
      <c r="AP68" s="432">
        <f t="shared" si="667"/>
        <v>1</v>
      </c>
      <c r="AQ68" s="432">
        <f t="shared" si="668"/>
        <v>1</v>
      </c>
      <c r="AR68" s="433">
        <f t="shared" si="669"/>
        <v>1</v>
      </c>
      <c r="AS68" s="333">
        <f t="shared" si="670"/>
        <v>1</v>
      </c>
      <c r="AT68" s="432">
        <f t="shared" si="671"/>
        <v>1</v>
      </c>
      <c r="AU68" s="432">
        <f t="shared" si="672"/>
        <v>1</v>
      </c>
      <c r="AV68" s="433">
        <f t="shared" si="673"/>
        <v>1</v>
      </c>
      <c r="AW68" s="333">
        <f t="shared" si="674"/>
        <v>1</v>
      </c>
      <c r="AX68" s="432">
        <f t="shared" si="675"/>
        <v>1</v>
      </c>
      <c r="AY68" s="432">
        <f t="shared" si="676"/>
        <v>1</v>
      </c>
      <c r="AZ68" s="433">
        <f t="shared" si="677"/>
        <v>1</v>
      </c>
      <c r="BA68" s="333">
        <f t="shared" si="678"/>
        <v>1</v>
      </c>
      <c r="BB68" s="432">
        <f t="shared" si="679"/>
        <v>1</v>
      </c>
      <c r="BC68" s="432">
        <f t="shared" si="680"/>
        <v>1</v>
      </c>
      <c r="BD68" s="433">
        <f t="shared" si="681"/>
        <v>1</v>
      </c>
      <c r="BE68" s="333">
        <f t="shared" si="682"/>
        <v>1</v>
      </c>
      <c r="BF68" s="432">
        <f t="shared" si="683"/>
        <v>1</v>
      </c>
      <c r="BG68" s="432">
        <f t="shared" si="684"/>
        <v>1</v>
      </c>
      <c r="BH68" s="433">
        <f t="shared" si="685"/>
        <v>1</v>
      </c>
      <c r="BI68" s="333">
        <f t="shared" si="686"/>
        <v>1</v>
      </c>
      <c r="BJ68" s="432">
        <f t="shared" si="687"/>
        <v>1</v>
      </c>
      <c r="BK68" s="432">
        <f t="shared" si="688"/>
        <v>1</v>
      </c>
      <c r="BL68" s="433">
        <f t="shared" si="689"/>
        <v>1</v>
      </c>
      <c r="BM68" s="333">
        <f t="shared" si="690"/>
        <v>1</v>
      </c>
      <c r="BN68" s="432">
        <f t="shared" si="691"/>
        <v>1</v>
      </c>
      <c r="BO68" s="432">
        <f t="shared" si="692"/>
        <v>1</v>
      </c>
      <c r="BP68" s="433">
        <f t="shared" si="693"/>
        <v>1</v>
      </c>
      <c r="BQ68" s="333">
        <f t="shared" si="578"/>
        <v>1</v>
      </c>
      <c r="BR68" s="432">
        <f t="shared" si="579"/>
        <v>1</v>
      </c>
      <c r="BS68" s="432">
        <f t="shared" si="580"/>
        <v>1</v>
      </c>
      <c r="BT68" s="433">
        <f t="shared" si="581"/>
        <v>1</v>
      </c>
      <c r="BU68" s="333">
        <f t="shared" si="582"/>
        <v>1</v>
      </c>
      <c r="BV68" s="432">
        <f t="shared" si="583"/>
        <v>1</v>
      </c>
      <c r="BW68" s="432">
        <f t="shared" si="584"/>
        <v>1</v>
      </c>
      <c r="BX68" s="433">
        <f t="shared" si="585"/>
        <v>1</v>
      </c>
      <c r="BY68" s="333">
        <f t="shared" si="586"/>
        <v>1</v>
      </c>
      <c r="BZ68" s="432">
        <f t="shared" si="587"/>
        <v>1</v>
      </c>
      <c r="CA68" s="432">
        <f t="shared" si="588"/>
        <v>1</v>
      </c>
      <c r="CB68" s="433">
        <f t="shared" si="589"/>
        <v>1</v>
      </c>
      <c r="CC68" s="333">
        <f t="shared" si="590"/>
        <v>1</v>
      </c>
      <c r="CD68" s="432">
        <f t="shared" si="591"/>
        <v>1</v>
      </c>
      <c r="CE68" s="432">
        <f t="shared" si="592"/>
        <v>1</v>
      </c>
      <c r="CF68" s="433">
        <f t="shared" si="593"/>
        <v>1</v>
      </c>
      <c r="CG68" s="333">
        <f t="shared" si="594"/>
        <v>1</v>
      </c>
      <c r="CH68" s="432">
        <f t="shared" si="595"/>
        <v>1</v>
      </c>
      <c r="CI68" s="432">
        <f t="shared" si="596"/>
        <v>1</v>
      </c>
      <c r="CJ68" s="433">
        <f t="shared" si="597"/>
        <v>1</v>
      </c>
      <c r="CK68" s="333">
        <f t="shared" si="598"/>
        <v>1</v>
      </c>
      <c r="CL68" s="432">
        <f t="shared" si="599"/>
        <v>1</v>
      </c>
      <c r="CM68" s="432">
        <f t="shared" si="600"/>
        <v>1</v>
      </c>
      <c r="CN68" s="433">
        <f t="shared" si="601"/>
        <v>1</v>
      </c>
      <c r="CO68" s="333">
        <f t="shared" si="602"/>
        <v>1</v>
      </c>
      <c r="CP68" s="432">
        <f t="shared" si="603"/>
        <v>1</v>
      </c>
      <c r="CQ68" s="432">
        <f t="shared" si="604"/>
        <v>1</v>
      </c>
      <c r="CR68" s="433">
        <f t="shared" si="605"/>
        <v>1</v>
      </c>
      <c r="CS68" s="333">
        <f t="shared" si="606"/>
        <v>1</v>
      </c>
      <c r="CT68" s="432">
        <f t="shared" si="607"/>
        <v>1</v>
      </c>
      <c r="CU68" s="432">
        <f t="shared" si="608"/>
        <v>1</v>
      </c>
      <c r="CV68" s="433">
        <f t="shared" si="609"/>
        <v>1</v>
      </c>
      <c r="CW68" s="333">
        <f t="shared" si="610"/>
        <v>1</v>
      </c>
      <c r="CX68" s="432">
        <f t="shared" si="611"/>
        <v>1</v>
      </c>
      <c r="CY68" s="432">
        <f t="shared" si="612"/>
        <v>1</v>
      </c>
      <c r="CZ68" s="433">
        <f t="shared" si="613"/>
        <v>1</v>
      </c>
      <c r="DA68" s="333">
        <f t="shared" si="614"/>
        <v>1</v>
      </c>
      <c r="DB68" s="432">
        <f t="shared" si="615"/>
        <v>1</v>
      </c>
      <c r="DC68" s="432">
        <f t="shared" si="616"/>
        <v>1</v>
      </c>
      <c r="DD68" s="433">
        <f t="shared" si="617"/>
        <v>1</v>
      </c>
      <c r="DE68" s="333">
        <f t="shared" si="618"/>
        <v>1</v>
      </c>
      <c r="DF68" s="432">
        <f t="shared" si="619"/>
        <v>1</v>
      </c>
      <c r="DG68" s="432">
        <f t="shared" si="620"/>
        <v>1</v>
      </c>
      <c r="DH68" s="433">
        <f t="shared" si="621"/>
        <v>1</v>
      </c>
      <c r="DI68" s="333">
        <f t="shared" si="622"/>
        <v>1</v>
      </c>
      <c r="DJ68" s="432">
        <f t="shared" si="623"/>
        <v>1</v>
      </c>
      <c r="DK68" s="432">
        <f t="shared" si="624"/>
        <v>1</v>
      </c>
      <c r="DL68" s="433">
        <f t="shared" si="625"/>
        <v>1</v>
      </c>
      <c r="DM68" s="333">
        <f t="shared" si="626"/>
        <v>1</v>
      </c>
      <c r="DN68" s="432">
        <f t="shared" si="627"/>
        <v>1</v>
      </c>
      <c r="DO68" s="432">
        <f t="shared" si="628"/>
        <v>1</v>
      </c>
      <c r="DP68" s="433">
        <f t="shared" si="629"/>
        <v>1</v>
      </c>
      <c r="DQ68" s="333">
        <f t="shared" si="630"/>
        <v>1</v>
      </c>
      <c r="DR68" s="432">
        <f t="shared" si="631"/>
        <v>1</v>
      </c>
      <c r="DS68" s="432">
        <f t="shared" si="632"/>
        <v>1</v>
      </c>
      <c r="DT68" s="433">
        <f t="shared" si="633"/>
        <v>1</v>
      </c>
      <c r="DU68" s="333">
        <f t="shared" si="634"/>
        <v>1</v>
      </c>
      <c r="DV68" s="432">
        <f t="shared" si="635"/>
        <v>1</v>
      </c>
      <c r="DW68" s="432">
        <f t="shared" si="636"/>
        <v>1</v>
      </c>
      <c r="DX68" s="433">
        <f t="shared" si="637"/>
        <v>1</v>
      </c>
      <c r="DY68" s="333">
        <f t="shared" si="638"/>
        <v>1</v>
      </c>
      <c r="DZ68" s="432">
        <f t="shared" si="639"/>
        <v>1</v>
      </c>
      <c r="EA68" s="432">
        <f t="shared" si="640"/>
        <v>1</v>
      </c>
      <c r="EB68" s="433">
        <f t="shared" si="641"/>
        <v>1</v>
      </c>
      <c r="EC68" s="333">
        <f t="shared" si="642"/>
        <v>1</v>
      </c>
      <c r="ED68" s="432">
        <f t="shared" si="643"/>
        <v>1</v>
      </c>
      <c r="EE68" s="432">
        <f t="shared" si="644"/>
        <v>1</v>
      </c>
      <c r="EF68" s="433">
        <f t="shared" si="645"/>
        <v>1</v>
      </c>
      <c r="EG68" s="333">
        <f t="shared" si="646"/>
        <v>1</v>
      </c>
      <c r="EH68" s="432">
        <f t="shared" si="647"/>
        <v>1</v>
      </c>
      <c r="EI68" s="432">
        <f t="shared" si="648"/>
        <v>1</v>
      </c>
      <c r="EJ68" s="433">
        <f t="shared" si="649"/>
        <v>1</v>
      </c>
      <c r="EK68" s="333">
        <f t="shared" si="650"/>
        <v>1</v>
      </c>
      <c r="EL68" s="432">
        <f t="shared" si="651"/>
        <v>1</v>
      </c>
      <c r="EM68" s="432">
        <f t="shared" si="652"/>
        <v>1</v>
      </c>
      <c r="EN68" s="433">
        <f t="shared" si="653"/>
        <v>1</v>
      </c>
      <c r="EO68" s="333">
        <f t="shared" si="654"/>
        <v>1</v>
      </c>
      <c r="EP68" s="432">
        <f t="shared" si="655"/>
        <v>1</v>
      </c>
      <c r="EQ68" s="432">
        <f t="shared" si="656"/>
        <v>1</v>
      </c>
      <c r="ER68" s="433">
        <f t="shared" si="657"/>
        <v>1</v>
      </c>
      <c r="ES68" s="333">
        <f t="shared" si="658"/>
        <v>1</v>
      </c>
      <c r="ET68" s="432">
        <f t="shared" si="659"/>
        <v>1</v>
      </c>
      <c r="EU68" s="432">
        <f t="shared" si="660"/>
        <v>1</v>
      </c>
      <c r="EV68" s="433">
        <f t="shared" si="661"/>
        <v>1</v>
      </c>
      <c r="EW68" s="263">
        <f>SUM(I68:DD68)/4</f>
        <v>19</v>
      </c>
      <c r="EX68" s="263"/>
      <c r="EY68" s="263"/>
      <c r="EZ68" s="263"/>
      <c r="FA68" s="263"/>
    </row>
    <row r="69" spans="2:157" s="264" customFormat="1" ht="29.25" customHeight="1">
      <c r="B69" s="257"/>
      <c r="C69" s="23" t="s">
        <v>30</v>
      </c>
      <c r="D69" s="270" t="s">
        <v>149</v>
      </c>
      <c r="E69" s="271">
        <v>6</v>
      </c>
      <c r="F69" s="258"/>
      <c r="G69" s="415"/>
      <c r="H69" s="259"/>
      <c r="I69" s="260"/>
      <c r="J69" s="261"/>
      <c r="K69" s="261"/>
      <c r="L69" s="262"/>
      <c r="M69" s="260"/>
      <c r="N69" s="261"/>
      <c r="O69" s="261"/>
      <c r="P69" s="262"/>
      <c r="Q69" s="260"/>
      <c r="R69" s="261"/>
      <c r="S69" s="261"/>
      <c r="T69" s="262"/>
      <c r="U69" s="333"/>
      <c r="V69" s="432"/>
      <c r="W69" s="432"/>
      <c r="X69" s="433"/>
      <c r="Y69" s="333"/>
      <c r="Z69" s="432"/>
      <c r="AA69" s="432"/>
      <c r="AB69" s="262"/>
      <c r="AC69" s="260"/>
      <c r="AD69" s="261"/>
      <c r="AE69" s="261"/>
      <c r="AF69" s="262"/>
      <c r="AG69" s="333">
        <f t="shared" si="662"/>
        <v>6</v>
      </c>
      <c r="AH69" s="432">
        <f t="shared" si="663"/>
        <v>6</v>
      </c>
      <c r="AI69" s="432">
        <f t="shared" si="664"/>
        <v>6</v>
      </c>
      <c r="AJ69" s="433">
        <f t="shared" si="665"/>
        <v>6</v>
      </c>
      <c r="AK69" s="333">
        <f t="shared" si="546"/>
        <v>6</v>
      </c>
      <c r="AL69" s="432">
        <f t="shared" si="547"/>
        <v>6</v>
      </c>
      <c r="AM69" s="432">
        <f t="shared" si="548"/>
        <v>6</v>
      </c>
      <c r="AN69" s="433">
        <f t="shared" si="549"/>
        <v>6</v>
      </c>
      <c r="AO69" s="333">
        <f t="shared" si="666"/>
        <v>6</v>
      </c>
      <c r="AP69" s="432">
        <f t="shared" si="667"/>
        <v>6</v>
      </c>
      <c r="AQ69" s="432">
        <f t="shared" si="668"/>
        <v>6</v>
      </c>
      <c r="AR69" s="433">
        <f t="shared" si="669"/>
        <v>6</v>
      </c>
      <c r="AS69" s="333">
        <f t="shared" si="670"/>
        <v>6</v>
      </c>
      <c r="AT69" s="432">
        <f t="shared" si="671"/>
        <v>6</v>
      </c>
      <c r="AU69" s="432">
        <f t="shared" si="672"/>
        <v>6</v>
      </c>
      <c r="AV69" s="433">
        <f t="shared" si="673"/>
        <v>6</v>
      </c>
      <c r="AW69" s="333">
        <f t="shared" si="674"/>
        <v>6</v>
      </c>
      <c r="AX69" s="432">
        <f t="shared" si="675"/>
        <v>6</v>
      </c>
      <c r="AY69" s="432">
        <f t="shared" si="676"/>
        <v>6</v>
      </c>
      <c r="AZ69" s="433">
        <f t="shared" si="677"/>
        <v>6</v>
      </c>
      <c r="BA69" s="333">
        <f t="shared" si="678"/>
        <v>6</v>
      </c>
      <c r="BB69" s="432">
        <f t="shared" si="679"/>
        <v>6</v>
      </c>
      <c r="BC69" s="432">
        <f t="shared" si="680"/>
        <v>6</v>
      </c>
      <c r="BD69" s="433">
        <f t="shared" si="681"/>
        <v>6</v>
      </c>
      <c r="BE69" s="333">
        <f t="shared" si="682"/>
        <v>6</v>
      </c>
      <c r="BF69" s="432">
        <f t="shared" si="683"/>
        <v>6</v>
      </c>
      <c r="BG69" s="432">
        <f t="shared" si="684"/>
        <v>6</v>
      </c>
      <c r="BH69" s="433">
        <f t="shared" si="685"/>
        <v>6</v>
      </c>
      <c r="BI69" s="333">
        <f t="shared" si="686"/>
        <v>6</v>
      </c>
      <c r="BJ69" s="432">
        <f t="shared" si="687"/>
        <v>6</v>
      </c>
      <c r="BK69" s="432">
        <f t="shared" si="688"/>
        <v>6</v>
      </c>
      <c r="BL69" s="433">
        <f t="shared" si="689"/>
        <v>6</v>
      </c>
      <c r="BM69" s="333">
        <f t="shared" si="690"/>
        <v>6</v>
      </c>
      <c r="BN69" s="432">
        <f t="shared" si="691"/>
        <v>6</v>
      </c>
      <c r="BO69" s="432">
        <f t="shared" si="692"/>
        <v>6</v>
      </c>
      <c r="BP69" s="433">
        <f t="shared" si="693"/>
        <v>6</v>
      </c>
      <c r="BQ69" s="333">
        <f t="shared" si="578"/>
        <v>6</v>
      </c>
      <c r="BR69" s="432">
        <f t="shared" si="579"/>
        <v>6</v>
      </c>
      <c r="BS69" s="432">
        <f t="shared" si="580"/>
        <v>6</v>
      </c>
      <c r="BT69" s="433">
        <f t="shared" si="581"/>
        <v>6</v>
      </c>
      <c r="BU69" s="333">
        <f t="shared" si="582"/>
        <v>6</v>
      </c>
      <c r="BV69" s="432">
        <f t="shared" si="583"/>
        <v>6</v>
      </c>
      <c r="BW69" s="432">
        <f t="shared" si="584"/>
        <v>6</v>
      </c>
      <c r="BX69" s="433">
        <f t="shared" si="585"/>
        <v>6</v>
      </c>
      <c r="BY69" s="333">
        <f t="shared" si="586"/>
        <v>6</v>
      </c>
      <c r="BZ69" s="432">
        <f t="shared" si="587"/>
        <v>6</v>
      </c>
      <c r="CA69" s="432">
        <f t="shared" si="588"/>
        <v>6</v>
      </c>
      <c r="CB69" s="433">
        <f t="shared" si="589"/>
        <v>6</v>
      </c>
      <c r="CC69" s="333">
        <f t="shared" si="590"/>
        <v>6</v>
      </c>
      <c r="CD69" s="432">
        <f t="shared" si="591"/>
        <v>6</v>
      </c>
      <c r="CE69" s="432">
        <f t="shared" si="592"/>
        <v>6</v>
      </c>
      <c r="CF69" s="433">
        <f t="shared" si="593"/>
        <v>6</v>
      </c>
      <c r="CG69" s="333">
        <f t="shared" si="594"/>
        <v>6</v>
      </c>
      <c r="CH69" s="432">
        <f t="shared" si="595"/>
        <v>6</v>
      </c>
      <c r="CI69" s="432">
        <f t="shared" si="596"/>
        <v>6</v>
      </c>
      <c r="CJ69" s="433">
        <f t="shared" si="597"/>
        <v>6</v>
      </c>
      <c r="CK69" s="333">
        <f t="shared" si="598"/>
        <v>6</v>
      </c>
      <c r="CL69" s="432">
        <f t="shared" si="599"/>
        <v>6</v>
      </c>
      <c r="CM69" s="432">
        <f t="shared" si="600"/>
        <v>6</v>
      </c>
      <c r="CN69" s="433">
        <f t="shared" si="601"/>
        <v>6</v>
      </c>
      <c r="CO69" s="333">
        <f t="shared" si="602"/>
        <v>6</v>
      </c>
      <c r="CP69" s="432">
        <f t="shared" si="603"/>
        <v>6</v>
      </c>
      <c r="CQ69" s="432">
        <f t="shared" si="604"/>
        <v>6</v>
      </c>
      <c r="CR69" s="433">
        <f t="shared" si="605"/>
        <v>6</v>
      </c>
      <c r="CS69" s="333">
        <f t="shared" si="606"/>
        <v>6</v>
      </c>
      <c r="CT69" s="432">
        <f t="shared" si="607"/>
        <v>6</v>
      </c>
      <c r="CU69" s="432">
        <f t="shared" si="608"/>
        <v>6</v>
      </c>
      <c r="CV69" s="433">
        <f t="shared" si="609"/>
        <v>6</v>
      </c>
      <c r="CW69" s="333">
        <f t="shared" si="610"/>
        <v>6</v>
      </c>
      <c r="CX69" s="432">
        <f t="shared" si="611"/>
        <v>6</v>
      </c>
      <c r="CY69" s="432">
        <f t="shared" si="612"/>
        <v>6</v>
      </c>
      <c r="CZ69" s="433">
        <f t="shared" si="613"/>
        <v>6</v>
      </c>
      <c r="DA69" s="333">
        <f t="shared" si="614"/>
        <v>6</v>
      </c>
      <c r="DB69" s="432">
        <f t="shared" si="615"/>
        <v>6</v>
      </c>
      <c r="DC69" s="432">
        <f t="shared" si="616"/>
        <v>6</v>
      </c>
      <c r="DD69" s="433">
        <f t="shared" si="617"/>
        <v>6</v>
      </c>
      <c r="DE69" s="333">
        <f t="shared" si="618"/>
        <v>6</v>
      </c>
      <c r="DF69" s="432">
        <f t="shared" si="619"/>
        <v>6</v>
      </c>
      <c r="DG69" s="432">
        <f t="shared" si="620"/>
        <v>6</v>
      </c>
      <c r="DH69" s="433">
        <f t="shared" si="621"/>
        <v>6</v>
      </c>
      <c r="DI69" s="333">
        <f t="shared" si="622"/>
        <v>6</v>
      </c>
      <c r="DJ69" s="432">
        <f t="shared" si="623"/>
        <v>6</v>
      </c>
      <c r="DK69" s="432">
        <f t="shared" si="624"/>
        <v>6</v>
      </c>
      <c r="DL69" s="433">
        <f t="shared" si="625"/>
        <v>6</v>
      </c>
      <c r="DM69" s="333">
        <f t="shared" si="626"/>
        <v>6</v>
      </c>
      <c r="DN69" s="432">
        <f t="shared" si="627"/>
        <v>6</v>
      </c>
      <c r="DO69" s="432">
        <f t="shared" si="628"/>
        <v>6</v>
      </c>
      <c r="DP69" s="433">
        <f t="shared" si="629"/>
        <v>6</v>
      </c>
      <c r="DQ69" s="333">
        <f t="shared" si="630"/>
        <v>6</v>
      </c>
      <c r="DR69" s="432">
        <f t="shared" si="631"/>
        <v>6</v>
      </c>
      <c r="DS69" s="432">
        <f t="shared" si="632"/>
        <v>6</v>
      </c>
      <c r="DT69" s="433">
        <f t="shared" si="633"/>
        <v>6</v>
      </c>
      <c r="DU69" s="333">
        <f t="shared" si="634"/>
        <v>6</v>
      </c>
      <c r="DV69" s="432">
        <f t="shared" si="635"/>
        <v>6</v>
      </c>
      <c r="DW69" s="432">
        <f t="shared" si="636"/>
        <v>6</v>
      </c>
      <c r="DX69" s="433">
        <f t="shared" si="637"/>
        <v>6</v>
      </c>
      <c r="DY69" s="333">
        <f t="shared" si="638"/>
        <v>6</v>
      </c>
      <c r="DZ69" s="432">
        <f t="shared" si="639"/>
        <v>6</v>
      </c>
      <c r="EA69" s="432">
        <f t="shared" si="640"/>
        <v>6</v>
      </c>
      <c r="EB69" s="433">
        <f t="shared" si="641"/>
        <v>6</v>
      </c>
      <c r="EC69" s="333">
        <f t="shared" si="642"/>
        <v>6</v>
      </c>
      <c r="ED69" s="432">
        <f t="shared" si="643"/>
        <v>6</v>
      </c>
      <c r="EE69" s="432">
        <f t="shared" si="644"/>
        <v>6</v>
      </c>
      <c r="EF69" s="433">
        <f t="shared" si="645"/>
        <v>6</v>
      </c>
      <c r="EG69" s="333">
        <f t="shared" si="646"/>
        <v>6</v>
      </c>
      <c r="EH69" s="432">
        <f t="shared" si="647"/>
        <v>6</v>
      </c>
      <c r="EI69" s="432">
        <f t="shared" si="648"/>
        <v>6</v>
      </c>
      <c r="EJ69" s="433">
        <f t="shared" si="649"/>
        <v>6</v>
      </c>
      <c r="EK69" s="333">
        <f t="shared" si="650"/>
        <v>6</v>
      </c>
      <c r="EL69" s="432">
        <f t="shared" si="651"/>
        <v>6</v>
      </c>
      <c r="EM69" s="432">
        <f t="shared" si="652"/>
        <v>6</v>
      </c>
      <c r="EN69" s="433">
        <f t="shared" si="653"/>
        <v>6</v>
      </c>
      <c r="EO69" s="333">
        <f t="shared" si="654"/>
        <v>6</v>
      </c>
      <c r="EP69" s="432">
        <f t="shared" si="655"/>
        <v>6</v>
      </c>
      <c r="EQ69" s="432">
        <f t="shared" si="656"/>
        <v>6</v>
      </c>
      <c r="ER69" s="433">
        <f t="shared" si="657"/>
        <v>6</v>
      </c>
      <c r="ES69" s="333">
        <f t="shared" si="658"/>
        <v>6</v>
      </c>
      <c r="ET69" s="432">
        <f t="shared" si="659"/>
        <v>6</v>
      </c>
      <c r="EU69" s="432">
        <f t="shared" si="660"/>
        <v>6</v>
      </c>
      <c r="EV69" s="433">
        <f t="shared" si="661"/>
        <v>6</v>
      </c>
      <c r="EW69" s="263">
        <f>SUM(I69:DD69)/4</f>
        <v>114</v>
      </c>
      <c r="EX69" s="263"/>
      <c r="EY69" s="263"/>
      <c r="EZ69" s="263"/>
      <c r="FA69" s="263"/>
    </row>
    <row r="70" spans="2:157" s="264" customFormat="1" ht="29.25" customHeight="1">
      <c r="B70" s="257"/>
      <c r="C70" s="23" t="s">
        <v>49</v>
      </c>
      <c r="D70" s="270" t="s">
        <v>149</v>
      </c>
      <c r="E70" s="271">
        <v>2</v>
      </c>
      <c r="F70" s="258"/>
      <c r="G70" s="415"/>
      <c r="H70" s="259"/>
      <c r="I70" s="260"/>
      <c r="J70" s="261"/>
      <c r="K70" s="261"/>
      <c r="L70" s="262"/>
      <c r="M70" s="260"/>
      <c r="N70" s="261"/>
      <c r="O70" s="261"/>
      <c r="P70" s="262"/>
      <c r="Q70" s="260"/>
      <c r="R70" s="261"/>
      <c r="S70" s="261"/>
      <c r="T70" s="262"/>
      <c r="U70" s="333"/>
      <c r="V70" s="432"/>
      <c r="W70" s="432"/>
      <c r="X70" s="433"/>
      <c r="Y70" s="333"/>
      <c r="Z70" s="432"/>
      <c r="AA70" s="432"/>
      <c r="AB70" s="262"/>
      <c r="AC70" s="260"/>
      <c r="AD70" s="261"/>
      <c r="AE70" s="261"/>
      <c r="AF70" s="262"/>
      <c r="AG70" s="333">
        <f t="shared" si="662"/>
        <v>2</v>
      </c>
      <c r="AH70" s="432">
        <f t="shared" si="663"/>
        <v>2</v>
      </c>
      <c r="AI70" s="432">
        <f t="shared" si="664"/>
        <v>2</v>
      </c>
      <c r="AJ70" s="433">
        <f t="shared" si="665"/>
        <v>2</v>
      </c>
      <c r="AK70" s="333">
        <f t="shared" si="546"/>
        <v>2</v>
      </c>
      <c r="AL70" s="432">
        <f t="shared" si="547"/>
        <v>2</v>
      </c>
      <c r="AM70" s="432">
        <f t="shared" si="548"/>
        <v>2</v>
      </c>
      <c r="AN70" s="433">
        <f t="shared" si="549"/>
        <v>2</v>
      </c>
      <c r="AO70" s="333">
        <f t="shared" si="666"/>
        <v>2</v>
      </c>
      <c r="AP70" s="432">
        <f t="shared" si="667"/>
        <v>2</v>
      </c>
      <c r="AQ70" s="432">
        <f t="shared" si="668"/>
        <v>2</v>
      </c>
      <c r="AR70" s="433">
        <f t="shared" si="669"/>
        <v>2</v>
      </c>
      <c r="AS70" s="333">
        <f t="shared" si="670"/>
        <v>2</v>
      </c>
      <c r="AT70" s="432">
        <f t="shared" si="671"/>
        <v>2</v>
      </c>
      <c r="AU70" s="432">
        <f t="shared" si="672"/>
        <v>2</v>
      </c>
      <c r="AV70" s="433">
        <f t="shared" si="673"/>
        <v>2</v>
      </c>
      <c r="AW70" s="333">
        <f t="shared" si="674"/>
        <v>2</v>
      </c>
      <c r="AX70" s="432">
        <f t="shared" si="675"/>
        <v>2</v>
      </c>
      <c r="AY70" s="432">
        <f t="shared" si="676"/>
        <v>2</v>
      </c>
      <c r="AZ70" s="433">
        <f t="shared" si="677"/>
        <v>2</v>
      </c>
      <c r="BA70" s="333">
        <f t="shared" si="678"/>
        <v>2</v>
      </c>
      <c r="BB70" s="432">
        <f t="shared" si="679"/>
        <v>2</v>
      </c>
      <c r="BC70" s="432">
        <f t="shared" si="680"/>
        <v>2</v>
      </c>
      <c r="BD70" s="433">
        <f t="shared" si="681"/>
        <v>2</v>
      </c>
      <c r="BE70" s="333">
        <f t="shared" si="682"/>
        <v>2</v>
      </c>
      <c r="BF70" s="432">
        <f t="shared" si="683"/>
        <v>2</v>
      </c>
      <c r="BG70" s="432">
        <f t="shared" si="684"/>
        <v>2</v>
      </c>
      <c r="BH70" s="433">
        <f t="shared" si="685"/>
        <v>2</v>
      </c>
      <c r="BI70" s="333">
        <f t="shared" si="686"/>
        <v>2</v>
      </c>
      <c r="BJ70" s="432">
        <f t="shared" si="687"/>
        <v>2</v>
      </c>
      <c r="BK70" s="432">
        <f t="shared" si="688"/>
        <v>2</v>
      </c>
      <c r="BL70" s="433">
        <f t="shared" si="689"/>
        <v>2</v>
      </c>
      <c r="BM70" s="333">
        <f t="shared" si="690"/>
        <v>2</v>
      </c>
      <c r="BN70" s="432">
        <f t="shared" si="691"/>
        <v>2</v>
      </c>
      <c r="BO70" s="432">
        <f t="shared" si="692"/>
        <v>2</v>
      </c>
      <c r="BP70" s="433">
        <f t="shared" si="693"/>
        <v>2</v>
      </c>
      <c r="BQ70" s="333">
        <f t="shared" si="578"/>
        <v>2</v>
      </c>
      <c r="BR70" s="432">
        <f t="shared" si="579"/>
        <v>2</v>
      </c>
      <c r="BS70" s="432">
        <f t="shared" si="580"/>
        <v>2</v>
      </c>
      <c r="BT70" s="433">
        <f t="shared" si="581"/>
        <v>2</v>
      </c>
      <c r="BU70" s="333">
        <f t="shared" si="582"/>
        <v>2</v>
      </c>
      <c r="BV70" s="432">
        <f t="shared" si="583"/>
        <v>2</v>
      </c>
      <c r="BW70" s="432">
        <f t="shared" si="584"/>
        <v>2</v>
      </c>
      <c r="BX70" s="433">
        <f t="shared" si="585"/>
        <v>2</v>
      </c>
      <c r="BY70" s="333">
        <f t="shared" si="586"/>
        <v>2</v>
      </c>
      <c r="BZ70" s="432">
        <f t="shared" si="587"/>
        <v>2</v>
      </c>
      <c r="CA70" s="432">
        <f t="shared" si="588"/>
        <v>2</v>
      </c>
      <c r="CB70" s="433">
        <f t="shared" si="589"/>
        <v>2</v>
      </c>
      <c r="CC70" s="333">
        <f t="shared" si="590"/>
        <v>2</v>
      </c>
      <c r="CD70" s="432">
        <f t="shared" si="591"/>
        <v>2</v>
      </c>
      <c r="CE70" s="432">
        <f t="shared" si="592"/>
        <v>2</v>
      </c>
      <c r="CF70" s="433">
        <f t="shared" si="593"/>
        <v>2</v>
      </c>
      <c r="CG70" s="333">
        <f t="shared" si="594"/>
        <v>2</v>
      </c>
      <c r="CH70" s="432">
        <f t="shared" si="595"/>
        <v>2</v>
      </c>
      <c r="CI70" s="432">
        <f t="shared" si="596"/>
        <v>2</v>
      </c>
      <c r="CJ70" s="433">
        <f t="shared" si="597"/>
        <v>2</v>
      </c>
      <c r="CK70" s="333">
        <f t="shared" si="598"/>
        <v>2</v>
      </c>
      <c r="CL70" s="432">
        <f t="shared" si="599"/>
        <v>2</v>
      </c>
      <c r="CM70" s="432">
        <f t="shared" si="600"/>
        <v>2</v>
      </c>
      <c r="CN70" s="433">
        <f t="shared" si="601"/>
        <v>2</v>
      </c>
      <c r="CO70" s="333">
        <f t="shared" si="602"/>
        <v>2</v>
      </c>
      <c r="CP70" s="432">
        <f t="shared" si="603"/>
        <v>2</v>
      </c>
      <c r="CQ70" s="432">
        <f t="shared" si="604"/>
        <v>2</v>
      </c>
      <c r="CR70" s="433">
        <f t="shared" si="605"/>
        <v>2</v>
      </c>
      <c r="CS70" s="333">
        <f t="shared" si="606"/>
        <v>2</v>
      </c>
      <c r="CT70" s="432">
        <f t="shared" si="607"/>
        <v>2</v>
      </c>
      <c r="CU70" s="432">
        <f t="shared" si="608"/>
        <v>2</v>
      </c>
      <c r="CV70" s="433">
        <f t="shared" si="609"/>
        <v>2</v>
      </c>
      <c r="CW70" s="333">
        <f t="shared" si="610"/>
        <v>2</v>
      </c>
      <c r="CX70" s="432">
        <f t="shared" si="611"/>
        <v>2</v>
      </c>
      <c r="CY70" s="432">
        <f t="shared" si="612"/>
        <v>2</v>
      </c>
      <c r="CZ70" s="433">
        <f t="shared" si="613"/>
        <v>2</v>
      </c>
      <c r="DA70" s="333">
        <f t="shared" si="614"/>
        <v>2</v>
      </c>
      <c r="DB70" s="432">
        <f t="shared" si="615"/>
        <v>2</v>
      </c>
      <c r="DC70" s="432">
        <f t="shared" si="616"/>
        <v>2</v>
      </c>
      <c r="DD70" s="433">
        <f t="shared" si="617"/>
        <v>2</v>
      </c>
      <c r="DE70" s="333">
        <f t="shared" si="618"/>
        <v>2</v>
      </c>
      <c r="DF70" s="432">
        <f t="shared" si="619"/>
        <v>2</v>
      </c>
      <c r="DG70" s="432">
        <f t="shared" si="620"/>
        <v>2</v>
      </c>
      <c r="DH70" s="433">
        <f t="shared" si="621"/>
        <v>2</v>
      </c>
      <c r="DI70" s="333">
        <f t="shared" si="622"/>
        <v>2</v>
      </c>
      <c r="DJ70" s="432">
        <f t="shared" si="623"/>
        <v>2</v>
      </c>
      <c r="DK70" s="432">
        <f t="shared" si="624"/>
        <v>2</v>
      </c>
      <c r="DL70" s="433">
        <f t="shared" si="625"/>
        <v>2</v>
      </c>
      <c r="DM70" s="333">
        <f t="shared" si="626"/>
        <v>2</v>
      </c>
      <c r="DN70" s="432">
        <f t="shared" si="627"/>
        <v>2</v>
      </c>
      <c r="DO70" s="432">
        <f t="shared" si="628"/>
        <v>2</v>
      </c>
      <c r="DP70" s="433">
        <f t="shared" si="629"/>
        <v>2</v>
      </c>
      <c r="DQ70" s="333">
        <f t="shared" si="630"/>
        <v>2</v>
      </c>
      <c r="DR70" s="432">
        <f t="shared" si="631"/>
        <v>2</v>
      </c>
      <c r="DS70" s="432">
        <f t="shared" si="632"/>
        <v>2</v>
      </c>
      <c r="DT70" s="433">
        <f t="shared" si="633"/>
        <v>2</v>
      </c>
      <c r="DU70" s="333">
        <f t="shared" si="634"/>
        <v>2</v>
      </c>
      <c r="DV70" s="432">
        <f t="shared" si="635"/>
        <v>2</v>
      </c>
      <c r="DW70" s="432">
        <f t="shared" si="636"/>
        <v>2</v>
      </c>
      <c r="DX70" s="433">
        <f t="shared" si="637"/>
        <v>2</v>
      </c>
      <c r="DY70" s="333">
        <f t="shared" si="638"/>
        <v>2</v>
      </c>
      <c r="DZ70" s="432">
        <f t="shared" si="639"/>
        <v>2</v>
      </c>
      <c r="EA70" s="432">
        <f t="shared" si="640"/>
        <v>2</v>
      </c>
      <c r="EB70" s="433">
        <f t="shared" si="641"/>
        <v>2</v>
      </c>
      <c r="EC70" s="333">
        <f t="shared" si="642"/>
        <v>2</v>
      </c>
      <c r="ED70" s="432">
        <f t="shared" si="643"/>
        <v>2</v>
      </c>
      <c r="EE70" s="432">
        <f t="shared" si="644"/>
        <v>2</v>
      </c>
      <c r="EF70" s="433">
        <f t="shared" si="645"/>
        <v>2</v>
      </c>
      <c r="EG70" s="333">
        <f t="shared" si="646"/>
        <v>2</v>
      </c>
      <c r="EH70" s="432">
        <f t="shared" si="647"/>
        <v>2</v>
      </c>
      <c r="EI70" s="432">
        <f t="shared" si="648"/>
        <v>2</v>
      </c>
      <c r="EJ70" s="433">
        <f t="shared" si="649"/>
        <v>2</v>
      </c>
      <c r="EK70" s="333">
        <f t="shared" si="650"/>
        <v>2</v>
      </c>
      <c r="EL70" s="432">
        <f t="shared" si="651"/>
        <v>2</v>
      </c>
      <c r="EM70" s="432">
        <f t="shared" si="652"/>
        <v>2</v>
      </c>
      <c r="EN70" s="433">
        <f t="shared" si="653"/>
        <v>2</v>
      </c>
      <c r="EO70" s="333">
        <f t="shared" si="654"/>
        <v>2</v>
      </c>
      <c r="EP70" s="432">
        <f t="shared" si="655"/>
        <v>2</v>
      </c>
      <c r="EQ70" s="432">
        <f t="shared" si="656"/>
        <v>2</v>
      </c>
      <c r="ER70" s="433">
        <f t="shared" si="657"/>
        <v>2</v>
      </c>
      <c r="ES70" s="333">
        <f t="shared" si="658"/>
        <v>2</v>
      </c>
      <c r="ET70" s="432">
        <f t="shared" si="659"/>
        <v>2</v>
      </c>
      <c r="EU70" s="432">
        <f t="shared" si="660"/>
        <v>2</v>
      </c>
      <c r="EV70" s="433">
        <f t="shared" si="661"/>
        <v>2</v>
      </c>
      <c r="EW70" s="263">
        <f>SUM(I70:DD70)/4</f>
        <v>38</v>
      </c>
      <c r="EX70" s="263"/>
      <c r="EY70" s="263"/>
      <c r="EZ70" s="263"/>
      <c r="FA70" s="263"/>
    </row>
    <row r="71" spans="2:157" s="264" customFormat="1" ht="29.25" customHeight="1">
      <c r="B71" s="257"/>
      <c r="C71" s="23" t="s">
        <v>177</v>
      </c>
      <c r="D71" s="270" t="s">
        <v>149</v>
      </c>
      <c r="E71" s="271">
        <v>4</v>
      </c>
      <c r="F71" s="258"/>
      <c r="G71" s="415"/>
      <c r="H71" s="259"/>
      <c r="I71" s="260"/>
      <c r="J71" s="261"/>
      <c r="K71" s="261"/>
      <c r="L71" s="262"/>
      <c r="M71" s="260"/>
      <c r="N71" s="261"/>
      <c r="O71" s="261"/>
      <c r="P71" s="262"/>
      <c r="Q71" s="260"/>
      <c r="R71" s="261"/>
      <c r="S71" s="261"/>
      <c r="T71" s="262"/>
      <c r="U71" s="333"/>
      <c r="V71" s="432"/>
      <c r="W71" s="432"/>
      <c r="X71" s="433"/>
      <c r="Y71" s="333"/>
      <c r="Z71" s="432"/>
      <c r="AA71" s="432"/>
      <c r="AB71" s="262"/>
      <c r="AC71" s="260"/>
      <c r="AD71" s="261"/>
      <c r="AE71" s="261"/>
      <c r="AF71" s="262"/>
      <c r="AG71" s="333">
        <f t="shared" si="662"/>
        <v>4</v>
      </c>
      <c r="AH71" s="432">
        <f t="shared" si="663"/>
        <v>4</v>
      </c>
      <c r="AI71" s="432">
        <f t="shared" si="664"/>
        <v>4</v>
      </c>
      <c r="AJ71" s="433">
        <f t="shared" si="665"/>
        <v>4</v>
      </c>
      <c r="AK71" s="333">
        <f t="shared" si="546"/>
        <v>4</v>
      </c>
      <c r="AL71" s="432">
        <f t="shared" si="547"/>
        <v>4</v>
      </c>
      <c r="AM71" s="432">
        <f t="shared" si="548"/>
        <v>4</v>
      </c>
      <c r="AN71" s="433">
        <f t="shared" si="549"/>
        <v>4</v>
      </c>
      <c r="AO71" s="333">
        <f t="shared" si="666"/>
        <v>4</v>
      </c>
      <c r="AP71" s="432">
        <f t="shared" si="667"/>
        <v>4</v>
      </c>
      <c r="AQ71" s="432">
        <f t="shared" si="668"/>
        <v>4</v>
      </c>
      <c r="AR71" s="433">
        <f t="shared" si="669"/>
        <v>4</v>
      </c>
      <c r="AS71" s="333">
        <f t="shared" si="670"/>
        <v>4</v>
      </c>
      <c r="AT71" s="432">
        <f t="shared" si="671"/>
        <v>4</v>
      </c>
      <c r="AU71" s="432">
        <f t="shared" si="672"/>
        <v>4</v>
      </c>
      <c r="AV71" s="433">
        <f t="shared" si="673"/>
        <v>4</v>
      </c>
      <c r="AW71" s="333">
        <f t="shared" si="674"/>
        <v>4</v>
      </c>
      <c r="AX71" s="432">
        <f t="shared" si="675"/>
        <v>4</v>
      </c>
      <c r="AY71" s="432">
        <f t="shared" si="676"/>
        <v>4</v>
      </c>
      <c r="AZ71" s="433">
        <f t="shared" si="677"/>
        <v>4</v>
      </c>
      <c r="BA71" s="333">
        <f t="shared" si="678"/>
        <v>4</v>
      </c>
      <c r="BB71" s="432">
        <f t="shared" si="679"/>
        <v>4</v>
      </c>
      <c r="BC71" s="432">
        <f t="shared" si="680"/>
        <v>4</v>
      </c>
      <c r="BD71" s="433">
        <f t="shared" si="681"/>
        <v>4</v>
      </c>
      <c r="BE71" s="333">
        <f t="shared" si="682"/>
        <v>4</v>
      </c>
      <c r="BF71" s="432">
        <f t="shared" si="683"/>
        <v>4</v>
      </c>
      <c r="BG71" s="432">
        <f t="shared" si="684"/>
        <v>4</v>
      </c>
      <c r="BH71" s="433">
        <f t="shared" si="685"/>
        <v>4</v>
      </c>
      <c r="BI71" s="333">
        <f t="shared" si="686"/>
        <v>4</v>
      </c>
      <c r="BJ71" s="432">
        <f t="shared" si="687"/>
        <v>4</v>
      </c>
      <c r="BK71" s="432">
        <f t="shared" si="688"/>
        <v>4</v>
      </c>
      <c r="BL71" s="433">
        <f t="shared" si="689"/>
        <v>4</v>
      </c>
      <c r="BM71" s="333">
        <f t="shared" si="690"/>
        <v>4</v>
      </c>
      <c r="BN71" s="432">
        <f t="shared" si="691"/>
        <v>4</v>
      </c>
      <c r="BO71" s="432">
        <f t="shared" si="692"/>
        <v>4</v>
      </c>
      <c r="BP71" s="433">
        <f t="shared" si="693"/>
        <v>4</v>
      </c>
      <c r="BQ71" s="333">
        <f t="shared" si="578"/>
        <v>4</v>
      </c>
      <c r="BR71" s="432">
        <f t="shared" si="579"/>
        <v>4</v>
      </c>
      <c r="BS71" s="432">
        <f t="shared" si="580"/>
        <v>4</v>
      </c>
      <c r="BT71" s="433">
        <f t="shared" si="581"/>
        <v>4</v>
      </c>
      <c r="BU71" s="333">
        <f t="shared" si="582"/>
        <v>4</v>
      </c>
      <c r="BV71" s="432">
        <f t="shared" si="583"/>
        <v>4</v>
      </c>
      <c r="BW71" s="432">
        <f t="shared" si="584"/>
        <v>4</v>
      </c>
      <c r="BX71" s="433">
        <f t="shared" si="585"/>
        <v>4</v>
      </c>
      <c r="BY71" s="333">
        <f t="shared" si="586"/>
        <v>4</v>
      </c>
      <c r="BZ71" s="432">
        <f t="shared" si="587"/>
        <v>4</v>
      </c>
      <c r="CA71" s="432">
        <f t="shared" si="588"/>
        <v>4</v>
      </c>
      <c r="CB71" s="433">
        <f t="shared" si="589"/>
        <v>4</v>
      </c>
      <c r="CC71" s="333">
        <f t="shared" si="590"/>
        <v>4</v>
      </c>
      <c r="CD71" s="432">
        <f t="shared" si="591"/>
        <v>4</v>
      </c>
      <c r="CE71" s="432">
        <f t="shared" si="592"/>
        <v>4</v>
      </c>
      <c r="CF71" s="433">
        <f t="shared" si="593"/>
        <v>4</v>
      </c>
      <c r="CG71" s="333">
        <f t="shared" si="594"/>
        <v>4</v>
      </c>
      <c r="CH71" s="432">
        <f t="shared" si="595"/>
        <v>4</v>
      </c>
      <c r="CI71" s="432">
        <f t="shared" si="596"/>
        <v>4</v>
      </c>
      <c r="CJ71" s="433">
        <f t="shared" si="597"/>
        <v>4</v>
      </c>
      <c r="CK71" s="333">
        <f t="shared" si="598"/>
        <v>4</v>
      </c>
      <c r="CL71" s="432">
        <f t="shared" si="599"/>
        <v>4</v>
      </c>
      <c r="CM71" s="432">
        <f t="shared" si="600"/>
        <v>4</v>
      </c>
      <c r="CN71" s="433">
        <f t="shared" si="601"/>
        <v>4</v>
      </c>
      <c r="CO71" s="333">
        <f t="shared" si="602"/>
        <v>4</v>
      </c>
      <c r="CP71" s="432">
        <f t="shared" si="603"/>
        <v>4</v>
      </c>
      <c r="CQ71" s="432">
        <f t="shared" si="604"/>
        <v>4</v>
      </c>
      <c r="CR71" s="433">
        <f t="shared" si="605"/>
        <v>4</v>
      </c>
      <c r="CS71" s="333">
        <f t="shared" si="606"/>
        <v>4</v>
      </c>
      <c r="CT71" s="432">
        <f t="shared" si="607"/>
        <v>4</v>
      </c>
      <c r="CU71" s="432">
        <f t="shared" si="608"/>
        <v>4</v>
      </c>
      <c r="CV71" s="433">
        <f t="shared" si="609"/>
        <v>4</v>
      </c>
      <c r="CW71" s="333">
        <f t="shared" si="610"/>
        <v>4</v>
      </c>
      <c r="CX71" s="432">
        <f t="shared" si="611"/>
        <v>4</v>
      </c>
      <c r="CY71" s="432">
        <f t="shared" si="612"/>
        <v>4</v>
      </c>
      <c r="CZ71" s="433">
        <f t="shared" si="613"/>
        <v>4</v>
      </c>
      <c r="DA71" s="333">
        <f t="shared" si="614"/>
        <v>4</v>
      </c>
      <c r="DB71" s="432">
        <f t="shared" si="615"/>
        <v>4</v>
      </c>
      <c r="DC71" s="432">
        <f t="shared" si="616"/>
        <v>4</v>
      </c>
      <c r="DD71" s="433">
        <f t="shared" si="617"/>
        <v>4</v>
      </c>
      <c r="DE71" s="333">
        <f t="shared" si="618"/>
        <v>4</v>
      </c>
      <c r="DF71" s="432">
        <f t="shared" si="619"/>
        <v>4</v>
      </c>
      <c r="DG71" s="432">
        <f t="shared" si="620"/>
        <v>4</v>
      </c>
      <c r="DH71" s="433">
        <f t="shared" si="621"/>
        <v>4</v>
      </c>
      <c r="DI71" s="333">
        <f t="shared" si="622"/>
        <v>4</v>
      </c>
      <c r="DJ71" s="432">
        <f t="shared" si="623"/>
        <v>4</v>
      </c>
      <c r="DK71" s="432">
        <f t="shared" si="624"/>
        <v>4</v>
      </c>
      <c r="DL71" s="433">
        <f t="shared" si="625"/>
        <v>4</v>
      </c>
      <c r="DM71" s="333">
        <f t="shared" si="626"/>
        <v>4</v>
      </c>
      <c r="DN71" s="432">
        <f t="shared" si="627"/>
        <v>4</v>
      </c>
      <c r="DO71" s="432">
        <f t="shared" si="628"/>
        <v>4</v>
      </c>
      <c r="DP71" s="433">
        <f t="shared" si="629"/>
        <v>4</v>
      </c>
      <c r="DQ71" s="333">
        <f t="shared" si="630"/>
        <v>4</v>
      </c>
      <c r="DR71" s="432">
        <f t="shared" si="631"/>
        <v>4</v>
      </c>
      <c r="DS71" s="432">
        <f t="shared" si="632"/>
        <v>4</v>
      </c>
      <c r="DT71" s="433">
        <f t="shared" si="633"/>
        <v>4</v>
      </c>
      <c r="DU71" s="333">
        <f t="shared" si="634"/>
        <v>4</v>
      </c>
      <c r="DV71" s="432">
        <f t="shared" si="635"/>
        <v>4</v>
      </c>
      <c r="DW71" s="432">
        <f t="shared" si="636"/>
        <v>4</v>
      </c>
      <c r="DX71" s="433">
        <f t="shared" si="637"/>
        <v>4</v>
      </c>
      <c r="DY71" s="333">
        <f t="shared" si="638"/>
        <v>4</v>
      </c>
      <c r="DZ71" s="432">
        <f t="shared" si="639"/>
        <v>4</v>
      </c>
      <c r="EA71" s="432">
        <f t="shared" si="640"/>
        <v>4</v>
      </c>
      <c r="EB71" s="433">
        <f t="shared" si="641"/>
        <v>4</v>
      </c>
      <c r="EC71" s="333">
        <f t="shared" si="642"/>
        <v>4</v>
      </c>
      <c r="ED71" s="432">
        <f t="shared" si="643"/>
        <v>4</v>
      </c>
      <c r="EE71" s="432">
        <f t="shared" si="644"/>
        <v>4</v>
      </c>
      <c r="EF71" s="433">
        <f t="shared" si="645"/>
        <v>4</v>
      </c>
      <c r="EG71" s="333">
        <f t="shared" si="646"/>
        <v>4</v>
      </c>
      <c r="EH71" s="432">
        <f t="shared" si="647"/>
        <v>4</v>
      </c>
      <c r="EI71" s="432">
        <f t="shared" si="648"/>
        <v>4</v>
      </c>
      <c r="EJ71" s="433">
        <f t="shared" si="649"/>
        <v>4</v>
      </c>
      <c r="EK71" s="333">
        <f t="shared" si="650"/>
        <v>4</v>
      </c>
      <c r="EL71" s="432">
        <f t="shared" si="651"/>
        <v>4</v>
      </c>
      <c r="EM71" s="432">
        <f t="shared" si="652"/>
        <v>4</v>
      </c>
      <c r="EN71" s="433">
        <f t="shared" si="653"/>
        <v>4</v>
      </c>
      <c r="EO71" s="333">
        <f t="shared" si="654"/>
        <v>4</v>
      </c>
      <c r="EP71" s="432">
        <f t="shared" si="655"/>
        <v>4</v>
      </c>
      <c r="EQ71" s="432">
        <f t="shared" si="656"/>
        <v>4</v>
      </c>
      <c r="ER71" s="433">
        <f t="shared" si="657"/>
        <v>4</v>
      </c>
      <c r="ES71" s="333">
        <f t="shared" si="658"/>
        <v>4</v>
      </c>
      <c r="ET71" s="432">
        <f t="shared" si="659"/>
        <v>4</v>
      </c>
      <c r="EU71" s="432">
        <f t="shared" si="660"/>
        <v>4</v>
      </c>
      <c r="EV71" s="433">
        <f t="shared" si="661"/>
        <v>4</v>
      </c>
      <c r="EW71" s="263">
        <f>SUM(I71:DD71)/4</f>
        <v>76</v>
      </c>
      <c r="EX71" s="263"/>
      <c r="EY71" s="263"/>
      <c r="EZ71" s="263"/>
      <c r="FA71" s="263"/>
    </row>
    <row r="72" spans="2:157" s="264" customFormat="1" ht="29.25" customHeight="1">
      <c r="B72" s="257"/>
      <c r="C72" s="23" t="s">
        <v>217</v>
      </c>
      <c r="D72" s="270" t="s">
        <v>149</v>
      </c>
      <c r="E72" s="271">
        <v>1</v>
      </c>
      <c r="F72" s="258"/>
      <c r="G72" s="415"/>
      <c r="H72" s="259"/>
      <c r="I72" s="260"/>
      <c r="J72" s="261"/>
      <c r="K72" s="261"/>
      <c r="L72" s="262"/>
      <c r="M72" s="260"/>
      <c r="N72" s="261"/>
      <c r="O72" s="261"/>
      <c r="P72" s="262"/>
      <c r="Q72" s="260"/>
      <c r="R72" s="261"/>
      <c r="S72" s="261"/>
      <c r="T72" s="262"/>
      <c r="U72" s="333"/>
      <c r="V72" s="432"/>
      <c r="W72" s="432"/>
      <c r="X72" s="433"/>
      <c r="Y72" s="333"/>
      <c r="Z72" s="432"/>
      <c r="AA72" s="432"/>
      <c r="AB72" s="262"/>
      <c r="AC72" s="260"/>
      <c r="AD72" s="261"/>
      <c r="AE72" s="261"/>
      <c r="AF72" s="262"/>
      <c r="AG72" s="333">
        <f t="shared" si="662"/>
        <v>1</v>
      </c>
      <c r="AH72" s="432">
        <f t="shared" si="663"/>
        <v>1</v>
      </c>
      <c r="AI72" s="432">
        <f t="shared" si="664"/>
        <v>1</v>
      </c>
      <c r="AJ72" s="433">
        <f t="shared" si="665"/>
        <v>1</v>
      </c>
      <c r="AK72" s="333">
        <f t="shared" si="546"/>
        <v>1</v>
      </c>
      <c r="AL72" s="432">
        <f t="shared" si="547"/>
        <v>1</v>
      </c>
      <c r="AM72" s="432">
        <f t="shared" si="548"/>
        <v>1</v>
      </c>
      <c r="AN72" s="433">
        <f t="shared" si="549"/>
        <v>1</v>
      </c>
      <c r="AO72" s="333">
        <f t="shared" si="666"/>
        <v>1</v>
      </c>
      <c r="AP72" s="432">
        <f t="shared" si="667"/>
        <v>1</v>
      </c>
      <c r="AQ72" s="432">
        <f t="shared" si="668"/>
        <v>1</v>
      </c>
      <c r="AR72" s="433">
        <f t="shared" si="669"/>
        <v>1</v>
      </c>
      <c r="AS72" s="333">
        <f t="shared" si="670"/>
        <v>1</v>
      </c>
      <c r="AT72" s="432">
        <f t="shared" si="671"/>
        <v>1</v>
      </c>
      <c r="AU72" s="432">
        <f t="shared" si="672"/>
        <v>1</v>
      </c>
      <c r="AV72" s="433">
        <f t="shared" si="673"/>
        <v>1</v>
      </c>
      <c r="AW72" s="333">
        <f t="shared" si="674"/>
        <v>1</v>
      </c>
      <c r="AX72" s="432">
        <f t="shared" si="675"/>
        <v>1</v>
      </c>
      <c r="AY72" s="432">
        <f t="shared" si="676"/>
        <v>1</v>
      </c>
      <c r="AZ72" s="433">
        <f t="shared" si="677"/>
        <v>1</v>
      </c>
      <c r="BA72" s="333">
        <f t="shared" si="678"/>
        <v>1</v>
      </c>
      <c r="BB72" s="432">
        <f t="shared" si="679"/>
        <v>1</v>
      </c>
      <c r="BC72" s="432">
        <f t="shared" si="680"/>
        <v>1</v>
      </c>
      <c r="BD72" s="433">
        <f t="shared" si="681"/>
        <v>1</v>
      </c>
      <c r="BE72" s="333">
        <f t="shared" si="682"/>
        <v>1</v>
      </c>
      <c r="BF72" s="432">
        <f t="shared" si="683"/>
        <v>1</v>
      </c>
      <c r="BG72" s="432">
        <f t="shared" si="684"/>
        <v>1</v>
      </c>
      <c r="BH72" s="433">
        <f t="shared" si="685"/>
        <v>1</v>
      </c>
      <c r="BI72" s="333">
        <f t="shared" si="686"/>
        <v>1</v>
      </c>
      <c r="BJ72" s="432">
        <f t="shared" si="687"/>
        <v>1</v>
      </c>
      <c r="BK72" s="432">
        <f t="shared" si="688"/>
        <v>1</v>
      </c>
      <c r="BL72" s="433">
        <f t="shared" si="689"/>
        <v>1</v>
      </c>
      <c r="BM72" s="333">
        <f t="shared" si="690"/>
        <v>1</v>
      </c>
      <c r="BN72" s="432">
        <f t="shared" si="691"/>
        <v>1</v>
      </c>
      <c r="BO72" s="432">
        <f t="shared" si="692"/>
        <v>1</v>
      </c>
      <c r="BP72" s="433">
        <f t="shared" si="693"/>
        <v>1</v>
      </c>
      <c r="BQ72" s="333">
        <f t="shared" si="578"/>
        <v>1</v>
      </c>
      <c r="BR72" s="432">
        <f t="shared" si="579"/>
        <v>1</v>
      </c>
      <c r="BS72" s="432">
        <f t="shared" si="580"/>
        <v>1</v>
      </c>
      <c r="BT72" s="433">
        <f t="shared" si="581"/>
        <v>1</v>
      </c>
      <c r="BU72" s="333">
        <f t="shared" si="582"/>
        <v>1</v>
      </c>
      <c r="BV72" s="432">
        <f t="shared" si="583"/>
        <v>1</v>
      </c>
      <c r="BW72" s="432">
        <f t="shared" si="584"/>
        <v>1</v>
      </c>
      <c r="BX72" s="433">
        <f t="shared" si="585"/>
        <v>1</v>
      </c>
      <c r="BY72" s="333">
        <f t="shared" si="586"/>
        <v>1</v>
      </c>
      <c r="BZ72" s="432">
        <f t="shared" si="587"/>
        <v>1</v>
      </c>
      <c r="CA72" s="432">
        <f t="shared" si="588"/>
        <v>1</v>
      </c>
      <c r="CB72" s="433">
        <f t="shared" si="589"/>
        <v>1</v>
      </c>
      <c r="CC72" s="333">
        <f t="shared" si="590"/>
        <v>1</v>
      </c>
      <c r="CD72" s="432">
        <f t="shared" si="591"/>
        <v>1</v>
      </c>
      <c r="CE72" s="432">
        <f t="shared" si="592"/>
        <v>1</v>
      </c>
      <c r="CF72" s="433">
        <f t="shared" si="593"/>
        <v>1</v>
      </c>
      <c r="CG72" s="333">
        <f t="shared" si="594"/>
        <v>1</v>
      </c>
      <c r="CH72" s="432">
        <f t="shared" si="595"/>
        <v>1</v>
      </c>
      <c r="CI72" s="432">
        <f t="shared" si="596"/>
        <v>1</v>
      </c>
      <c r="CJ72" s="433">
        <f t="shared" si="597"/>
        <v>1</v>
      </c>
      <c r="CK72" s="333">
        <f t="shared" si="598"/>
        <v>1</v>
      </c>
      <c r="CL72" s="432">
        <f t="shared" si="599"/>
        <v>1</v>
      </c>
      <c r="CM72" s="432">
        <f t="shared" si="600"/>
        <v>1</v>
      </c>
      <c r="CN72" s="433">
        <f t="shared" si="601"/>
        <v>1</v>
      </c>
      <c r="CO72" s="333">
        <f t="shared" si="602"/>
        <v>1</v>
      </c>
      <c r="CP72" s="432">
        <f t="shared" si="603"/>
        <v>1</v>
      </c>
      <c r="CQ72" s="432">
        <f t="shared" si="604"/>
        <v>1</v>
      </c>
      <c r="CR72" s="433">
        <f t="shared" si="605"/>
        <v>1</v>
      </c>
      <c r="CS72" s="333">
        <f t="shared" si="606"/>
        <v>1</v>
      </c>
      <c r="CT72" s="432">
        <f t="shared" si="607"/>
        <v>1</v>
      </c>
      <c r="CU72" s="432">
        <f t="shared" si="608"/>
        <v>1</v>
      </c>
      <c r="CV72" s="433">
        <f t="shared" si="609"/>
        <v>1</v>
      </c>
      <c r="CW72" s="333">
        <f t="shared" si="610"/>
        <v>1</v>
      </c>
      <c r="CX72" s="432">
        <f t="shared" si="611"/>
        <v>1</v>
      </c>
      <c r="CY72" s="432">
        <f t="shared" si="612"/>
        <v>1</v>
      </c>
      <c r="CZ72" s="433">
        <f t="shared" si="613"/>
        <v>1</v>
      </c>
      <c r="DA72" s="333">
        <f t="shared" si="614"/>
        <v>1</v>
      </c>
      <c r="DB72" s="432">
        <f t="shared" si="615"/>
        <v>1</v>
      </c>
      <c r="DC72" s="432">
        <f t="shared" si="616"/>
        <v>1</v>
      </c>
      <c r="DD72" s="433">
        <f t="shared" si="617"/>
        <v>1</v>
      </c>
      <c r="DE72" s="333">
        <f t="shared" si="618"/>
        <v>1</v>
      </c>
      <c r="DF72" s="432">
        <f t="shared" si="619"/>
        <v>1</v>
      </c>
      <c r="DG72" s="432">
        <f t="shared" si="620"/>
        <v>1</v>
      </c>
      <c r="DH72" s="433">
        <f t="shared" si="621"/>
        <v>1</v>
      </c>
      <c r="DI72" s="333">
        <f t="shared" si="622"/>
        <v>1</v>
      </c>
      <c r="DJ72" s="432">
        <f t="shared" si="623"/>
        <v>1</v>
      </c>
      <c r="DK72" s="432">
        <f t="shared" si="624"/>
        <v>1</v>
      </c>
      <c r="DL72" s="433">
        <f t="shared" si="625"/>
        <v>1</v>
      </c>
      <c r="DM72" s="333">
        <f t="shared" si="626"/>
        <v>1</v>
      </c>
      <c r="DN72" s="432">
        <f t="shared" si="627"/>
        <v>1</v>
      </c>
      <c r="DO72" s="432">
        <f t="shared" si="628"/>
        <v>1</v>
      </c>
      <c r="DP72" s="433">
        <f t="shared" si="629"/>
        <v>1</v>
      </c>
      <c r="DQ72" s="333">
        <f t="shared" si="630"/>
        <v>1</v>
      </c>
      <c r="DR72" s="432">
        <f t="shared" si="631"/>
        <v>1</v>
      </c>
      <c r="DS72" s="432">
        <f t="shared" si="632"/>
        <v>1</v>
      </c>
      <c r="DT72" s="433">
        <f t="shared" si="633"/>
        <v>1</v>
      </c>
      <c r="DU72" s="333">
        <f t="shared" si="634"/>
        <v>1</v>
      </c>
      <c r="DV72" s="432">
        <f t="shared" si="635"/>
        <v>1</v>
      </c>
      <c r="DW72" s="432">
        <f t="shared" si="636"/>
        <v>1</v>
      </c>
      <c r="DX72" s="433">
        <f t="shared" si="637"/>
        <v>1</v>
      </c>
      <c r="DY72" s="333">
        <f t="shared" si="638"/>
        <v>1</v>
      </c>
      <c r="DZ72" s="432">
        <f t="shared" si="639"/>
        <v>1</v>
      </c>
      <c r="EA72" s="432">
        <f t="shared" si="640"/>
        <v>1</v>
      </c>
      <c r="EB72" s="433">
        <f t="shared" si="641"/>
        <v>1</v>
      </c>
      <c r="EC72" s="333">
        <f t="shared" si="642"/>
        <v>1</v>
      </c>
      <c r="ED72" s="432">
        <f t="shared" si="643"/>
        <v>1</v>
      </c>
      <c r="EE72" s="432">
        <f t="shared" si="644"/>
        <v>1</v>
      </c>
      <c r="EF72" s="433">
        <f t="shared" si="645"/>
        <v>1</v>
      </c>
      <c r="EG72" s="333">
        <f t="shared" si="646"/>
        <v>1</v>
      </c>
      <c r="EH72" s="432">
        <f t="shared" si="647"/>
        <v>1</v>
      </c>
      <c r="EI72" s="432">
        <f t="shared" si="648"/>
        <v>1</v>
      </c>
      <c r="EJ72" s="433">
        <f t="shared" si="649"/>
        <v>1</v>
      </c>
      <c r="EK72" s="333">
        <f t="shared" si="650"/>
        <v>1</v>
      </c>
      <c r="EL72" s="432">
        <f t="shared" si="651"/>
        <v>1</v>
      </c>
      <c r="EM72" s="432">
        <f t="shared" si="652"/>
        <v>1</v>
      </c>
      <c r="EN72" s="433">
        <f t="shared" si="653"/>
        <v>1</v>
      </c>
      <c r="EO72" s="333">
        <f t="shared" si="654"/>
        <v>1</v>
      </c>
      <c r="EP72" s="432">
        <f t="shared" si="655"/>
        <v>1</v>
      </c>
      <c r="EQ72" s="432">
        <f t="shared" si="656"/>
        <v>1</v>
      </c>
      <c r="ER72" s="433">
        <f t="shared" si="657"/>
        <v>1</v>
      </c>
      <c r="ES72" s="333">
        <f t="shared" si="658"/>
        <v>1</v>
      </c>
      <c r="ET72" s="432">
        <f t="shared" si="659"/>
        <v>1</v>
      </c>
      <c r="EU72" s="432">
        <f t="shared" si="660"/>
        <v>1</v>
      </c>
      <c r="EV72" s="433">
        <f t="shared" si="661"/>
        <v>1</v>
      </c>
      <c r="EW72" s="263">
        <f>SUM(I72:DD72)/4</f>
        <v>19</v>
      </c>
      <c r="EX72" s="263"/>
      <c r="EY72" s="263"/>
      <c r="EZ72" s="263"/>
      <c r="FA72" s="263"/>
    </row>
    <row r="73" spans="2:157" s="264" customFormat="1" ht="29.25" customHeight="1">
      <c r="B73" s="257"/>
      <c r="C73" s="23" t="s">
        <v>223</v>
      </c>
      <c r="D73" s="270" t="s">
        <v>149</v>
      </c>
      <c r="E73" s="271">
        <v>2</v>
      </c>
      <c r="F73" s="258"/>
      <c r="G73" s="415"/>
      <c r="H73" s="259"/>
      <c r="I73" s="260"/>
      <c r="J73" s="261"/>
      <c r="K73" s="261"/>
      <c r="L73" s="262"/>
      <c r="M73" s="260"/>
      <c r="N73" s="261"/>
      <c r="O73" s="261"/>
      <c r="P73" s="262"/>
      <c r="Q73" s="260"/>
      <c r="R73" s="261"/>
      <c r="S73" s="261"/>
      <c r="T73" s="262"/>
      <c r="U73" s="260"/>
      <c r="V73" s="261"/>
      <c r="W73" s="261"/>
      <c r="X73" s="262"/>
      <c r="Y73" s="260"/>
      <c r="Z73" s="261"/>
      <c r="AA73" s="261"/>
      <c r="AB73" s="262"/>
      <c r="AC73" s="260"/>
      <c r="AD73" s="261"/>
      <c r="AE73" s="447"/>
      <c r="AF73" s="262"/>
      <c r="AG73" s="333">
        <f t="shared" si="662"/>
        <v>2</v>
      </c>
      <c r="AH73" s="432">
        <f t="shared" si="663"/>
        <v>2</v>
      </c>
      <c r="AI73" s="432">
        <f t="shared" si="664"/>
        <v>2</v>
      </c>
      <c r="AJ73" s="433">
        <f t="shared" si="665"/>
        <v>2</v>
      </c>
      <c r="AK73" s="333">
        <f t="shared" si="546"/>
        <v>2</v>
      </c>
      <c r="AL73" s="432">
        <f t="shared" si="547"/>
        <v>2</v>
      </c>
      <c r="AM73" s="432">
        <f t="shared" si="548"/>
        <v>2</v>
      </c>
      <c r="AN73" s="433">
        <f t="shared" si="549"/>
        <v>2</v>
      </c>
      <c r="AO73" s="333">
        <f t="shared" si="666"/>
        <v>2</v>
      </c>
      <c r="AP73" s="432">
        <f t="shared" si="667"/>
        <v>2</v>
      </c>
      <c r="AQ73" s="432">
        <f t="shared" si="668"/>
        <v>2</v>
      </c>
      <c r="AR73" s="433">
        <f t="shared" si="669"/>
        <v>2</v>
      </c>
      <c r="AS73" s="333">
        <f t="shared" si="670"/>
        <v>2</v>
      </c>
      <c r="AT73" s="432">
        <f t="shared" si="671"/>
        <v>2</v>
      </c>
      <c r="AU73" s="432">
        <f t="shared" si="672"/>
        <v>2</v>
      </c>
      <c r="AV73" s="433">
        <f t="shared" si="673"/>
        <v>2</v>
      </c>
      <c r="AW73" s="333">
        <f t="shared" si="674"/>
        <v>2</v>
      </c>
      <c r="AX73" s="432">
        <f t="shared" si="675"/>
        <v>2</v>
      </c>
      <c r="AY73" s="432">
        <f t="shared" si="676"/>
        <v>2</v>
      </c>
      <c r="AZ73" s="433">
        <f t="shared" si="677"/>
        <v>2</v>
      </c>
      <c r="BA73" s="333">
        <f t="shared" si="678"/>
        <v>2</v>
      </c>
      <c r="BB73" s="432">
        <f t="shared" si="679"/>
        <v>2</v>
      </c>
      <c r="BC73" s="432">
        <f t="shared" si="680"/>
        <v>2</v>
      </c>
      <c r="BD73" s="433">
        <f t="shared" si="681"/>
        <v>2</v>
      </c>
      <c r="BE73" s="333">
        <f t="shared" si="682"/>
        <v>2</v>
      </c>
      <c r="BF73" s="432">
        <f t="shared" si="683"/>
        <v>2</v>
      </c>
      <c r="BG73" s="432">
        <f t="shared" si="684"/>
        <v>2</v>
      </c>
      <c r="BH73" s="433">
        <f t="shared" si="685"/>
        <v>2</v>
      </c>
      <c r="BI73" s="333">
        <f t="shared" si="686"/>
        <v>2</v>
      </c>
      <c r="BJ73" s="432">
        <f t="shared" si="687"/>
        <v>2</v>
      </c>
      <c r="BK73" s="432">
        <f t="shared" si="688"/>
        <v>2</v>
      </c>
      <c r="BL73" s="433">
        <f t="shared" si="689"/>
        <v>2</v>
      </c>
      <c r="BM73" s="333">
        <f t="shared" si="690"/>
        <v>2</v>
      </c>
      <c r="BN73" s="432">
        <f t="shared" si="691"/>
        <v>2</v>
      </c>
      <c r="BO73" s="432">
        <f t="shared" si="692"/>
        <v>2</v>
      </c>
      <c r="BP73" s="433">
        <f t="shared" si="693"/>
        <v>2</v>
      </c>
      <c r="BQ73" s="333">
        <f t="shared" si="578"/>
        <v>2</v>
      </c>
      <c r="BR73" s="432">
        <f t="shared" si="579"/>
        <v>2</v>
      </c>
      <c r="BS73" s="432">
        <f t="shared" si="580"/>
        <v>2</v>
      </c>
      <c r="BT73" s="433">
        <f t="shared" si="581"/>
        <v>2</v>
      </c>
      <c r="BU73" s="333">
        <f t="shared" si="582"/>
        <v>2</v>
      </c>
      <c r="BV73" s="432">
        <f t="shared" si="583"/>
        <v>2</v>
      </c>
      <c r="BW73" s="432">
        <f t="shared" si="584"/>
        <v>2</v>
      </c>
      <c r="BX73" s="433">
        <f t="shared" si="585"/>
        <v>2</v>
      </c>
      <c r="BY73" s="333">
        <f t="shared" si="586"/>
        <v>2</v>
      </c>
      <c r="BZ73" s="432">
        <f t="shared" si="587"/>
        <v>2</v>
      </c>
      <c r="CA73" s="432">
        <f t="shared" si="588"/>
        <v>2</v>
      </c>
      <c r="CB73" s="433">
        <f t="shared" si="589"/>
        <v>2</v>
      </c>
      <c r="CC73" s="333">
        <f t="shared" si="590"/>
        <v>2</v>
      </c>
      <c r="CD73" s="432">
        <f t="shared" si="591"/>
        <v>2</v>
      </c>
      <c r="CE73" s="432">
        <f t="shared" si="592"/>
        <v>2</v>
      </c>
      <c r="CF73" s="433">
        <f t="shared" si="593"/>
        <v>2</v>
      </c>
      <c r="CG73" s="333">
        <f t="shared" si="594"/>
        <v>2</v>
      </c>
      <c r="CH73" s="432">
        <f t="shared" si="595"/>
        <v>2</v>
      </c>
      <c r="CI73" s="432">
        <f t="shared" si="596"/>
        <v>2</v>
      </c>
      <c r="CJ73" s="433">
        <f t="shared" si="597"/>
        <v>2</v>
      </c>
      <c r="CK73" s="333">
        <f t="shared" si="598"/>
        <v>2</v>
      </c>
      <c r="CL73" s="432">
        <f t="shared" si="599"/>
        <v>2</v>
      </c>
      <c r="CM73" s="432">
        <f t="shared" si="600"/>
        <v>2</v>
      </c>
      <c r="CN73" s="433">
        <f t="shared" si="601"/>
        <v>2</v>
      </c>
      <c r="CO73" s="333">
        <f t="shared" si="602"/>
        <v>2</v>
      </c>
      <c r="CP73" s="432">
        <f t="shared" si="603"/>
        <v>2</v>
      </c>
      <c r="CQ73" s="432">
        <f t="shared" si="604"/>
        <v>2</v>
      </c>
      <c r="CR73" s="433">
        <f t="shared" si="605"/>
        <v>2</v>
      </c>
      <c r="CS73" s="333">
        <f t="shared" si="606"/>
        <v>2</v>
      </c>
      <c r="CT73" s="432">
        <f t="shared" si="607"/>
        <v>2</v>
      </c>
      <c r="CU73" s="432">
        <f t="shared" si="608"/>
        <v>2</v>
      </c>
      <c r="CV73" s="433">
        <f t="shared" si="609"/>
        <v>2</v>
      </c>
      <c r="CW73" s="333">
        <f t="shared" si="610"/>
        <v>2</v>
      </c>
      <c r="CX73" s="432">
        <f t="shared" si="611"/>
        <v>2</v>
      </c>
      <c r="CY73" s="432">
        <f t="shared" si="612"/>
        <v>2</v>
      </c>
      <c r="CZ73" s="433">
        <f t="shared" si="613"/>
        <v>2</v>
      </c>
      <c r="DA73" s="333">
        <f t="shared" si="614"/>
        <v>2</v>
      </c>
      <c r="DB73" s="432">
        <f t="shared" si="615"/>
        <v>2</v>
      </c>
      <c r="DC73" s="432">
        <f t="shared" si="616"/>
        <v>2</v>
      </c>
      <c r="DD73" s="433">
        <f t="shared" si="617"/>
        <v>2</v>
      </c>
      <c r="DE73" s="333">
        <f t="shared" si="618"/>
        <v>2</v>
      </c>
      <c r="DF73" s="432">
        <f t="shared" si="619"/>
        <v>2</v>
      </c>
      <c r="DG73" s="432">
        <f t="shared" si="620"/>
        <v>2</v>
      </c>
      <c r="DH73" s="433">
        <f t="shared" si="621"/>
        <v>2</v>
      </c>
      <c r="DI73" s="333">
        <f t="shared" si="622"/>
        <v>2</v>
      </c>
      <c r="DJ73" s="432">
        <f t="shared" si="623"/>
        <v>2</v>
      </c>
      <c r="DK73" s="432">
        <f t="shared" si="624"/>
        <v>2</v>
      </c>
      <c r="DL73" s="433">
        <f t="shared" si="625"/>
        <v>2</v>
      </c>
      <c r="DM73" s="333">
        <f t="shared" si="626"/>
        <v>2</v>
      </c>
      <c r="DN73" s="432">
        <f t="shared" si="627"/>
        <v>2</v>
      </c>
      <c r="DO73" s="432">
        <f t="shared" si="628"/>
        <v>2</v>
      </c>
      <c r="DP73" s="433">
        <f t="shared" si="629"/>
        <v>2</v>
      </c>
      <c r="DQ73" s="333">
        <f t="shared" si="630"/>
        <v>2</v>
      </c>
      <c r="DR73" s="432">
        <f t="shared" si="631"/>
        <v>2</v>
      </c>
      <c r="DS73" s="432">
        <f t="shared" si="632"/>
        <v>2</v>
      </c>
      <c r="DT73" s="433">
        <f t="shared" si="633"/>
        <v>2</v>
      </c>
      <c r="DU73" s="333">
        <f t="shared" si="634"/>
        <v>2</v>
      </c>
      <c r="DV73" s="432">
        <f t="shared" si="635"/>
        <v>2</v>
      </c>
      <c r="DW73" s="432">
        <f t="shared" si="636"/>
        <v>2</v>
      </c>
      <c r="DX73" s="433">
        <f t="shared" si="637"/>
        <v>2</v>
      </c>
      <c r="DY73" s="333">
        <f t="shared" si="638"/>
        <v>2</v>
      </c>
      <c r="DZ73" s="432">
        <f t="shared" si="639"/>
        <v>2</v>
      </c>
      <c r="EA73" s="432">
        <f t="shared" si="640"/>
        <v>2</v>
      </c>
      <c r="EB73" s="433">
        <f t="shared" si="641"/>
        <v>2</v>
      </c>
      <c r="EC73" s="333">
        <f t="shared" si="642"/>
        <v>2</v>
      </c>
      <c r="ED73" s="432">
        <f t="shared" si="643"/>
        <v>2</v>
      </c>
      <c r="EE73" s="432">
        <f t="shared" si="644"/>
        <v>2</v>
      </c>
      <c r="EF73" s="433">
        <f t="shared" si="645"/>
        <v>2</v>
      </c>
      <c r="EG73" s="333">
        <f t="shared" si="646"/>
        <v>2</v>
      </c>
      <c r="EH73" s="432">
        <f t="shared" si="647"/>
        <v>2</v>
      </c>
      <c r="EI73" s="432">
        <f t="shared" si="648"/>
        <v>2</v>
      </c>
      <c r="EJ73" s="433">
        <f t="shared" si="649"/>
        <v>2</v>
      </c>
      <c r="EK73" s="333">
        <f t="shared" si="650"/>
        <v>2</v>
      </c>
      <c r="EL73" s="432">
        <f t="shared" si="651"/>
        <v>2</v>
      </c>
      <c r="EM73" s="432">
        <f t="shared" si="652"/>
        <v>2</v>
      </c>
      <c r="EN73" s="433">
        <f t="shared" si="653"/>
        <v>2</v>
      </c>
      <c r="EO73" s="333">
        <f t="shared" si="654"/>
        <v>2</v>
      </c>
      <c r="EP73" s="432">
        <f t="shared" si="655"/>
        <v>2</v>
      </c>
      <c r="EQ73" s="432">
        <f t="shared" si="656"/>
        <v>2</v>
      </c>
      <c r="ER73" s="433">
        <f t="shared" si="657"/>
        <v>2</v>
      </c>
      <c r="ES73" s="333">
        <f t="shared" si="658"/>
        <v>2</v>
      </c>
      <c r="ET73" s="432">
        <f t="shared" si="659"/>
        <v>2</v>
      </c>
      <c r="EU73" s="432">
        <f t="shared" si="660"/>
        <v>2</v>
      </c>
      <c r="EV73" s="433">
        <f t="shared" si="661"/>
        <v>2</v>
      </c>
      <c r="EW73" s="263">
        <f>SUM(I73:DD73)/4</f>
        <v>38</v>
      </c>
      <c r="EX73" s="263"/>
      <c r="EY73" s="263"/>
      <c r="EZ73" s="263"/>
      <c r="FA73" s="263"/>
    </row>
    <row r="74" spans="2:157" s="256" customFormat="1" ht="29.25" customHeight="1">
      <c r="B74" s="251"/>
      <c r="C74" s="369"/>
      <c r="D74" s="365"/>
      <c r="E74" s="366"/>
      <c r="F74" s="367"/>
      <c r="G74" s="419"/>
      <c r="H74" s="368"/>
      <c r="I74" s="364"/>
      <c r="J74" s="261"/>
      <c r="K74" s="261"/>
      <c r="L74" s="262"/>
      <c r="M74" s="260"/>
      <c r="N74" s="261"/>
      <c r="O74" s="261"/>
      <c r="P74" s="262"/>
      <c r="Q74" s="260"/>
      <c r="R74" s="261"/>
      <c r="S74" s="261"/>
      <c r="T74" s="262"/>
      <c r="U74" s="260"/>
      <c r="V74" s="261"/>
      <c r="W74" s="261"/>
      <c r="X74" s="262"/>
      <c r="Y74" s="260"/>
      <c r="Z74" s="261"/>
      <c r="AA74" s="261"/>
      <c r="AB74" s="262"/>
      <c r="AC74" s="260"/>
      <c r="AD74" s="261"/>
      <c r="AE74" s="238"/>
      <c r="AF74" s="262"/>
      <c r="AG74" s="260"/>
      <c r="AH74" s="261"/>
      <c r="AI74" s="261"/>
      <c r="AJ74" s="262"/>
      <c r="AK74" s="260"/>
      <c r="AL74" s="261"/>
      <c r="AM74" s="261"/>
      <c r="AN74" s="262"/>
      <c r="AO74" s="245"/>
      <c r="AP74" s="246"/>
      <c r="AQ74" s="246"/>
      <c r="AR74" s="244"/>
      <c r="AS74" s="245"/>
      <c r="AT74" s="246"/>
      <c r="AU74" s="246"/>
      <c r="AV74" s="244"/>
      <c r="AW74" s="245"/>
      <c r="AX74" s="246"/>
      <c r="AY74" s="246"/>
      <c r="AZ74" s="244"/>
      <c r="BA74" s="245"/>
      <c r="BB74" s="246"/>
      <c r="BC74" s="246"/>
      <c r="BD74" s="244"/>
      <c r="BE74" s="245"/>
      <c r="BF74" s="246"/>
      <c r="BG74" s="246"/>
      <c r="BH74" s="244"/>
      <c r="BI74" s="245"/>
      <c r="BJ74" s="246"/>
      <c r="BK74" s="246"/>
      <c r="BL74" s="244"/>
      <c r="BM74" s="245"/>
      <c r="BN74" s="246"/>
      <c r="BO74" s="246"/>
      <c r="BP74" s="244"/>
      <c r="BQ74" s="245"/>
      <c r="BR74" s="246"/>
      <c r="BS74" s="246"/>
      <c r="BT74" s="244"/>
      <c r="BU74" s="245"/>
      <c r="BV74" s="246"/>
      <c r="BW74" s="246"/>
      <c r="BX74" s="244"/>
      <c r="BY74" s="245"/>
      <c r="BZ74" s="246"/>
      <c r="CA74" s="246"/>
      <c r="CB74" s="244"/>
      <c r="CC74" s="245"/>
      <c r="CD74" s="246"/>
      <c r="CE74" s="246"/>
      <c r="CF74" s="244"/>
      <c r="CG74" s="245"/>
      <c r="CH74" s="246"/>
      <c r="CI74" s="246"/>
      <c r="CJ74" s="244"/>
      <c r="CK74" s="245"/>
      <c r="CL74" s="246"/>
      <c r="CM74" s="246"/>
      <c r="CN74" s="244"/>
      <c r="CO74" s="245"/>
      <c r="CP74" s="246"/>
      <c r="CQ74" s="246"/>
      <c r="CR74" s="244"/>
      <c r="CS74" s="245"/>
      <c r="CT74" s="246"/>
      <c r="CU74" s="246"/>
      <c r="CV74" s="244"/>
      <c r="CW74" s="245"/>
      <c r="CX74" s="246"/>
      <c r="CY74" s="246"/>
      <c r="CZ74" s="244"/>
      <c r="DA74" s="245"/>
      <c r="DB74" s="246"/>
      <c r="DC74" s="246"/>
      <c r="DD74" s="244"/>
      <c r="DE74" s="245"/>
      <c r="DF74" s="246"/>
      <c r="DG74" s="246"/>
      <c r="DH74" s="244"/>
      <c r="DI74" s="245"/>
      <c r="DJ74" s="246"/>
      <c r="DK74" s="246"/>
      <c r="DL74" s="244"/>
      <c r="DM74" s="245"/>
      <c r="DN74" s="246"/>
      <c r="DO74" s="246"/>
      <c r="DP74" s="244"/>
      <c r="DQ74" s="245"/>
      <c r="DR74" s="246"/>
      <c r="DS74" s="246"/>
      <c r="DT74" s="244"/>
      <c r="DU74" s="245"/>
      <c r="DV74" s="246"/>
      <c r="DW74" s="246"/>
      <c r="DX74" s="244"/>
      <c r="DY74" s="245"/>
      <c r="DZ74" s="246"/>
      <c r="EA74" s="246"/>
      <c r="EB74" s="244"/>
      <c r="EC74" s="245"/>
      <c r="ED74" s="246"/>
      <c r="EE74" s="246"/>
      <c r="EF74" s="244"/>
      <c r="EG74" s="245"/>
      <c r="EH74" s="246"/>
      <c r="EI74" s="246"/>
      <c r="EJ74" s="244"/>
      <c r="EK74" s="245"/>
      <c r="EL74" s="246"/>
      <c r="EM74" s="246"/>
      <c r="EN74" s="244"/>
      <c r="EO74" s="245"/>
      <c r="EP74" s="246"/>
      <c r="EQ74" s="246"/>
      <c r="ER74" s="244"/>
      <c r="ES74" s="245"/>
      <c r="ET74" s="246"/>
      <c r="EU74" s="246"/>
      <c r="EV74" s="244"/>
      <c r="EW74" s="263"/>
      <c r="EX74" s="263"/>
      <c r="EY74" s="263"/>
      <c r="EZ74" s="263"/>
      <c r="FA74" s="263"/>
    </row>
    <row r="75" spans="2:157" s="276" customFormat="1" ht="29.25" customHeight="1">
      <c r="B75" s="269"/>
      <c r="C75" s="369"/>
      <c r="D75" s="365"/>
      <c r="E75" s="366"/>
      <c r="F75" s="365"/>
      <c r="G75" s="420"/>
      <c r="H75" s="370"/>
      <c r="I75" s="364"/>
      <c r="J75" s="261"/>
      <c r="K75" s="261"/>
      <c r="L75" s="262"/>
      <c r="M75" s="260"/>
      <c r="N75" s="261"/>
      <c r="O75" s="261"/>
      <c r="P75" s="262"/>
      <c r="Q75" s="260"/>
      <c r="R75" s="261"/>
      <c r="S75" s="261"/>
      <c r="T75" s="262"/>
      <c r="U75" s="260"/>
      <c r="V75" s="261"/>
      <c r="W75" s="261"/>
      <c r="X75" s="262"/>
      <c r="Y75" s="260"/>
      <c r="Z75" s="261"/>
      <c r="AA75" s="261"/>
      <c r="AB75" s="262"/>
      <c r="AC75" s="260"/>
      <c r="AD75" s="261"/>
      <c r="AE75" s="238"/>
      <c r="AF75" s="262"/>
      <c r="AG75" s="260"/>
      <c r="AH75" s="261"/>
      <c r="AI75" s="261"/>
      <c r="AJ75" s="262"/>
      <c r="AK75" s="260"/>
      <c r="AL75" s="261"/>
      <c r="AM75" s="261"/>
      <c r="AN75" s="262"/>
      <c r="AO75" s="245"/>
      <c r="AP75" s="246"/>
      <c r="AQ75" s="246"/>
      <c r="AR75" s="244"/>
      <c r="AS75" s="245"/>
      <c r="AT75" s="246"/>
      <c r="AU75" s="246"/>
      <c r="AV75" s="244"/>
      <c r="AW75" s="245"/>
      <c r="AX75" s="246"/>
      <c r="AY75" s="246"/>
      <c r="AZ75" s="244"/>
      <c r="BA75" s="245"/>
      <c r="BB75" s="246"/>
      <c r="BC75" s="246"/>
      <c r="BD75" s="244"/>
      <c r="BE75" s="245"/>
      <c r="BF75" s="246"/>
      <c r="BG75" s="246"/>
      <c r="BH75" s="244"/>
      <c r="BI75" s="245"/>
      <c r="BJ75" s="246"/>
      <c r="BK75" s="246"/>
      <c r="BL75" s="244"/>
      <c r="BM75" s="245"/>
      <c r="BN75" s="246"/>
      <c r="BO75" s="246"/>
      <c r="BP75" s="244"/>
      <c r="BQ75" s="245"/>
      <c r="BR75" s="246"/>
      <c r="BS75" s="246"/>
      <c r="BT75" s="244"/>
      <c r="BU75" s="245"/>
      <c r="BV75" s="246"/>
      <c r="BW75" s="246"/>
      <c r="BX75" s="244"/>
      <c r="BY75" s="245"/>
      <c r="BZ75" s="246"/>
      <c r="CA75" s="246"/>
      <c r="CB75" s="244"/>
      <c r="CC75" s="245"/>
      <c r="CD75" s="246"/>
      <c r="CE75" s="246"/>
      <c r="CF75" s="244"/>
      <c r="CG75" s="245"/>
      <c r="CH75" s="246"/>
      <c r="CI75" s="246"/>
      <c r="CJ75" s="244"/>
      <c r="CK75" s="245"/>
      <c r="CL75" s="246"/>
      <c r="CM75" s="246"/>
      <c r="CN75" s="244"/>
      <c r="CO75" s="245"/>
      <c r="CP75" s="246"/>
      <c r="CQ75" s="246"/>
      <c r="CR75" s="244"/>
      <c r="CS75" s="245"/>
      <c r="CT75" s="246"/>
      <c r="CU75" s="246"/>
      <c r="CV75" s="244"/>
      <c r="CW75" s="245"/>
      <c r="CX75" s="246"/>
      <c r="CY75" s="246"/>
      <c r="CZ75" s="244"/>
      <c r="DA75" s="245"/>
      <c r="DB75" s="246"/>
      <c r="DC75" s="246"/>
      <c r="DD75" s="244"/>
      <c r="DE75" s="245"/>
      <c r="DF75" s="246"/>
      <c r="DG75" s="246"/>
      <c r="DH75" s="244"/>
      <c r="DI75" s="245"/>
      <c r="DJ75" s="246"/>
      <c r="DK75" s="246"/>
      <c r="DL75" s="244"/>
      <c r="DM75" s="245"/>
      <c r="DN75" s="246"/>
      <c r="DO75" s="246"/>
      <c r="DP75" s="244"/>
      <c r="DQ75" s="245"/>
      <c r="DR75" s="246"/>
      <c r="DS75" s="246"/>
      <c r="DT75" s="244"/>
      <c r="DU75" s="245"/>
      <c r="DV75" s="246"/>
      <c r="DW75" s="246"/>
      <c r="DX75" s="244"/>
      <c r="DY75" s="245"/>
      <c r="DZ75" s="246"/>
      <c r="EA75" s="246"/>
      <c r="EB75" s="244"/>
      <c r="EC75" s="245"/>
      <c r="ED75" s="246"/>
      <c r="EE75" s="246"/>
      <c r="EF75" s="244"/>
      <c r="EG75" s="245"/>
      <c r="EH75" s="246"/>
      <c r="EI75" s="246"/>
      <c r="EJ75" s="244"/>
      <c r="EK75" s="245"/>
      <c r="EL75" s="246"/>
      <c r="EM75" s="246"/>
      <c r="EN75" s="244"/>
      <c r="EO75" s="245"/>
      <c r="EP75" s="246"/>
      <c r="EQ75" s="246"/>
      <c r="ER75" s="244"/>
      <c r="ES75" s="245"/>
      <c r="ET75" s="246"/>
      <c r="EU75" s="246"/>
      <c r="EV75" s="244"/>
      <c r="EW75" s="263"/>
      <c r="EX75" s="263"/>
      <c r="EY75" s="263"/>
      <c r="EZ75" s="263"/>
      <c r="FA75" s="263"/>
    </row>
    <row r="76" spans="2:157" s="276" customFormat="1" ht="29.25" customHeight="1">
      <c r="B76" s="269"/>
      <c r="C76" s="369"/>
      <c r="D76" s="365"/>
      <c r="E76" s="366"/>
      <c r="F76" s="235"/>
      <c r="G76" s="411"/>
      <c r="H76" s="249"/>
      <c r="I76" s="364"/>
      <c r="J76" s="261"/>
      <c r="K76" s="261"/>
      <c r="L76" s="262"/>
      <c r="M76" s="260"/>
      <c r="N76" s="261"/>
      <c r="O76" s="261"/>
      <c r="P76" s="262"/>
      <c r="Q76" s="260"/>
      <c r="R76" s="261"/>
      <c r="S76" s="261"/>
      <c r="T76" s="262"/>
      <c r="U76" s="260"/>
      <c r="V76" s="261"/>
      <c r="W76" s="261"/>
      <c r="X76" s="262"/>
      <c r="Y76" s="260"/>
      <c r="Z76" s="261"/>
      <c r="AA76" s="261"/>
      <c r="AB76" s="262"/>
      <c r="AC76" s="260"/>
      <c r="AD76" s="261"/>
      <c r="AE76" s="238"/>
      <c r="AF76" s="262"/>
      <c r="AG76" s="260"/>
      <c r="AH76" s="261"/>
      <c r="AI76" s="261"/>
      <c r="AJ76" s="262"/>
      <c r="AK76" s="260"/>
      <c r="AL76" s="261"/>
      <c r="AM76" s="261"/>
      <c r="AN76" s="262"/>
      <c r="AO76" s="245"/>
      <c r="AP76" s="246"/>
      <c r="AQ76" s="246"/>
      <c r="AR76" s="244"/>
      <c r="AS76" s="245"/>
      <c r="AT76" s="246"/>
      <c r="AU76" s="246"/>
      <c r="AV76" s="244"/>
      <c r="AW76" s="245"/>
      <c r="AX76" s="246"/>
      <c r="AY76" s="246"/>
      <c r="AZ76" s="244"/>
      <c r="BA76" s="245"/>
      <c r="BB76" s="246"/>
      <c r="BC76" s="246"/>
      <c r="BD76" s="244"/>
      <c r="BE76" s="245"/>
      <c r="BF76" s="246"/>
      <c r="BG76" s="246"/>
      <c r="BH76" s="244"/>
      <c r="BI76" s="245"/>
      <c r="BJ76" s="246"/>
      <c r="BK76" s="246"/>
      <c r="BL76" s="244"/>
      <c r="BM76" s="245"/>
      <c r="BN76" s="246"/>
      <c r="BO76" s="246"/>
      <c r="BP76" s="244"/>
      <c r="BQ76" s="245"/>
      <c r="BR76" s="246"/>
      <c r="BS76" s="246"/>
      <c r="BT76" s="244"/>
      <c r="BU76" s="245"/>
      <c r="BV76" s="246"/>
      <c r="BW76" s="246"/>
      <c r="BX76" s="244"/>
      <c r="BY76" s="245"/>
      <c r="BZ76" s="246"/>
      <c r="CA76" s="246"/>
      <c r="CB76" s="244"/>
      <c r="CC76" s="245"/>
      <c r="CD76" s="246"/>
      <c r="CE76" s="246"/>
      <c r="CF76" s="244"/>
      <c r="CG76" s="245"/>
      <c r="CH76" s="246"/>
      <c r="CI76" s="246"/>
      <c r="CJ76" s="244"/>
      <c r="CK76" s="245"/>
      <c r="CL76" s="246"/>
      <c r="CM76" s="246"/>
      <c r="CN76" s="244"/>
      <c r="CO76" s="245"/>
      <c r="CP76" s="246"/>
      <c r="CQ76" s="246"/>
      <c r="CR76" s="244"/>
      <c r="CS76" s="245"/>
      <c r="CT76" s="246"/>
      <c r="CU76" s="246"/>
      <c r="CV76" s="244"/>
      <c r="CW76" s="245"/>
      <c r="CX76" s="246"/>
      <c r="CY76" s="246"/>
      <c r="CZ76" s="244"/>
      <c r="DA76" s="245"/>
      <c r="DB76" s="246"/>
      <c r="DC76" s="246"/>
      <c r="DD76" s="244"/>
      <c r="DE76" s="245"/>
      <c r="DF76" s="246"/>
      <c r="DG76" s="246"/>
      <c r="DH76" s="244"/>
      <c r="DI76" s="245"/>
      <c r="DJ76" s="246"/>
      <c r="DK76" s="246"/>
      <c r="DL76" s="244"/>
      <c r="DM76" s="245"/>
      <c r="DN76" s="246"/>
      <c r="DO76" s="246"/>
      <c r="DP76" s="244"/>
      <c r="DQ76" s="245"/>
      <c r="DR76" s="246"/>
      <c r="DS76" s="246"/>
      <c r="DT76" s="244"/>
      <c r="DU76" s="245"/>
      <c r="DV76" s="246"/>
      <c r="DW76" s="246"/>
      <c r="DX76" s="244"/>
      <c r="DY76" s="245"/>
      <c r="DZ76" s="246"/>
      <c r="EA76" s="246"/>
      <c r="EB76" s="244"/>
      <c r="EC76" s="245"/>
      <c r="ED76" s="246"/>
      <c r="EE76" s="246"/>
      <c r="EF76" s="244"/>
      <c r="EG76" s="245"/>
      <c r="EH76" s="246"/>
      <c r="EI76" s="246"/>
      <c r="EJ76" s="244"/>
      <c r="EK76" s="245"/>
      <c r="EL76" s="246"/>
      <c r="EM76" s="246"/>
      <c r="EN76" s="244"/>
      <c r="EO76" s="245"/>
      <c r="EP76" s="246"/>
      <c r="EQ76" s="246"/>
      <c r="ER76" s="244"/>
      <c r="ES76" s="245"/>
      <c r="ET76" s="246"/>
      <c r="EU76" s="246"/>
      <c r="EV76" s="244"/>
      <c r="EW76" s="263"/>
      <c r="EX76" s="263"/>
      <c r="EY76" s="263"/>
      <c r="EZ76" s="263"/>
      <c r="FA76" s="263"/>
    </row>
    <row r="77" spans="2:157" s="276" customFormat="1" ht="29.25" customHeight="1">
      <c r="B77" s="269"/>
      <c r="C77" s="369"/>
      <c r="D77" s="365"/>
      <c r="E77" s="366"/>
      <c r="F77" s="252"/>
      <c r="G77" s="412"/>
      <c r="H77" s="254"/>
      <c r="I77" s="364"/>
      <c r="J77" s="261"/>
      <c r="K77" s="261"/>
      <c r="L77" s="262"/>
      <c r="M77" s="260"/>
      <c r="N77" s="261"/>
      <c r="O77" s="261"/>
      <c r="P77" s="262"/>
      <c r="Q77" s="260"/>
      <c r="R77" s="261"/>
      <c r="S77" s="261"/>
      <c r="T77" s="262"/>
      <c r="U77" s="260"/>
      <c r="V77" s="261"/>
      <c r="W77" s="261"/>
      <c r="X77" s="262"/>
      <c r="Y77" s="260"/>
      <c r="Z77" s="261"/>
      <c r="AA77" s="261"/>
      <c r="AB77" s="262"/>
      <c r="AC77" s="260"/>
      <c r="AD77" s="261"/>
      <c r="AE77" s="238"/>
      <c r="AF77" s="262"/>
      <c r="AG77" s="260"/>
      <c r="AH77" s="261"/>
      <c r="AI77" s="261"/>
      <c r="AJ77" s="262"/>
      <c r="AK77" s="260"/>
      <c r="AL77" s="261"/>
      <c r="AM77" s="261"/>
      <c r="AN77" s="262"/>
      <c r="AO77" s="245"/>
      <c r="AP77" s="246"/>
      <c r="AQ77" s="246"/>
      <c r="AR77" s="244"/>
      <c r="AS77" s="245"/>
      <c r="AT77" s="246"/>
      <c r="AU77" s="246"/>
      <c r="AV77" s="244"/>
      <c r="AW77" s="273"/>
      <c r="AX77" s="274"/>
      <c r="AY77" s="274"/>
      <c r="AZ77" s="275"/>
      <c r="BA77" s="273"/>
      <c r="BB77" s="274"/>
      <c r="BC77" s="274"/>
      <c r="BD77" s="275"/>
      <c r="BE77" s="273"/>
      <c r="BF77" s="274"/>
      <c r="BG77" s="274"/>
      <c r="BH77" s="275"/>
      <c r="BI77" s="273"/>
      <c r="BJ77" s="274"/>
      <c r="BK77" s="274"/>
      <c r="BL77" s="275"/>
      <c r="BM77" s="273"/>
      <c r="BN77" s="274"/>
      <c r="BO77" s="274"/>
      <c r="BP77" s="275"/>
      <c r="BQ77" s="273"/>
      <c r="BR77" s="274"/>
      <c r="BS77" s="274"/>
      <c r="BT77" s="275"/>
      <c r="BU77" s="273"/>
      <c r="BV77" s="274"/>
      <c r="BW77" s="274"/>
      <c r="BX77" s="275"/>
      <c r="BY77" s="273"/>
      <c r="BZ77" s="274"/>
      <c r="CA77" s="274"/>
      <c r="CB77" s="275"/>
      <c r="CC77" s="273"/>
      <c r="CD77" s="274"/>
      <c r="CE77" s="274"/>
      <c r="CF77" s="275"/>
      <c r="CG77" s="273"/>
      <c r="CH77" s="274"/>
      <c r="CI77" s="274"/>
      <c r="CJ77" s="275"/>
      <c r="CK77" s="273"/>
      <c r="CL77" s="274"/>
      <c r="CM77" s="274"/>
      <c r="CN77" s="275"/>
      <c r="CO77" s="273"/>
      <c r="CP77" s="274"/>
      <c r="CQ77" s="274"/>
      <c r="CR77" s="275"/>
      <c r="CS77" s="273"/>
      <c r="CT77" s="274"/>
      <c r="CU77" s="274"/>
      <c r="CV77" s="275"/>
      <c r="CW77" s="273"/>
      <c r="CX77" s="274"/>
      <c r="CY77" s="274"/>
      <c r="CZ77" s="275"/>
      <c r="DA77" s="273"/>
      <c r="DB77" s="274"/>
      <c r="DC77" s="274"/>
      <c r="DD77" s="275"/>
      <c r="DE77" s="273"/>
      <c r="DF77" s="274"/>
      <c r="DG77" s="274"/>
      <c r="DH77" s="275"/>
      <c r="DI77" s="273"/>
      <c r="DJ77" s="274"/>
      <c r="DK77" s="274"/>
      <c r="DL77" s="275"/>
      <c r="DM77" s="273"/>
      <c r="DN77" s="274"/>
      <c r="DO77" s="274"/>
      <c r="DP77" s="275"/>
      <c r="DQ77" s="273"/>
      <c r="DR77" s="274"/>
      <c r="DS77" s="274"/>
      <c r="DT77" s="275"/>
      <c r="DU77" s="273"/>
      <c r="DV77" s="274"/>
      <c r="DW77" s="274"/>
      <c r="DX77" s="275"/>
      <c r="DY77" s="273"/>
      <c r="DZ77" s="274"/>
      <c r="EA77" s="274"/>
      <c r="EB77" s="275"/>
      <c r="EC77" s="273"/>
      <c r="ED77" s="274"/>
      <c r="EE77" s="274"/>
      <c r="EF77" s="275"/>
      <c r="EG77" s="273"/>
      <c r="EH77" s="274"/>
      <c r="EI77" s="274"/>
      <c r="EJ77" s="275"/>
      <c r="EK77" s="273"/>
      <c r="EL77" s="274"/>
      <c r="EM77" s="274"/>
      <c r="EN77" s="275"/>
      <c r="EO77" s="273"/>
      <c r="EP77" s="274"/>
      <c r="EQ77" s="274"/>
      <c r="ER77" s="275"/>
      <c r="ES77" s="273"/>
      <c r="ET77" s="274"/>
      <c r="EU77" s="274"/>
      <c r="EV77" s="275"/>
      <c r="EW77" s="263"/>
      <c r="EX77" s="263"/>
      <c r="EY77" s="263"/>
      <c r="EZ77" s="263"/>
      <c r="FA77" s="263"/>
    </row>
    <row r="78" spans="2:157" s="276" customFormat="1" ht="29.25" customHeight="1">
      <c r="B78" s="269"/>
      <c r="C78" s="296"/>
      <c r="D78" s="270"/>
      <c r="E78" s="271"/>
      <c r="F78" s="270"/>
      <c r="G78" s="421"/>
      <c r="H78" s="272"/>
      <c r="I78" s="277"/>
      <c r="J78" s="278"/>
      <c r="K78" s="278"/>
      <c r="L78" s="279"/>
      <c r="M78" s="277"/>
      <c r="N78" s="278"/>
      <c r="O78" s="274"/>
      <c r="P78" s="275"/>
      <c r="Q78" s="273"/>
      <c r="R78" s="274"/>
      <c r="S78" s="274"/>
      <c r="T78" s="275"/>
      <c r="U78" s="273"/>
      <c r="V78" s="274"/>
      <c r="W78" s="274"/>
      <c r="X78" s="275"/>
      <c r="Y78" s="273"/>
      <c r="Z78" s="274"/>
      <c r="AA78" s="274"/>
      <c r="AB78" s="275"/>
      <c r="AC78" s="273"/>
      <c r="AD78" s="274"/>
      <c r="AE78" s="274"/>
      <c r="AF78" s="275"/>
      <c r="AG78" s="273"/>
      <c r="AH78" s="274"/>
      <c r="AI78" s="274"/>
      <c r="AJ78" s="275"/>
      <c r="AK78" s="273"/>
      <c r="AL78" s="274"/>
      <c r="AM78" s="274"/>
      <c r="AN78" s="275"/>
      <c r="AO78" s="273"/>
      <c r="AP78" s="274"/>
      <c r="AQ78" s="274"/>
      <c r="AR78" s="275"/>
      <c r="AS78" s="273"/>
      <c r="AT78" s="274"/>
      <c r="AU78" s="274"/>
      <c r="AV78" s="275"/>
      <c r="AW78" s="273"/>
      <c r="AX78" s="274"/>
      <c r="AY78" s="274"/>
      <c r="AZ78" s="275"/>
      <c r="BA78" s="273"/>
      <c r="BB78" s="274"/>
      <c r="BC78" s="274"/>
      <c r="BD78" s="275"/>
      <c r="BE78" s="273"/>
      <c r="BF78" s="274"/>
      <c r="BG78" s="274"/>
      <c r="BH78" s="275"/>
      <c r="BI78" s="273"/>
      <c r="BJ78" s="274"/>
      <c r="BK78" s="274"/>
      <c r="BL78" s="275"/>
      <c r="BM78" s="273"/>
      <c r="BN78" s="274"/>
      <c r="BO78" s="274"/>
      <c r="BP78" s="275"/>
      <c r="BQ78" s="273"/>
      <c r="BR78" s="274"/>
      <c r="BS78" s="274"/>
      <c r="BT78" s="275"/>
      <c r="BU78" s="273"/>
      <c r="BV78" s="274"/>
      <c r="BW78" s="274"/>
      <c r="BX78" s="275"/>
      <c r="BY78" s="273"/>
      <c r="BZ78" s="274"/>
      <c r="CA78" s="274"/>
      <c r="CB78" s="275"/>
      <c r="CC78" s="273"/>
      <c r="CD78" s="274"/>
      <c r="CE78" s="274"/>
      <c r="CF78" s="275"/>
      <c r="CG78" s="273"/>
      <c r="CH78" s="274"/>
      <c r="CI78" s="274"/>
      <c r="CJ78" s="275"/>
      <c r="CK78" s="273"/>
      <c r="CL78" s="274"/>
      <c r="CM78" s="274"/>
      <c r="CN78" s="275"/>
      <c r="CO78" s="273"/>
      <c r="CP78" s="274"/>
      <c r="CQ78" s="274"/>
      <c r="CR78" s="275"/>
      <c r="CS78" s="273"/>
      <c r="CT78" s="274"/>
      <c r="CU78" s="274"/>
      <c r="CV78" s="275"/>
      <c r="CW78" s="273"/>
      <c r="CX78" s="274"/>
      <c r="CY78" s="274"/>
      <c r="CZ78" s="275"/>
      <c r="DA78" s="273"/>
      <c r="DB78" s="274"/>
      <c r="DC78" s="274"/>
      <c r="DD78" s="275"/>
      <c r="DE78" s="273"/>
      <c r="DF78" s="274"/>
      <c r="DG78" s="274"/>
      <c r="DH78" s="275"/>
      <c r="DI78" s="273"/>
      <c r="DJ78" s="274"/>
      <c r="DK78" s="274"/>
      <c r="DL78" s="275"/>
      <c r="DM78" s="273"/>
      <c r="DN78" s="274"/>
      <c r="DO78" s="274"/>
      <c r="DP78" s="275"/>
      <c r="DQ78" s="273"/>
      <c r="DR78" s="274"/>
      <c r="DS78" s="274"/>
      <c r="DT78" s="275"/>
      <c r="DU78" s="273"/>
      <c r="DV78" s="274"/>
      <c r="DW78" s="274"/>
      <c r="DX78" s="275"/>
      <c r="DY78" s="273"/>
      <c r="DZ78" s="274"/>
      <c r="EA78" s="274"/>
      <c r="EB78" s="275"/>
      <c r="EC78" s="273"/>
      <c r="ED78" s="274"/>
      <c r="EE78" s="274"/>
      <c r="EF78" s="275"/>
      <c r="EG78" s="273"/>
      <c r="EH78" s="274"/>
      <c r="EI78" s="274"/>
      <c r="EJ78" s="275"/>
      <c r="EK78" s="273"/>
      <c r="EL78" s="274"/>
      <c r="EM78" s="274"/>
      <c r="EN78" s="275"/>
      <c r="EO78" s="273"/>
      <c r="EP78" s="274"/>
      <c r="EQ78" s="274"/>
      <c r="ER78" s="275"/>
      <c r="ES78" s="273"/>
      <c r="ET78" s="274"/>
      <c r="EU78" s="274"/>
      <c r="EV78" s="275"/>
      <c r="EW78" s="263"/>
      <c r="EX78" s="263"/>
      <c r="EY78" s="263"/>
      <c r="EZ78" s="263"/>
      <c r="FA78" s="263"/>
    </row>
    <row r="79" spans="2:157" s="268" customFormat="1" ht="29.25" customHeight="1">
      <c r="B79" s="282"/>
      <c r="C79" s="283" t="s">
        <v>25</v>
      </c>
      <c r="D79" s="265"/>
      <c r="E79" s="266"/>
      <c r="F79" s="265"/>
      <c r="G79" s="417"/>
      <c r="H79" s="267"/>
      <c r="I79" s="273"/>
      <c r="J79" s="274"/>
      <c r="K79" s="274"/>
      <c r="L79" s="275"/>
      <c r="M79" s="273"/>
      <c r="N79" s="274"/>
      <c r="O79" s="274"/>
      <c r="P79" s="275"/>
      <c r="Q79" s="273"/>
      <c r="R79" s="261"/>
      <c r="S79" s="246"/>
      <c r="T79" s="244"/>
      <c r="U79" s="273"/>
      <c r="V79" s="261"/>
      <c r="W79" s="246"/>
      <c r="X79" s="244"/>
      <c r="Y79" s="260"/>
      <c r="Z79" s="261"/>
      <c r="AA79" s="261"/>
      <c r="AB79" s="262"/>
      <c r="AC79" s="245"/>
      <c r="AD79" s="274"/>
      <c r="AE79" s="274"/>
      <c r="AF79" s="275"/>
      <c r="AG79" s="260"/>
      <c r="AH79" s="261"/>
      <c r="AI79" s="304"/>
      <c r="AJ79" s="305"/>
      <c r="AK79" s="245"/>
      <c r="AL79" s="274"/>
      <c r="AM79" s="274"/>
      <c r="AN79" s="275"/>
      <c r="AO79" s="273"/>
      <c r="AP79" s="274"/>
      <c r="AQ79" s="274"/>
      <c r="AR79" s="275"/>
      <c r="AS79" s="273"/>
      <c r="AT79" s="274"/>
      <c r="AU79" s="274"/>
      <c r="AV79" s="275"/>
      <c r="AW79" s="273"/>
      <c r="AX79" s="274"/>
      <c r="AY79" s="274"/>
      <c r="AZ79" s="275"/>
      <c r="BA79" s="273"/>
      <c r="BB79" s="274"/>
      <c r="BC79" s="274"/>
      <c r="BD79" s="275"/>
      <c r="BE79" s="273"/>
      <c r="BF79" s="274"/>
      <c r="BG79" s="274"/>
      <c r="BH79" s="275"/>
      <c r="BI79" s="273"/>
      <c r="BJ79" s="274"/>
      <c r="BK79" s="274"/>
      <c r="BL79" s="275"/>
      <c r="BM79" s="273"/>
      <c r="BN79" s="274"/>
      <c r="BO79" s="274"/>
      <c r="BP79" s="275"/>
      <c r="BQ79" s="273"/>
      <c r="BR79" s="274"/>
      <c r="BS79" s="274"/>
      <c r="BT79" s="275"/>
      <c r="BU79" s="273"/>
      <c r="BV79" s="274"/>
      <c r="BW79" s="274"/>
      <c r="BX79" s="275"/>
      <c r="BY79" s="273"/>
      <c r="BZ79" s="274"/>
      <c r="CA79" s="274"/>
      <c r="CB79" s="275"/>
      <c r="CC79" s="273"/>
      <c r="CD79" s="274"/>
      <c r="CE79" s="274"/>
      <c r="CF79" s="275"/>
      <c r="CG79" s="273"/>
      <c r="CH79" s="274"/>
      <c r="CI79" s="274"/>
      <c r="CJ79" s="275"/>
      <c r="CK79" s="273"/>
      <c r="CL79" s="274"/>
      <c r="CM79" s="274"/>
      <c r="CN79" s="275"/>
      <c r="CO79" s="273"/>
      <c r="CP79" s="274"/>
      <c r="CQ79" s="274"/>
      <c r="CR79" s="275"/>
      <c r="CS79" s="273"/>
      <c r="CT79" s="274"/>
      <c r="CU79" s="274"/>
      <c r="CV79" s="275"/>
      <c r="CW79" s="273"/>
      <c r="CX79" s="274"/>
      <c r="CY79" s="274"/>
      <c r="CZ79" s="275"/>
      <c r="DA79" s="273"/>
      <c r="DB79" s="274"/>
      <c r="DC79" s="274"/>
      <c r="DD79" s="275"/>
      <c r="DE79" s="273"/>
      <c r="DF79" s="274"/>
      <c r="DG79" s="274"/>
      <c r="DH79" s="275"/>
      <c r="DI79" s="273"/>
      <c r="DJ79" s="274"/>
      <c r="DK79" s="274"/>
      <c r="DL79" s="275"/>
      <c r="DM79" s="273"/>
      <c r="DN79" s="274"/>
      <c r="DO79" s="274"/>
      <c r="DP79" s="275"/>
      <c r="DQ79" s="273"/>
      <c r="DR79" s="274"/>
      <c r="DS79" s="274"/>
      <c r="DT79" s="275"/>
      <c r="DU79" s="273"/>
      <c r="DV79" s="274"/>
      <c r="DW79" s="274"/>
      <c r="DX79" s="275"/>
      <c r="DY79" s="273"/>
      <c r="DZ79" s="274"/>
      <c r="EA79" s="274"/>
      <c r="EB79" s="275"/>
      <c r="EC79" s="273"/>
      <c r="ED79" s="274"/>
      <c r="EE79" s="274"/>
      <c r="EF79" s="275"/>
      <c r="EG79" s="273"/>
      <c r="EH79" s="274"/>
      <c r="EI79" s="274"/>
      <c r="EJ79" s="275"/>
      <c r="EK79" s="273"/>
      <c r="EL79" s="274"/>
      <c r="EM79" s="274"/>
      <c r="EN79" s="275"/>
      <c r="EO79" s="273"/>
      <c r="EP79" s="274"/>
      <c r="EQ79" s="274"/>
      <c r="ER79" s="275"/>
      <c r="ES79" s="273"/>
      <c r="ET79" s="274"/>
      <c r="EU79" s="274"/>
      <c r="EV79" s="275"/>
      <c r="EW79" s="281"/>
      <c r="EX79" s="255"/>
      <c r="EY79" s="255"/>
      <c r="EZ79" s="255"/>
      <c r="FA79" s="255"/>
    </row>
    <row r="80" spans="2:157" s="276" customFormat="1" ht="29.25" customHeight="1">
      <c r="B80" s="284"/>
      <c r="C80" s="285"/>
      <c r="D80" s="286"/>
      <c r="E80" s="287"/>
      <c r="F80" s="286"/>
      <c r="G80" s="286"/>
      <c r="H80" s="286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5"/>
      <c r="AW80" s="285"/>
      <c r="AX80" s="285"/>
      <c r="AY80" s="285"/>
      <c r="AZ80" s="285"/>
      <c r="BA80" s="285"/>
      <c r="BB80" s="285"/>
      <c r="BC80" s="285"/>
      <c r="BD80" s="285"/>
      <c r="BE80" s="285"/>
      <c r="BF80" s="285"/>
      <c r="BG80" s="285"/>
      <c r="BH80" s="285"/>
      <c r="BI80" s="285"/>
      <c r="BJ80" s="285"/>
      <c r="BK80" s="285"/>
      <c r="BL80" s="285"/>
      <c r="BM80" s="285"/>
      <c r="BN80" s="285"/>
      <c r="BO80" s="285"/>
      <c r="BP80" s="285"/>
      <c r="BQ80" s="285"/>
      <c r="BR80" s="285"/>
      <c r="BS80" s="285"/>
      <c r="BT80" s="285"/>
      <c r="BU80" s="285"/>
      <c r="BV80" s="285"/>
      <c r="BW80" s="285"/>
      <c r="BX80" s="285"/>
      <c r="BY80" s="285"/>
      <c r="BZ80" s="285"/>
      <c r="CA80" s="285"/>
      <c r="CB80" s="285"/>
      <c r="CC80" s="285"/>
      <c r="CD80" s="285"/>
      <c r="CE80" s="285"/>
      <c r="CF80" s="285"/>
      <c r="CG80" s="285"/>
      <c r="CH80" s="285"/>
      <c r="CI80" s="285"/>
      <c r="CJ80" s="285"/>
      <c r="CK80" s="285"/>
      <c r="CL80" s="285"/>
      <c r="CM80" s="285"/>
      <c r="CN80" s="285"/>
      <c r="CO80" s="285"/>
      <c r="CP80" s="285"/>
      <c r="CQ80" s="285"/>
      <c r="CR80" s="285"/>
      <c r="CS80" s="285"/>
      <c r="CT80" s="285"/>
      <c r="CU80" s="285"/>
      <c r="CV80" s="285"/>
      <c r="CW80" s="285"/>
      <c r="CX80" s="285"/>
      <c r="CY80" s="285"/>
      <c r="CZ80" s="285"/>
      <c r="DA80" s="285"/>
      <c r="DB80" s="285"/>
      <c r="DC80" s="285"/>
      <c r="DD80" s="285"/>
      <c r="DE80" s="285"/>
      <c r="DF80" s="285"/>
      <c r="DG80" s="285"/>
      <c r="DH80" s="285"/>
      <c r="DI80" s="285"/>
      <c r="DJ80" s="285"/>
      <c r="DK80" s="285"/>
      <c r="DL80" s="285"/>
      <c r="DM80" s="285"/>
      <c r="DN80" s="285"/>
      <c r="DO80" s="285"/>
      <c r="DP80" s="285"/>
      <c r="DQ80" s="285"/>
      <c r="DR80" s="285"/>
      <c r="DS80" s="285"/>
      <c r="DT80" s="285"/>
      <c r="DU80" s="285"/>
      <c r="DV80" s="285"/>
      <c r="DW80" s="285"/>
      <c r="DX80" s="285"/>
      <c r="DY80" s="285"/>
      <c r="DZ80" s="285"/>
      <c r="EA80" s="285"/>
      <c r="EB80" s="285"/>
      <c r="EC80" s="285"/>
      <c r="ED80" s="285"/>
      <c r="EE80" s="285"/>
      <c r="EF80" s="285"/>
      <c r="EG80" s="285"/>
      <c r="EH80" s="285"/>
      <c r="EI80" s="285"/>
      <c r="EJ80" s="285"/>
      <c r="EK80" s="285"/>
      <c r="EL80" s="285"/>
      <c r="EM80" s="285"/>
      <c r="EN80" s="285"/>
      <c r="EO80" s="285"/>
      <c r="EP80" s="285"/>
      <c r="EQ80" s="285"/>
      <c r="ER80" s="285"/>
      <c r="ES80" s="285"/>
      <c r="ET80" s="285"/>
      <c r="EU80" s="285"/>
      <c r="EV80" s="285"/>
      <c r="EW80" s="288"/>
      <c r="EX80" s="225"/>
      <c r="EY80" s="225"/>
      <c r="EZ80" s="289"/>
      <c r="FA80" s="289"/>
    </row>
    <row r="81" spans="2:155" ht="28.5" customHeight="1">
      <c r="D81" s="290"/>
      <c r="H81" s="291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406"/>
      <c r="V81" s="436"/>
      <c r="W81" s="406"/>
      <c r="X81" s="406"/>
      <c r="Y81" s="406"/>
      <c r="Z81" s="406"/>
      <c r="AA81" s="406"/>
      <c r="AB81" s="406"/>
      <c r="AC81" s="406"/>
      <c r="AD81" s="406"/>
      <c r="AE81" s="406"/>
      <c r="AF81" s="406"/>
      <c r="AG81" s="406"/>
      <c r="AH81" s="406"/>
      <c r="AI81" s="406"/>
      <c r="AJ81" s="406"/>
      <c r="AK81" s="406"/>
      <c r="AL81" s="406"/>
      <c r="AM81" s="406"/>
      <c r="AN81" s="406"/>
      <c r="AO81" s="406"/>
      <c r="AP81" s="406"/>
      <c r="AQ81" s="406"/>
      <c r="AR81" s="406"/>
      <c r="AS81" s="406"/>
      <c r="AT81" s="406"/>
      <c r="AU81" s="406"/>
      <c r="AV81" s="406"/>
      <c r="AW81" s="406"/>
      <c r="AX81" s="406"/>
      <c r="AY81" s="406"/>
      <c r="AZ81" s="406"/>
      <c r="BA81" s="406"/>
      <c r="BB81" s="406"/>
      <c r="BC81" s="406"/>
      <c r="BD81" s="406"/>
      <c r="BE81" s="406"/>
      <c r="BF81" s="406"/>
      <c r="BG81" s="406"/>
      <c r="BH81" s="406"/>
      <c r="BI81" s="406"/>
      <c r="BJ81" s="406"/>
      <c r="BK81" s="406"/>
      <c r="BL81" s="406"/>
      <c r="BM81" s="406"/>
      <c r="BN81" s="406"/>
      <c r="BO81" s="406"/>
      <c r="BP81" s="406"/>
      <c r="BQ81" s="406"/>
      <c r="BR81" s="406"/>
      <c r="BS81" s="406"/>
      <c r="BT81" s="406"/>
      <c r="BU81" s="406"/>
      <c r="BV81" s="406"/>
      <c r="BW81" s="406"/>
      <c r="BX81" s="406"/>
      <c r="BY81" s="406"/>
      <c r="BZ81" s="406"/>
      <c r="CA81" s="406"/>
      <c r="CB81" s="406"/>
      <c r="CC81" s="406"/>
      <c r="CD81" s="406"/>
      <c r="CE81" s="406"/>
      <c r="CF81" s="406"/>
      <c r="CG81" s="406"/>
      <c r="CH81" s="406"/>
      <c r="CI81" s="406"/>
      <c r="CJ81" s="406"/>
      <c r="CK81" s="406"/>
      <c r="CL81" s="406"/>
      <c r="CM81" s="406"/>
      <c r="CN81" s="406"/>
      <c r="CO81" s="406"/>
      <c r="CP81" s="406"/>
      <c r="CQ81" s="406"/>
      <c r="CR81" s="406"/>
      <c r="CS81" s="406"/>
      <c r="CT81" s="406"/>
      <c r="CU81" s="406"/>
      <c r="CV81" s="406"/>
      <c r="CW81" s="406"/>
      <c r="CX81" s="406"/>
      <c r="CY81" s="406"/>
      <c r="CZ81" s="406"/>
      <c r="DA81" s="406"/>
      <c r="DB81" s="406"/>
      <c r="DC81" s="406"/>
      <c r="DD81" s="406"/>
      <c r="DE81" s="436"/>
      <c r="DF81" s="436"/>
      <c r="DG81" s="436"/>
      <c r="DH81" s="436"/>
      <c r="DI81" s="449"/>
      <c r="DJ81" s="449"/>
      <c r="DK81" s="449"/>
      <c r="DL81" s="449"/>
      <c r="DM81" s="449"/>
      <c r="DN81" s="449"/>
      <c r="DO81" s="449"/>
      <c r="DP81" s="449"/>
      <c r="DQ81" s="449"/>
      <c r="DR81" s="449"/>
      <c r="DS81" s="449"/>
      <c r="DT81" s="449"/>
      <c r="DU81" s="449"/>
      <c r="DV81" s="449"/>
      <c r="DW81" s="449"/>
      <c r="DX81" s="449"/>
      <c r="DY81" s="449"/>
      <c r="DZ81" s="449"/>
      <c r="EA81" s="449"/>
      <c r="EB81" s="449"/>
      <c r="EC81" s="449"/>
      <c r="ED81" s="449"/>
      <c r="EE81" s="449"/>
      <c r="EF81" s="449"/>
      <c r="EG81" s="449"/>
      <c r="EH81" s="449"/>
      <c r="EI81" s="449"/>
      <c r="EJ81" s="449"/>
      <c r="EK81" s="449"/>
      <c r="EL81" s="449"/>
      <c r="EM81" s="449"/>
      <c r="EN81" s="449"/>
      <c r="EO81" s="449"/>
      <c r="EP81" s="449"/>
      <c r="EQ81" s="449"/>
      <c r="ER81" s="449"/>
      <c r="ES81" s="449"/>
      <c r="ET81" s="449"/>
      <c r="EU81" s="449"/>
      <c r="EV81" s="449"/>
      <c r="EW81" s="292">
        <f>SUM(EW6:EW79)*0.5</f>
        <v>2509.5</v>
      </c>
      <c r="EX81" s="292"/>
      <c r="EY81" s="292"/>
    </row>
    <row r="82" spans="2:155" ht="28.5" customHeight="1">
      <c r="F82" s="291"/>
      <c r="G82" s="291"/>
      <c r="H82" s="291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406"/>
      <c r="V82" s="436"/>
      <c r="W82" s="406"/>
      <c r="X82" s="406"/>
      <c r="Y82" s="458"/>
      <c r="Z82" s="459"/>
      <c r="AA82" s="459"/>
      <c r="AB82" s="459"/>
      <c r="AC82" s="406"/>
      <c r="AD82" s="406"/>
      <c r="AE82" s="406"/>
      <c r="AF82" s="406"/>
      <c r="AG82" s="406"/>
      <c r="AH82" s="406"/>
      <c r="AI82" s="406"/>
      <c r="AJ82" s="406"/>
      <c r="AK82" s="406"/>
      <c r="AL82" s="406"/>
      <c r="AM82" s="406"/>
      <c r="AN82" s="406"/>
      <c r="AO82" s="406"/>
      <c r="AP82" s="406"/>
      <c r="AQ82" s="406"/>
      <c r="AR82" s="406"/>
      <c r="AS82" s="406"/>
      <c r="AT82" s="406"/>
      <c r="AU82" s="406"/>
      <c r="AV82" s="406"/>
      <c r="AW82" s="406"/>
      <c r="AX82" s="406"/>
      <c r="AY82" s="406"/>
      <c r="AZ82" s="406"/>
      <c r="BA82" s="406"/>
      <c r="BB82" s="406"/>
      <c r="BC82" s="406"/>
      <c r="BD82" s="406"/>
      <c r="BE82" s="406"/>
      <c r="BF82" s="406"/>
      <c r="BG82" s="406"/>
      <c r="BH82" s="406"/>
      <c r="BI82" s="406"/>
      <c r="BJ82" s="406"/>
      <c r="BK82" s="406"/>
      <c r="BL82" s="406"/>
      <c r="BM82" s="406"/>
      <c r="BN82" s="406"/>
      <c r="BO82" s="406"/>
      <c r="BP82" s="406"/>
      <c r="BQ82" s="406"/>
      <c r="BR82" s="406"/>
      <c r="BS82" s="406"/>
      <c r="BT82" s="406"/>
      <c r="BU82" s="406"/>
      <c r="BV82" s="406"/>
      <c r="BW82" s="406"/>
      <c r="BX82" s="406"/>
      <c r="BY82" s="406"/>
      <c r="BZ82" s="406"/>
      <c r="CA82" s="406"/>
      <c r="CB82" s="406"/>
      <c r="CC82" s="406"/>
      <c r="CD82" s="406"/>
      <c r="CE82" s="406"/>
      <c r="CF82" s="406"/>
      <c r="CG82" s="406"/>
      <c r="CH82" s="406"/>
      <c r="CI82" s="406"/>
      <c r="CJ82" s="406"/>
      <c r="CK82" s="406"/>
      <c r="CL82" s="406"/>
      <c r="CM82" s="406"/>
      <c r="CN82" s="406"/>
      <c r="CO82" s="406"/>
      <c r="CP82" s="406"/>
      <c r="CQ82" s="406"/>
      <c r="CR82" s="406"/>
      <c r="CS82" s="406"/>
      <c r="CT82" s="406"/>
      <c r="CU82" s="406"/>
      <c r="CV82" s="406"/>
      <c r="CW82" s="406"/>
      <c r="CX82" s="406"/>
      <c r="CY82" s="406"/>
      <c r="CZ82" s="406"/>
      <c r="DA82" s="406"/>
      <c r="DB82" s="406"/>
      <c r="DC82" s="406"/>
      <c r="DD82" s="406"/>
      <c r="DE82" s="436"/>
      <c r="DF82" s="436"/>
      <c r="DG82" s="436"/>
      <c r="DH82" s="436"/>
      <c r="DI82" s="449"/>
      <c r="DJ82" s="449"/>
      <c r="DK82" s="449"/>
      <c r="DL82" s="449"/>
      <c r="DM82" s="449"/>
      <c r="DN82" s="449"/>
      <c r="DO82" s="449"/>
      <c r="DP82" s="449"/>
      <c r="DQ82" s="449"/>
      <c r="DR82" s="449"/>
      <c r="DS82" s="449"/>
      <c r="DT82" s="449"/>
      <c r="DU82" s="449"/>
      <c r="DV82" s="449"/>
      <c r="DW82" s="449"/>
      <c r="DX82" s="449"/>
      <c r="DY82" s="449"/>
      <c r="DZ82" s="449"/>
      <c r="EA82" s="449"/>
      <c r="EB82" s="449"/>
      <c r="EC82" s="449"/>
      <c r="ED82" s="449"/>
      <c r="EE82" s="449"/>
      <c r="EF82" s="449"/>
      <c r="EG82" s="449"/>
      <c r="EH82" s="449"/>
      <c r="EI82" s="449"/>
      <c r="EJ82" s="449"/>
      <c r="EK82" s="449"/>
      <c r="EL82" s="449"/>
      <c r="EM82" s="449"/>
      <c r="EN82" s="449"/>
      <c r="EO82" s="449"/>
      <c r="EP82" s="449"/>
      <c r="EQ82" s="449"/>
      <c r="ER82" s="449"/>
      <c r="ES82" s="449"/>
      <c r="ET82" s="449"/>
      <c r="EU82" s="449"/>
      <c r="EV82" s="449"/>
      <c r="EW82" s="292"/>
    </row>
    <row r="83" spans="2:155" s="226" customFormat="1" ht="28.5" customHeight="1">
      <c r="B83" s="224"/>
      <c r="C83" s="224"/>
      <c r="D83" s="291"/>
      <c r="E83" s="224"/>
      <c r="F83" s="224"/>
      <c r="G83" s="224"/>
      <c r="H83" s="224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408"/>
      <c r="V83" s="438"/>
      <c r="W83" s="408"/>
      <c r="X83" s="408"/>
      <c r="Y83" s="460"/>
      <c r="Z83" s="461"/>
      <c r="AA83" s="461"/>
      <c r="AB83" s="461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  <c r="BI83" s="408"/>
      <c r="BJ83" s="408"/>
      <c r="BK83" s="408"/>
      <c r="BL83" s="408"/>
      <c r="BM83" s="408"/>
      <c r="BN83" s="408"/>
      <c r="BO83" s="408"/>
      <c r="BP83" s="408"/>
      <c r="BQ83" s="408"/>
      <c r="BR83" s="408"/>
      <c r="BS83" s="408"/>
      <c r="BT83" s="408"/>
      <c r="BU83" s="408"/>
      <c r="BV83" s="408"/>
      <c r="BW83" s="408"/>
      <c r="BX83" s="408"/>
      <c r="BY83" s="408"/>
      <c r="BZ83" s="408"/>
      <c r="CA83" s="408"/>
      <c r="CB83" s="408"/>
      <c r="CC83" s="408"/>
      <c r="CD83" s="408"/>
      <c r="CE83" s="408"/>
      <c r="CF83" s="408"/>
      <c r="CG83" s="408"/>
      <c r="CH83" s="408"/>
      <c r="CI83" s="408"/>
      <c r="CJ83" s="408"/>
      <c r="CK83" s="408"/>
      <c r="CL83" s="408"/>
      <c r="CM83" s="408"/>
      <c r="CN83" s="408"/>
      <c r="CO83" s="408"/>
      <c r="CP83" s="408"/>
      <c r="CQ83" s="408"/>
      <c r="CR83" s="408"/>
      <c r="CS83" s="408"/>
      <c r="CT83" s="408"/>
      <c r="CU83" s="408"/>
      <c r="CV83" s="408"/>
      <c r="CW83" s="408"/>
      <c r="CX83" s="408"/>
      <c r="CY83" s="408"/>
      <c r="CZ83" s="408"/>
      <c r="DA83" s="408"/>
      <c r="DB83" s="408"/>
      <c r="DC83" s="408"/>
      <c r="DD83" s="408"/>
      <c r="DE83" s="438"/>
      <c r="DF83" s="438"/>
      <c r="DG83" s="438"/>
      <c r="DH83" s="438"/>
      <c r="DI83" s="451"/>
      <c r="DJ83" s="451"/>
      <c r="DK83" s="451"/>
      <c r="DL83" s="451"/>
      <c r="DM83" s="451"/>
      <c r="DN83" s="451"/>
      <c r="DO83" s="451"/>
      <c r="DP83" s="451"/>
      <c r="DQ83" s="451"/>
      <c r="DR83" s="451"/>
      <c r="DS83" s="451"/>
      <c r="DT83" s="451"/>
      <c r="DU83" s="451"/>
      <c r="DV83" s="451"/>
      <c r="DW83" s="451"/>
      <c r="DX83" s="451"/>
      <c r="DY83" s="451"/>
      <c r="DZ83" s="451"/>
      <c r="EA83" s="451"/>
      <c r="EB83" s="451"/>
      <c r="EC83" s="451"/>
      <c r="ED83" s="451"/>
      <c r="EE83" s="451"/>
      <c r="EF83" s="451"/>
      <c r="EG83" s="451"/>
      <c r="EH83" s="451"/>
      <c r="EI83" s="451"/>
      <c r="EJ83" s="451"/>
      <c r="EK83" s="451"/>
      <c r="EL83" s="451"/>
      <c r="EM83" s="451"/>
      <c r="EN83" s="451"/>
      <c r="EO83" s="451"/>
      <c r="EP83" s="451"/>
      <c r="EQ83" s="451"/>
      <c r="ER83" s="451"/>
      <c r="ES83" s="451"/>
      <c r="ET83" s="451"/>
      <c r="EU83" s="451"/>
      <c r="EV83" s="451"/>
      <c r="EW83" s="292"/>
      <c r="EY83" s="292"/>
    </row>
    <row r="84" spans="2:155" s="226" customFormat="1" ht="28.5" customHeight="1">
      <c r="B84" s="224"/>
      <c r="C84" s="224"/>
      <c r="D84" s="291"/>
      <c r="E84" s="227"/>
      <c r="F84" s="227"/>
      <c r="G84" s="227"/>
      <c r="H84" s="409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5"/>
      <c r="AS84" s="295"/>
      <c r="AT84" s="295"/>
      <c r="AU84" s="295"/>
      <c r="AV84" s="295"/>
      <c r="AW84" s="295"/>
      <c r="AX84" s="295"/>
      <c r="AY84" s="295"/>
      <c r="AZ84" s="295"/>
      <c r="BA84" s="295"/>
      <c r="BB84" s="295"/>
      <c r="BC84" s="295"/>
      <c r="BD84" s="295"/>
      <c r="BE84" s="295"/>
      <c r="BF84" s="295"/>
      <c r="BG84" s="295"/>
      <c r="BH84" s="295"/>
      <c r="BI84" s="295"/>
      <c r="BJ84" s="295"/>
      <c r="BK84" s="295"/>
      <c r="BL84" s="295"/>
      <c r="BM84" s="295"/>
      <c r="BN84" s="295"/>
      <c r="BO84" s="295"/>
      <c r="BP84" s="295"/>
      <c r="BQ84" s="295"/>
      <c r="BR84" s="295"/>
      <c r="BS84" s="295"/>
      <c r="BT84" s="295"/>
      <c r="BU84" s="295"/>
      <c r="BV84" s="295"/>
      <c r="BW84" s="295"/>
      <c r="BX84" s="295"/>
      <c r="BY84" s="295"/>
      <c r="BZ84" s="295"/>
      <c r="CA84" s="295"/>
      <c r="CB84" s="295"/>
      <c r="CC84" s="295"/>
      <c r="CD84" s="295"/>
      <c r="CE84" s="295"/>
      <c r="CF84" s="295"/>
      <c r="CG84" s="295"/>
      <c r="CH84" s="295"/>
      <c r="CI84" s="295"/>
      <c r="CJ84" s="295"/>
      <c r="CK84" s="295"/>
      <c r="CL84" s="295"/>
      <c r="CM84" s="295"/>
      <c r="CN84" s="295"/>
      <c r="CO84" s="295"/>
      <c r="CP84" s="295"/>
      <c r="CQ84" s="295"/>
      <c r="CR84" s="295"/>
      <c r="CS84" s="295"/>
      <c r="CT84" s="295"/>
      <c r="CU84" s="295"/>
      <c r="CV84" s="295"/>
      <c r="CW84" s="295"/>
      <c r="CX84" s="295"/>
      <c r="CY84" s="295"/>
      <c r="CZ84" s="295"/>
      <c r="DA84" s="295"/>
      <c r="DB84" s="295"/>
      <c r="DC84" s="295"/>
      <c r="DD84" s="295"/>
      <c r="DE84" s="295"/>
      <c r="DF84" s="295"/>
      <c r="DG84" s="295"/>
      <c r="DH84" s="295"/>
      <c r="DI84" s="295"/>
      <c r="DJ84" s="295"/>
      <c r="DK84" s="295"/>
      <c r="DL84" s="295"/>
      <c r="DM84" s="295"/>
      <c r="DN84" s="295"/>
      <c r="DO84" s="295"/>
      <c r="DP84" s="295"/>
      <c r="DQ84" s="295"/>
      <c r="DR84" s="295"/>
      <c r="DS84" s="295"/>
      <c r="DT84" s="295"/>
      <c r="DU84" s="295"/>
      <c r="DV84" s="295"/>
      <c r="DW84" s="295"/>
      <c r="DX84" s="295"/>
      <c r="DY84" s="295"/>
      <c r="DZ84" s="295"/>
      <c r="EA84" s="295"/>
      <c r="EB84" s="295"/>
      <c r="EC84" s="295"/>
      <c r="ED84" s="295"/>
      <c r="EE84" s="295"/>
      <c r="EF84" s="295"/>
      <c r="EG84" s="295"/>
      <c r="EH84" s="295"/>
      <c r="EI84" s="295"/>
      <c r="EJ84" s="295"/>
      <c r="EK84" s="295"/>
      <c r="EL84" s="295"/>
      <c r="EM84" s="295"/>
      <c r="EN84" s="295"/>
      <c r="EO84" s="295"/>
      <c r="EP84" s="295"/>
      <c r="EQ84" s="295"/>
      <c r="ER84" s="295"/>
      <c r="ES84" s="295"/>
      <c r="ET84" s="295"/>
      <c r="EU84" s="295"/>
      <c r="EV84" s="295"/>
      <c r="EX84" s="292"/>
    </row>
    <row r="85" spans="2:155" s="226" customFormat="1" ht="28.5" customHeight="1">
      <c r="B85" s="224"/>
      <c r="C85" s="224"/>
      <c r="D85" s="291"/>
      <c r="E85" s="227"/>
      <c r="F85" s="227"/>
      <c r="G85" s="227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  <c r="AL85" s="462"/>
      <c r="AM85" s="462"/>
      <c r="AN85" s="462"/>
      <c r="AO85" s="462"/>
      <c r="AP85" s="462"/>
      <c r="AQ85" s="462"/>
      <c r="AR85" s="462"/>
      <c r="AS85" s="462"/>
      <c r="AT85" s="462"/>
      <c r="AU85" s="462"/>
      <c r="AV85" s="462"/>
      <c r="AW85" s="462"/>
      <c r="AX85" s="462"/>
      <c r="AY85" s="462"/>
      <c r="AZ85" s="462"/>
      <c r="BA85" s="462"/>
      <c r="BB85" s="462"/>
      <c r="BC85" s="462"/>
      <c r="BD85" s="462"/>
      <c r="BE85" s="462"/>
      <c r="BF85" s="462"/>
      <c r="BG85" s="462"/>
      <c r="BH85" s="462"/>
      <c r="BI85" s="462"/>
      <c r="BJ85" s="462"/>
      <c r="BK85" s="462"/>
      <c r="BL85" s="462"/>
      <c r="BM85" s="462"/>
      <c r="BN85" s="462"/>
      <c r="BO85" s="462"/>
      <c r="BP85" s="462"/>
      <c r="BQ85" s="462"/>
      <c r="BR85" s="462"/>
      <c r="BS85" s="462"/>
      <c r="BT85" s="462"/>
      <c r="BU85" s="462"/>
      <c r="BV85" s="462"/>
      <c r="BW85" s="462"/>
      <c r="BX85" s="462"/>
      <c r="BY85" s="462"/>
      <c r="BZ85" s="462"/>
      <c r="CA85" s="462"/>
      <c r="CB85" s="462"/>
      <c r="CC85" s="409"/>
      <c r="CD85" s="409"/>
      <c r="CE85" s="409"/>
      <c r="CF85" s="409"/>
      <c r="CG85" s="409"/>
      <c r="CH85" s="409"/>
      <c r="CI85" s="409"/>
      <c r="CJ85" s="409"/>
      <c r="CK85" s="409"/>
      <c r="CL85" s="409"/>
      <c r="CM85" s="409"/>
      <c r="CN85" s="409"/>
      <c r="CO85" s="409"/>
      <c r="CP85" s="409"/>
      <c r="CQ85" s="409"/>
      <c r="CR85" s="409"/>
      <c r="CS85" s="409"/>
      <c r="CT85" s="409"/>
      <c r="CU85" s="409"/>
      <c r="CV85" s="409"/>
      <c r="CW85" s="409"/>
      <c r="CX85" s="409"/>
      <c r="CY85" s="409"/>
      <c r="CZ85" s="409"/>
      <c r="DA85" s="409"/>
      <c r="DB85" s="409"/>
      <c r="DC85" s="409"/>
      <c r="DD85" s="409"/>
      <c r="DE85" s="439"/>
      <c r="DF85" s="439"/>
      <c r="DG85" s="439"/>
      <c r="DH85" s="439"/>
      <c r="DI85" s="452"/>
      <c r="DJ85" s="452"/>
      <c r="DK85" s="452"/>
      <c r="DL85" s="452"/>
      <c r="DM85" s="452"/>
      <c r="DN85" s="452"/>
      <c r="DO85" s="452"/>
      <c r="DP85" s="452"/>
      <c r="DQ85" s="452"/>
      <c r="DR85" s="452"/>
      <c r="DS85" s="452"/>
      <c r="DT85" s="452"/>
      <c r="DU85" s="452"/>
      <c r="DV85" s="452"/>
      <c r="DW85" s="452"/>
      <c r="DX85" s="452"/>
      <c r="DY85" s="452"/>
      <c r="DZ85" s="452"/>
      <c r="EA85" s="452"/>
      <c r="EB85" s="452"/>
      <c r="EC85" s="452"/>
      <c r="ED85" s="452"/>
      <c r="EE85" s="452"/>
      <c r="EF85" s="452"/>
      <c r="EG85" s="452"/>
      <c r="EH85" s="452"/>
      <c r="EI85" s="452"/>
      <c r="EJ85" s="452"/>
      <c r="EK85" s="452"/>
      <c r="EL85" s="452"/>
      <c r="EM85" s="452"/>
      <c r="EN85" s="452"/>
      <c r="EO85" s="452"/>
      <c r="EP85" s="452"/>
      <c r="EQ85" s="452"/>
      <c r="ER85" s="452"/>
      <c r="ES85" s="452"/>
      <c r="ET85" s="452"/>
      <c r="EU85" s="452"/>
      <c r="EV85" s="452"/>
      <c r="EW85" s="224"/>
    </row>
    <row r="86" spans="2:155" s="226" customFormat="1" ht="28.5" customHeight="1">
      <c r="B86" s="224"/>
      <c r="C86" s="224"/>
      <c r="D86" s="291"/>
      <c r="E86" s="224"/>
      <c r="F86" s="224"/>
      <c r="G86" s="224"/>
      <c r="H86" s="224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408"/>
      <c r="V86" s="438"/>
      <c r="W86" s="408"/>
      <c r="X86" s="408"/>
      <c r="Y86" s="408"/>
      <c r="Z86" s="408"/>
      <c r="AA86" s="408"/>
      <c r="AB86" s="408"/>
      <c r="AC86" s="408"/>
      <c r="AD86" s="408"/>
      <c r="AE86" s="408"/>
      <c r="AF86" s="408"/>
      <c r="AG86" s="408"/>
      <c r="AH86" s="408"/>
      <c r="AI86" s="408"/>
      <c r="AJ86" s="408"/>
      <c r="AK86" s="408"/>
      <c r="AL86" s="408"/>
      <c r="AM86" s="408"/>
      <c r="AN86" s="408"/>
      <c r="AO86" s="408"/>
      <c r="AP86" s="408"/>
      <c r="AQ86" s="408"/>
      <c r="AR86" s="408"/>
      <c r="AS86" s="408"/>
      <c r="AT86" s="408"/>
      <c r="AU86" s="408"/>
      <c r="AV86" s="408"/>
      <c r="AW86" s="408"/>
      <c r="AX86" s="408"/>
      <c r="AY86" s="408"/>
      <c r="AZ86" s="407"/>
      <c r="BA86" s="408"/>
      <c r="BB86" s="408"/>
      <c r="BC86" s="408"/>
      <c r="BD86" s="407"/>
      <c r="BE86" s="408"/>
      <c r="BF86" s="408"/>
      <c r="BG86" s="408"/>
      <c r="BH86" s="407"/>
      <c r="BI86" s="408"/>
      <c r="BJ86" s="408"/>
      <c r="BK86" s="408"/>
      <c r="BL86" s="407"/>
      <c r="BM86" s="408"/>
      <c r="BN86" s="408"/>
      <c r="BO86" s="408"/>
      <c r="BP86" s="407"/>
      <c r="BQ86" s="408"/>
      <c r="BR86" s="408"/>
      <c r="BS86" s="408"/>
      <c r="BT86" s="407"/>
      <c r="BU86" s="408"/>
      <c r="BV86" s="408"/>
      <c r="BW86" s="408"/>
      <c r="BX86" s="407"/>
      <c r="BY86" s="408"/>
      <c r="BZ86" s="408"/>
      <c r="CA86" s="408"/>
      <c r="CB86" s="407"/>
      <c r="CC86" s="408"/>
      <c r="CD86" s="408"/>
      <c r="CE86" s="408"/>
      <c r="CF86" s="407"/>
      <c r="CG86" s="408"/>
      <c r="CH86" s="408"/>
      <c r="CI86" s="408"/>
      <c r="CJ86" s="407"/>
      <c r="CK86" s="408"/>
      <c r="CL86" s="408"/>
      <c r="CM86" s="408"/>
      <c r="CN86" s="407"/>
      <c r="CO86" s="408"/>
      <c r="CP86" s="408"/>
      <c r="CQ86" s="408"/>
      <c r="CR86" s="407"/>
      <c r="CS86" s="408"/>
      <c r="CT86" s="408"/>
      <c r="CU86" s="408"/>
      <c r="CV86" s="407"/>
      <c r="CW86" s="408"/>
      <c r="CX86" s="408"/>
      <c r="CY86" s="408"/>
      <c r="CZ86" s="407"/>
      <c r="DA86" s="408"/>
      <c r="DB86" s="408"/>
      <c r="DC86" s="408"/>
      <c r="DD86" s="407"/>
      <c r="DE86" s="437"/>
      <c r="DF86" s="437"/>
      <c r="DG86" s="437"/>
      <c r="DH86" s="437"/>
      <c r="DI86" s="450"/>
      <c r="DJ86" s="450"/>
      <c r="DK86" s="450"/>
      <c r="DL86" s="450"/>
      <c r="DM86" s="450"/>
      <c r="DN86" s="450"/>
      <c r="DO86" s="450"/>
      <c r="DP86" s="450"/>
      <c r="DQ86" s="450"/>
      <c r="DR86" s="450"/>
      <c r="DS86" s="450"/>
      <c r="DT86" s="450"/>
      <c r="DU86" s="450"/>
      <c r="DV86" s="450"/>
      <c r="DW86" s="450"/>
      <c r="DX86" s="450"/>
      <c r="DY86" s="450"/>
      <c r="DZ86" s="450"/>
      <c r="EA86" s="450"/>
      <c r="EB86" s="450"/>
      <c r="EC86" s="450"/>
      <c r="ED86" s="450"/>
      <c r="EE86" s="450"/>
      <c r="EF86" s="450"/>
      <c r="EG86" s="450"/>
      <c r="EH86" s="450"/>
      <c r="EI86" s="450"/>
      <c r="EJ86" s="450"/>
      <c r="EK86" s="450"/>
      <c r="EL86" s="450"/>
      <c r="EM86" s="450"/>
      <c r="EN86" s="450"/>
      <c r="EO86" s="450"/>
      <c r="EP86" s="450"/>
      <c r="EQ86" s="450"/>
      <c r="ER86" s="450"/>
      <c r="ES86" s="450"/>
      <c r="ET86" s="450"/>
      <c r="EU86" s="450"/>
      <c r="EV86" s="450"/>
    </row>
    <row r="87" spans="2:155" s="226" customFormat="1" ht="28.5" customHeight="1">
      <c r="B87" s="224"/>
      <c r="C87" s="294"/>
      <c r="D87" s="224"/>
      <c r="E87" s="224"/>
      <c r="F87" s="291"/>
      <c r="G87" s="291"/>
      <c r="H87" s="224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408"/>
      <c r="V87" s="438"/>
      <c r="W87" s="408"/>
      <c r="X87" s="408"/>
      <c r="Y87" s="408"/>
      <c r="Z87" s="408"/>
      <c r="AA87" s="408"/>
      <c r="AB87" s="408"/>
      <c r="AC87" s="408"/>
      <c r="AD87" s="408"/>
      <c r="AE87" s="408"/>
      <c r="AF87" s="408"/>
      <c r="AG87" s="408"/>
      <c r="AH87" s="408"/>
      <c r="AI87" s="408"/>
      <c r="AJ87" s="408"/>
      <c r="AK87" s="408"/>
      <c r="AL87" s="408"/>
      <c r="AM87" s="408"/>
      <c r="AN87" s="408"/>
      <c r="AO87" s="408"/>
      <c r="AP87" s="408"/>
      <c r="AQ87" s="408"/>
      <c r="AR87" s="408"/>
      <c r="AS87" s="408"/>
      <c r="AT87" s="408"/>
      <c r="AU87" s="408"/>
      <c r="AV87" s="408"/>
      <c r="AW87" s="408"/>
      <c r="AX87" s="408"/>
      <c r="AY87" s="408"/>
      <c r="AZ87" s="408"/>
      <c r="BA87" s="408"/>
      <c r="BB87" s="408"/>
      <c r="BC87" s="408"/>
      <c r="BD87" s="408"/>
      <c r="BE87" s="408"/>
      <c r="BF87" s="408"/>
      <c r="BG87" s="408"/>
      <c r="BH87" s="408"/>
      <c r="BI87" s="408"/>
      <c r="BJ87" s="408"/>
      <c r="BK87" s="408"/>
      <c r="BL87" s="408"/>
      <c r="BM87" s="408"/>
      <c r="BN87" s="408"/>
      <c r="BO87" s="408"/>
      <c r="BP87" s="408"/>
      <c r="BQ87" s="408"/>
      <c r="BR87" s="408"/>
      <c r="BS87" s="408"/>
      <c r="BT87" s="408"/>
      <c r="BU87" s="408"/>
      <c r="BV87" s="408"/>
      <c r="BW87" s="408"/>
      <c r="BX87" s="408"/>
      <c r="BY87" s="408"/>
      <c r="BZ87" s="408"/>
      <c r="CA87" s="408"/>
      <c r="CB87" s="408"/>
      <c r="CC87" s="408"/>
      <c r="CD87" s="408"/>
      <c r="CE87" s="408"/>
      <c r="CF87" s="408"/>
      <c r="CG87" s="408"/>
      <c r="CH87" s="408"/>
      <c r="CI87" s="408"/>
      <c r="CJ87" s="408"/>
      <c r="CK87" s="408"/>
      <c r="CL87" s="408"/>
      <c r="CM87" s="408"/>
      <c r="CN87" s="408"/>
      <c r="CO87" s="408"/>
      <c r="CP87" s="408"/>
      <c r="CQ87" s="408"/>
      <c r="CR87" s="408"/>
      <c r="CS87" s="408"/>
      <c r="CT87" s="408"/>
      <c r="CU87" s="408"/>
      <c r="CV87" s="408"/>
      <c r="CW87" s="408"/>
      <c r="CX87" s="408"/>
      <c r="CY87" s="408"/>
      <c r="CZ87" s="408"/>
      <c r="DA87" s="408"/>
      <c r="DB87" s="408"/>
      <c r="DC87" s="408"/>
      <c r="DD87" s="408"/>
      <c r="DE87" s="438"/>
      <c r="DF87" s="438"/>
      <c r="DG87" s="438"/>
      <c r="DH87" s="438"/>
      <c r="DI87" s="451"/>
      <c r="DJ87" s="451"/>
      <c r="DK87" s="451"/>
      <c r="DL87" s="451"/>
      <c r="DM87" s="451"/>
      <c r="DN87" s="451"/>
      <c r="DO87" s="451"/>
      <c r="DP87" s="451"/>
      <c r="DQ87" s="451"/>
      <c r="DR87" s="451"/>
      <c r="DS87" s="451"/>
      <c r="DT87" s="451"/>
      <c r="DU87" s="451"/>
      <c r="DV87" s="451"/>
      <c r="DW87" s="451"/>
      <c r="DX87" s="451"/>
      <c r="DY87" s="451"/>
      <c r="DZ87" s="451"/>
      <c r="EA87" s="451"/>
      <c r="EB87" s="451"/>
      <c r="EC87" s="451"/>
      <c r="ED87" s="451"/>
      <c r="EE87" s="451"/>
      <c r="EF87" s="451"/>
      <c r="EG87" s="451"/>
      <c r="EH87" s="451"/>
      <c r="EI87" s="451"/>
      <c r="EJ87" s="451"/>
      <c r="EK87" s="451"/>
      <c r="EL87" s="451"/>
      <c r="EM87" s="451"/>
      <c r="EN87" s="451"/>
      <c r="EO87" s="451"/>
      <c r="EP87" s="451"/>
      <c r="EQ87" s="451"/>
      <c r="ER87" s="451"/>
      <c r="ES87" s="451"/>
      <c r="ET87" s="451"/>
      <c r="EU87" s="451"/>
      <c r="EV87" s="451"/>
    </row>
    <row r="91" spans="2:155" s="226" customFormat="1" ht="28.5" customHeight="1">
      <c r="B91" s="224"/>
      <c r="C91" s="224"/>
      <c r="D91" s="291"/>
      <c r="E91" s="224"/>
      <c r="F91" s="224"/>
      <c r="G91" s="224"/>
      <c r="H91" s="224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408"/>
      <c r="V91" s="438"/>
      <c r="W91" s="408"/>
      <c r="X91" s="408"/>
      <c r="Y91" s="408"/>
      <c r="Z91" s="408"/>
      <c r="AA91" s="408"/>
      <c r="AB91" s="408"/>
      <c r="AC91" s="408"/>
      <c r="AD91" s="408"/>
      <c r="AE91" s="408"/>
      <c r="AF91" s="408"/>
      <c r="AG91" s="408"/>
      <c r="AH91" s="408"/>
      <c r="AI91" s="408"/>
      <c r="AJ91" s="408"/>
      <c r="AK91" s="408"/>
      <c r="AL91" s="408"/>
      <c r="AM91" s="408"/>
      <c r="AN91" s="408"/>
      <c r="AO91" s="408"/>
      <c r="AP91" s="408"/>
      <c r="AQ91" s="408"/>
      <c r="AR91" s="408"/>
      <c r="AS91" s="408"/>
      <c r="AT91" s="408"/>
      <c r="AU91" s="408"/>
      <c r="AV91" s="408"/>
      <c r="AW91" s="408"/>
      <c r="AX91" s="408"/>
      <c r="AY91" s="408"/>
      <c r="AZ91" s="408"/>
      <c r="BA91" s="408"/>
      <c r="BB91" s="408"/>
      <c r="BC91" s="408"/>
      <c r="BD91" s="408"/>
      <c r="BE91" s="408"/>
      <c r="BF91" s="408"/>
      <c r="BG91" s="408"/>
      <c r="BH91" s="408"/>
      <c r="BI91" s="408"/>
      <c r="BJ91" s="408"/>
      <c r="BK91" s="408"/>
      <c r="BL91" s="408"/>
      <c r="BM91" s="408"/>
      <c r="BN91" s="408"/>
      <c r="BO91" s="408"/>
      <c r="BP91" s="408"/>
      <c r="BQ91" s="408"/>
      <c r="BR91" s="408"/>
      <c r="BS91" s="408"/>
      <c r="BT91" s="408"/>
      <c r="BU91" s="408"/>
      <c r="BV91" s="408"/>
      <c r="BW91" s="408"/>
      <c r="BX91" s="408"/>
      <c r="BY91" s="408"/>
      <c r="BZ91" s="408"/>
      <c r="CA91" s="408"/>
      <c r="CB91" s="408"/>
      <c r="CC91" s="408"/>
      <c r="CD91" s="408"/>
      <c r="CE91" s="408"/>
      <c r="CF91" s="408"/>
      <c r="CG91" s="408"/>
      <c r="CH91" s="408"/>
      <c r="CI91" s="408"/>
      <c r="CJ91" s="408"/>
      <c r="CK91" s="408"/>
      <c r="CL91" s="408"/>
      <c r="CM91" s="408"/>
      <c r="CN91" s="408"/>
      <c r="CO91" s="408"/>
      <c r="CP91" s="408"/>
      <c r="CQ91" s="408"/>
      <c r="CR91" s="408"/>
      <c r="CS91" s="408"/>
      <c r="CT91" s="408"/>
      <c r="CU91" s="408"/>
      <c r="CV91" s="408"/>
      <c r="CW91" s="408"/>
      <c r="CX91" s="408"/>
      <c r="CY91" s="408"/>
      <c r="CZ91" s="408"/>
      <c r="DA91" s="408"/>
      <c r="DB91" s="408"/>
      <c r="DC91" s="408"/>
      <c r="DD91" s="408"/>
      <c r="DE91" s="438"/>
      <c r="DF91" s="438"/>
      <c r="DG91" s="438"/>
      <c r="DH91" s="438"/>
      <c r="DI91" s="451"/>
      <c r="DJ91" s="451"/>
      <c r="DK91" s="451"/>
      <c r="DL91" s="451"/>
      <c r="DM91" s="451"/>
      <c r="DN91" s="451"/>
      <c r="DO91" s="451"/>
      <c r="DP91" s="451"/>
      <c r="DQ91" s="451"/>
      <c r="DR91" s="451"/>
      <c r="DS91" s="451"/>
      <c r="DT91" s="451"/>
      <c r="DU91" s="451"/>
      <c r="DV91" s="451"/>
      <c r="DW91" s="451"/>
      <c r="DX91" s="451"/>
      <c r="DY91" s="451"/>
      <c r="DZ91" s="451"/>
      <c r="EA91" s="451"/>
      <c r="EB91" s="451"/>
      <c r="EC91" s="451"/>
      <c r="ED91" s="451"/>
      <c r="EE91" s="451"/>
      <c r="EF91" s="451"/>
      <c r="EG91" s="451"/>
      <c r="EH91" s="451"/>
      <c r="EI91" s="451"/>
      <c r="EJ91" s="451"/>
      <c r="EK91" s="451"/>
      <c r="EL91" s="451"/>
      <c r="EM91" s="451"/>
      <c r="EN91" s="451"/>
      <c r="EO91" s="451"/>
      <c r="EP91" s="451"/>
      <c r="EQ91" s="451"/>
      <c r="ER91" s="451"/>
      <c r="ES91" s="451"/>
      <c r="ET91" s="451"/>
      <c r="EU91" s="451"/>
      <c r="EV91" s="451"/>
    </row>
  </sheetData>
  <autoFilter ref="B5:FA79"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3" showButton="0"/>
    <filterColumn colId="64" showButton="0"/>
    <filterColumn colId="65" showButton="0"/>
    <filterColumn colId="67" showButton="0"/>
    <filterColumn colId="68" showButton="0"/>
    <filterColumn colId="69" showButton="0"/>
    <filterColumn colId="71" showButton="0"/>
    <filterColumn colId="72" showButton="0"/>
    <filterColumn colId="73" showButton="0"/>
    <filterColumn colId="75" showButton="0"/>
    <filterColumn colId="76" showButton="0"/>
    <filterColumn colId="77" showButton="0"/>
    <filterColumn colId="79" showButton="0"/>
    <filterColumn colId="80" showButton="0"/>
    <filterColumn colId="81" showButton="0"/>
    <filterColumn colId="83" showButton="0"/>
    <filterColumn colId="84" showButton="0"/>
    <filterColumn colId="85" showButton="0"/>
    <filterColumn colId="87" showButton="0"/>
    <filterColumn colId="88" showButton="0"/>
    <filterColumn colId="89" showButton="0"/>
    <filterColumn colId="91" showButton="0"/>
    <filterColumn colId="92" showButton="0"/>
    <filterColumn colId="93" showButton="0"/>
    <filterColumn colId="95" showButton="0"/>
    <filterColumn colId="96" showButton="0"/>
    <filterColumn colId="97" showButton="0"/>
    <filterColumn colId="99" showButton="0"/>
    <filterColumn colId="100" showButton="0"/>
    <filterColumn colId="101" showButton="0"/>
    <filterColumn colId="103" showButton="0"/>
    <filterColumn colId="104" showButton="0"/>
    <filterColumn colId="105" showButton="0"/>
  </autoFilter>
  <mergeCells count="78">
    <mergeCell ref="EC5:EF5"/>
    <mergeCell ref="DY5:EB5"/>
    <mergeCell ref="DU5:DX5"/>
    <mergeCell ref="DQ5:DT5"/>
    <mergeCell ref="DM5:DP5"/>
    <mergeCell ref="ES4:EV4"/>
    <mergeCell ref="ES5:EV5"/>
    <mergeCell ref="EO5:ER5"/>
    <mergeCell ref="EK5:EN5"/>
    <mergeCell ref="EG5:EJ5"/>
    <mergeCell ref="DY4:EB4"/>
    <mergeCell ref="EC4:EF4"/>
    <mergeCell ref="EG4:EJ4"/>
    <mergeCell ref="EK4:EN4"/>
    <mergeCell ref="EO4:ER4"/>
    <mergeCell ref="DI5:DL5"/>
    <mergeCell ref="DI4:DL4"/>
    <mergeCell ref="DM4:DP4"/>
    <mergeCell ref="DQ4:DT4"/>
    <mergeCell ref="DU4:DX4"/>
    <mergeCell ref="DE4:DH4"/>
    <mergeCell ref="DE5:DH5"/>
    <mergeCell ref="BE4:BH4"/>
    <mergeCell ref="C1:AN1"/>
    <mergeCell ref="D2:AN2"/>
    <mergeCell ref="E4:F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W4:AZ4"/>
    <mergeCell ref="BA4:BD4"/>
    <mergeCell ref="DA4:DD4"/>
    <mergeCell ref="BI4:BL4"/>
    <mergeCell ref="BM4:BP4"/>
    <mergeCell ref="BQ4:BT4"/>
    <mergeCell ref="BU4:BX4"/>
    <mergeCell ref="BY4:CB4"/>
    <mergeCell ref="CC4:CF4"/>
    <mergeCell ref="CG4:CJ4"/>
    <mergeCell ref="CK4:CN4"/>
    <mergeCell ref="CO4:CR4"/>
    <mergeCell ref="CS4:CV4"/>
    <mergeCell ref="CW4:CZ4"/>
    <mergeCell ref="BA5:BD5"/>
    <mergeCell ref="I5:L5"/>
    <mergeCell ref="M5:P5"/>
    <mergeCell ref="Q5:T5"/>
    <mergeCell ref="U5:X5"/>
    <mergeCell ref="Y5:AB5"/>
    <mergeCell ref="AC5:AF5"/>
    <mergeCell ref="AG5:AJ5"/>
    <mergeCell ref="AK5:AN5"/>
    <mergeCell ref="AO5:AR5"/>
    <mergeCell ref="AS5:AV5"/>
    <mergeCell ref="AW5:AZ5"/>
    <mergeCell ref="DA5:DD5"/>
    <mergeCell ref="Y82:AB82"/>
    <mergeCell ref="Y83:AB83"/>
    <mergeCell ref="H85:CB85"/>
    <mergeCell ref="CC5:CF5"/>
    <mergeCell ref="CG5:CJ5"/>
    <mergeCell ref="CK5:CN5"/>
    <mergeCell ref="CO5:CR5"/>
    <mergeCell ref="CS5:CV5"/>
    <mergeCell ref="CW5:CZ5"/>
    <mergeCell ref="BE5:BH5"/>
    <mergeCell ref="BI5:BL5"/>
    <mergeCell ref="BM5:BP5"/>
    <mergeCell ref="BQ5:BT5"/>
    <mergeCell ref="BU5:BX5"/>
    <mergeCell ref="BY5:CB5"/>
  </mergeCells>
  <pageMargins left="0.70866141732283472" right="0.70866141732283472" top="0.74803149606299213" bottom="0.74803149606299213" header="0.31496062992125984" footer="0.31496062992125984"/>
  <pageSetup paperSize="8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Y68"/>
  <sheetViews>
    <sheetView showZeros="0" view="pageBreakPreview" zoomScale="55" zoomScaleNormal="85" zoomScaleSheetLayoutView="55" workbookViewId="0">
      <pane xSplit="5" ySplit="5" topLeftCell="F6" activePane="bottomRight" state="frozen"/>
      <selection activeCell="AR78" sqref="AR78:AT81"/>
      <selection pane="topRight" activeCell="AR78" sqref="AR78:AT81"/>
      <selection pane="bottomLeft" activeCell="AR78" sqref="AR78:AT81"/>
      <selection pane="bottomRight" activeCell="EV27" sqref="EV27"/>
    </sheetView>
  </sheetViews>
  <sheetFormatPr defaultColWidth="9.109375" defaultRowHeight="28.5" customHeight="1"/>
  <cols>
    <col min="1" max="2" width="9.109375" style="2"/>
    <col min="3" max="3" width="41.88671875" style="2" customWidth="1"/>
    <col min="4" max="5" width="11.33203125" style="2" customWidth="1"/>
    <col min="6" max="6" width="3" style="1" customWidth="1"/>
    <col min="7" max="149" width="3.33203125" style="1" customWidth="1"/>
    <col min="150" max="152" width="13.5546875" style="3" customWidth="1"/>
    <col min="153" max="16384" width="9.109375" style="2"/>
  </cols>
  <sheetData>
    <row r="1" spans="2:152" ht="28.5" customHeight="1">
      <c r="C1" s="375" t="s">
        <v>0</v>
      </c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5"/>
      <c r="AO1" s="375"/>
      <c r="AP1" s="375"/>
      <c r="AQ1" s="375"/>
      <c r="AR1" s="375"/>
      <c r="AS1" s="375"/>
      <c r="AT1" s="375"/>
      <c r="AU1" s="375"/>
      <c r="AV1" s="375"/>
      <c r="AW1" s="375"/>
      <c r="AX1" s="375"/>
      <c r="AY1" s="375"/>
      <c r="AZ1" s="375"/>
      <c r="BA1" s="375"/>
      <c r="BB1" s="375"/>
      <c r="BC1" s="375"/>
      <c r="BD1" s="375"/>
      <c r="BE1" s="375"/>
      <c r="BF1" s="375"/>
      <c r="BG1" s="375"/>
      <c r="BH1" s="375"/>
      <c r="BI1" s="375"/>
      <c r="BJ1" s="375"/>
      <c r="BK1" s="375"/>
      <c r="BL1" s="375"/>
      <c r="BM1" s="375"/>
      <c r="BN1" s="375"/>
      <c r="BO1" s="375"/>
      <c r="BP1" s="375"/>
      <c r="BQ1" s="375"/>
      <c r="BR1" s="375"/>
      <c r="BS1" s="375"/>
      <c r="BT1" s="375"/>
      <c r="BU1" s="375"/>
      <c r="BV1" s="375"/>
      <c r="BW1" s="375"/>
      <c r="BX1" s="375"/>
      <c r="BY1" s="375"/>
      <c r="BZ1" s="375"/>
      <c r="CA1" s="375"/>
      <c r="CB1" s="375"/>
      <c r="CC1" s="375"/>
      <c r="CD1" s="375"/>
      <c r="CE1" s="375"/>
      <c r="CF1" s="375"/>
      <c r="CG1" s="375"/>
      <c r="CH1" s="375"/>
      <c r="CI1" s="375"/>
      <c r="CJ1" s="375"/>
      <c r="CK1" s="375"/>
      <c r="CL1" s="375"/>
      <c r="CM1" s="375"/>
      <c r="CN1" s="375"/>
      <c r="CO1" s="375"/>
      <c r="CP1" s="375"/>
      <c r="CQ1" s="375"/>
      <c r="CR1" s="375"/>
      <c r="CS1" s="375"/>
      <c r="CT1" s="375"/>
      <c r="CU1" s="375"/>
      <c r="CV1" s="375"/>
      <c r="CW1" s="375"/>
      <c r="CX1" s="375"/>
      <c r="CY1" s="375"/>
      <c r="CZ1" s="375"/>
      <c r="DA1" s="375"/>
      <c r="DB1" s="375"/>
      <c r="DC1" s="375"/>
      <c r="DD1" s="375"/>
      <c r="DE1" s="375"/>
      <c r="DF1" s="375"/>
      <c r="DG1" s="375"/>
      <c r="DH1" s="375"/>
      <c r="DI1" s="375"/>
      <c r="DJ1" s="375"/>
      <c r="DK1" s="375"/>
      <c r="DL1" s="375"/>
      <c r="DM1" s="375"/>
      <c r="DN1" s="375"/>
      <c r="DO1" s="375"/>
      <c r="DP1" s="375"/>
      <c r="DQ1" s="375"/>
      <c r="DR1" s="375"/>
      <c r="DS1" s="375"/>
      <c r="DT1" s="375"/>
      <c r="DU1" s="375"/>
      <c r="DV1" s="375"/>
      <c r="DW1" s="375"/>
      <c r="DX1" s="375"/>
      <c r="DY1" s="375"/>
      <c r="DZ1" s="375"/>
      <c r="EA1" s="375"/>
      <c r="EB1" s="375"/>
      <c r="EC1" s="375"/>
      <c r="ED1" s="375"/>
      <c r="EE1" s="375"/>
      <c r="EF1" s="375"/>
      <c r="EG1" s="375"/>
      <c r="EH1" s="375"/>
      <c r="EI1" s="375"/>
      <c r="EJ1" s="375"/>
      <c r="EK1" s="375"/>
      <c r="EL1" s="375"/>
      <c r="EM1" s="375"/>
      <c r="EN1" s="375"/>
      <c r="EO1" s="375"/>
      <c r="EP1" s="375"/>
      <c r="EQ1" s="375"/>
      <c r="ER1" s="375"/>
      <c r="ES1" s="375"/>
    </row>
    <row r="2" spans="2:152" ht="28.5" customHeight="1">
      <c r="C2" s="4" t="s">
        <v>1</v>
      </c>
      <c r="D2" s="375" t="str">
        <f>+schedule_ARAS!D2</f>
        <v>FİLYOS LİMANI TAHKİMAT İŞİ</v>
      </c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5"/>
      <c r="AO2" s="375"/>
      <c r="AP2" s="375"/>
      <c r="AQ2" s="375"/>
      <c r="AR2" s="375"/>
      <c r="AS2" s="375"/>
      <c r="AT2" s="375"/>
      <c r="AU2" s="375"/>
      <c r="AV2" s="375"/>
      <c r="AW2" s="375"/>
      <c r="AX2" s="375"/>
      <c r="AY2" s="375"/>
      <c r="AZ2" s="375"/>
      <c r="BA2" s="375"/>
      <c r="BB2" s="375"/>
      <c r="BC2" s="375"/>
      <c r="BD2" s="375"/>
      <c r="BE2" s="375"/>
      <c r="BF2" s="375"/>
      <c r="BG2" s="375"/>
      <c r="BH2" s="375"/>
      <c r="BI2" s="375"/>
      <c r="BJ2" s="375"/>
      <c r="BK2" s="375"/>
      <c r="BL2" s="375"/>
      <c r="BM2" s="375"/>
      <c r="BN2" s="375"/>
      <c r="BO2" s="375"/>
      <c r="BP2" s="375"/>
      <c r="BQ2" s="375"/>
      <c r="BR2" s="375"/>
      <c r="BS2" s="375"/>
      <c r="BT2" s="375"/>
      <c r="BU2" s="375"/>
      <c r="BV2" s="375"/>
      <c r="BW2" s="375"/>
      <c r="BX2" s="375"/>
      <c r="BY2" s="375"/>
      <c r="BZ2" s="375"/>
      <c r="CA2" s="375"/>
      <c r="CB2" s="375"/>
      <c r="CC2" s="375"/>
      <c r="CD2" s="375"/>
      <c r="CE2" s="375"/>
      <c r="CF2" s="375"/>
      <c r="CG2" s="375"/>
      <c r="CH2" s="375"/>
      <c r="CI2" s="375"/>
      <c r="CJ2" s="375"/>
      <c r="CK2" s="375"/>
      <c r="CL2" s="375"/>
      <c r="CM2" s="375"/>
      <c r="CN2" s="375"/>
      <c r="CO2" s="375"/>
      <c r="CP2" s="375"/>
      <c r="CQ2" s="375"/>
      <c r="CR2" s="375"/>
      <c r="CS2" s="375"/>
      <c r="CT2" s="375"/>
      <c r="CU2" s="375"/>
      <c r="CV2" s="375"/>
      <c r="CW2" s="375"/>
      <c r="CX2" s="375"/>
      <c r="CY2" s="375"/>
      <c r="CZ2" s="375"/>
      <c r="DA2" s="375"/>
      <c r="DB2" s="375"/>
      <c r="DC2" s="375"/>
      <c r="DD2" s="375"/>
      <c r="DE2" s="375"/>
      <c r="DF2" s="375"/>
      <c r="DG2" s="375"/>
      <c r="DH2" s="375"/>
      <c r="DI2" s="375"/>
      <c r="DJ2" s="375"/>
      <c r="DK2" s="375"/>
      <c r="DL2" s="375"/>
      <c r="DM2" s="375"/>
      <c r="DN2" s="375"/>
      <c r="DO2" s="375"/>
      <c r="DP2" s="375"/>
      <c r="DQ2" s="375"/>
      <c r="DR2" s="375"/>
      <c r="DS2" s="375"/>
      <c r="DT2" s="375"/>
      <c r="DU2" s="375"/>
      <c r="DV2" s="375"/>
      <c r="DW2" s="375"/>
      <c r="DX2" s="375"/>
      <c r="DY2" s="375"/>
      <c r="DZ2" s="375"/>
      <c r="EA2" s="375"/>
      <c r="EB2" s="375"/>
      <c r="EC2" s="375"/>
      <c r="ED2" s="375"/>
      <c r="EE2" s="375"/>
      <c r="EF2" s="375"/>
      <c r="EG2" s="375"/>
      <c r="EH2" s="375"/>
      <c r="EI2" s="375"/>
      <c r="EJ2" s="375"/>
      <c r="EK2" s="375"/>
      <c r="EL2" s="375"/>
      <c r="EM2" s="375"/>
      <c r="EN2" s="375"/>
      <c r="EO2" s="375"/>
      <c r="EP2" s="375"/>
      <c r="EQ2" s="375"/>
      <c r="ER2" s="375"/>
      <c r="ES2" s="375"/>
    </row>
    <row r="3" spans="2:152" ht="17.399999999999999" thickBot="1">
      <c r="C3" s="4" t="s">
        <v>2</v>
      </c>
      <c r="D3" s="5">
        <f>+schedule_ARAS!D3</f>
        <v>36</v>
      </c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</row>
    <row r="4" spans="2:152" ht="63.75" customHeight="1" thickBot="1">
      <c r="F4" s="455"/>
      <c r="G4" s="456"/>
      <c r="H4" s="456"/>
      <c r="I4" s="457"/>
      <c r="J4" s="455"/>
      <c r="K4" s="456"/>
      <c r="L4" s="456"/>
      <c r="M4" s="457"/>
      <c r="N4" s="455"/>
      <c r="O4" s="456"/>
      <c r="P4" s="456"/>
      <c r="Q4" s="457"/>
      <c r="R4" s="455"/>
      <c r="S4" s="456"/>
      <c r="T4" s="456"/>
      <c r="U4" s="457"/>
      <c r="V4" s="455"/>
      <c r="W4" s="456"/>
      <c r="X4" s="456"/>
      <c r="Y4" s="457"/>
      <c r="Z4" s="455"/>
      <c r="AA4" s="456"/>
      <c r="AB4" s="456"/>
      <c r="AC4" s="457"/>
      <c r="AD4" s="455"/>
      <c r="AE4" s="456"/>
      <c r="AF4" s="456"/>
      <c r="AG4" s="457"/>
      <c r="AH4" s="455"/>
      <c r="AI4" s="456"/>
      <c r="AJ4" s="456"/>
      <c r="AK4" s="457"/>
      <c r="AL4" s="455"/>
      <c r="AM4" s="456"/>
      <c r="AN4" s="456"/>
      <c r="AO4" s="457"/>
      <c r="AP4" s="455"/>
      <c r="AQ4" s="456"/>
      <c r="AR4" s="456"/>
      <c r="AS4" s="457"/>
      <c r="AT4" s="455"/>
      <c r="AU4" s="456"/>
      <c r="AV4" s="456"/>
      <c r="AW4" s="457"/>
      <c r="AX4" s="455"/>
      <c r="AY4" s="456"/>
      <c r="AZ4" s="456"/>
      <c r="BA4" s="457"/>
      <c r="BB4" s="455"/>
      <c r="BC4" s="456"/>
      <c r="BD4" s="456"/>
      <c r="BE4" s="457"/>
      <c r="BF4" s="455"/>
      <c r="BG4" s="456"/>
      <c r="BH4" s="456"/>
      <c r="BI4" s="457"/>
      <c r="BJ4" s="455"/>
      <c r="BK4" s="456"/>
      <c r="BL4" s="456"/>
      <c r="BM4" s="457"/>
      <c r="BN4" s="455"/>
      <c r="BO4" s="456"/>
      <c r="BP4" s="456"/>
      <c r="BQ4" s="457"/>
      <c r="BR4" s="455"/>
      <c r="BS4" s="456"/>
      <c r="BT4" s="456"/>
      <c r="BU4" s="457"/>
      <c r="BV4" s="455"/>
      <c r="BW4" s="456"/>
      <c r="BX4" s="456"/>
      <c r="BY4" s="457"/>
      <c r="BZ4" s="455"/>
      <c r="CA4" s="456"/>
      <c r="CB4" s="456"/>
      <c r="CC4" s="457"/>
      <c r="CD4" s="455"/>
      <c r="CE4" s="456"/>
      <c r="CF4" s="456"/>
      <c r="CG4" s="457"/>
      <c r="CH4" s="455"/>
      <c r="CI4" s="456"/>
      <c r="CJ4" s="456"/>
      <c r="CK4" s="457"/>
      <c r="CL4" s="455"/>
      <c r="CM4" s="456"/>
      <c r="CN4" s="456"/>
      <c r="CO4" s="457"/>
      <c r="CP4" s="455"/>
      <c r="CQ4" s="456"/>
      <c r="CR4" s="456"/>
      <c r="CS4" s="457"/>
      <c r="CT4" s="455"/>
      <c r="CU4" s="456"/>
      <c r="CV4" s="456"/>
      <c r="CW4" s="457"/>
      <c r="CX4" s="455"/>
      <c r="CY4" s="456"/>
      <c r="CZ4" s="456"/>
      <c r="DA4" s="457"/>
      <c r="DB4" s="455"/>
      <c r="DC4" s="456"/>
      <c r="DD4" s="456"/>
      <c r="DE4" s="457"/>
      <c r="DF4" s="455"/>
      <c r="DG4" s="456"/>
      <c r="DH4" s="456"/>
      <c r="DI4" s="457"/>
      <c r="DJ4" s="455"/>
      <c r="DK4" s="456"/>
      <c r="DL4" s="456"/>
      <c r="DM4" s="457"/>
      <c r="DN4" s="455"/>
      <c r="DO4" s="456"/>
      <c r="DP4" s="456"/>
      <c r="DQ4" s="457"/>
      <c r="DR4" s="455"/>
      <c r="DS4" s="456"/>
      <c r="DT4" s="456"/>
      <c r="DU4" s="457"/>
      <c r="DV4" s="455"/>
      <c r="DW4" s="456"/>
      <c r="DX4" s="456"/>
      <c r="DY4" s="457"/>
      <c r="DZ4" s="455"/>
      <c r="EA4" s="456"/>
      <c r="EB4" s="456"/>
      <c r="EC4" s="457"/>
      <c r="ED4" s="455"/>
      <c r="EE4" s="456"/>
      <c r="EF4" s="456"/>
      <c r="EG4" s="457"/>
      <c r="EH4" s="455"/>
      <c r="EI4" s="456"/>
      <c r="EJ4" s="456"/>
      <c r="EK4" s="457"/>
      <c r="EL4" s="455"/>
      <c r="EM4" s="456"/>
      <c r="EN4" s="456"/>
      <c r="EO4" s="457"/>
      <c r="EP4" s="455"/>
      <c r="EQ4" s="456"/>
      <c r="ER4" s="456"/>
      <c r="ES4" s="457"/>
    </row>
    <row r="5" spans="2:152" s="9" customFormat="1" ht="63.75" customHeight="1" thickBot="1">
      <c r="B5" s="230" t="s">
        <v>4</v>
      </c>
      <c r="C5" s="230" t="s">
        <v>5</v>
      </c>
      <c r="D5" s="231" t="s">
        <v>6</v>
      </c>
      <c r="E5" s="231" t="s">
        <v>7</v>
      </c>
      <c r="F5" s="455" t="s">
        <v>10</v>
      </c>
      <c r="G5" s="456"/>
      <c r="H5" s="456"/>
      <c r="I5" s="457"/>
      <c r="J5" s="455" t="s">
        <v>11</v>
      </c>
      <c r="K5" s="456"/>
      <c r="L5" s="456"/>
      <c r="M5" s="457"/>
      <c r="N5" s="455" t="s">
        <v>12</v>
      </c>
      <c r="O5" s="456"/>
      <c r="P5" s="456"/>
      <c r="Q5" s="457"/>
      <c r="R5" s="455" t="s">
        <v>13</v>
      </c>
      <c r="S5" s="456"/>
      <c r="T5" s="456"/>
      <c r="U5" s="457"/>
      <c r="V5" s="455" t="s">
        <v>14</v>
      </c>
      <c r="W5" s="456"/>
      <c r="X5" s="456"/>
      <c r="Y5" s="457"/>
      <c r="Z5" s="455" t="s">
        <v>15</v>
      </c>
      <c r="AA5" s="456"/>
      <c r="AB5" s="456"/>
      <c r="AC5" s="457"/>
      <c r="AD5" s="455" t="s">
        <v>16</v>
      </c>
      <c r="AE5" s="456"/>
      <c r="AF5" s="456"/>
      <c r="AG5" s="457"/>
      <c r="AH5" s="455" t="s">
        <v>17</v>
      </c>
      <c r="AI5" s="456"/>
      <c r="AJ5" s="456"/>
      <c r="AK5" s="457"/>
      <c r="AL5" s="455" t="s">
        <v>18</v>
      </c>
      <c r="AM5" s="456"/>
      <c r="AN5" s="456"/>
      <c r="AO5" s="457"/>
      <c r="AP5" s="455" t="s">
        <v>19</v>
      </c>
      <c r="AQ5" s="456"/>
      <c r="AR5" s="456"/>
      <c r="AS5" s="457"/>
      <c r="AT5" s="455" t="s">
        <v>20</v>
      </c>
      <c r="AU5" s="456"/>
      <c r="AV5" s="456"/>
      <c r="AW5" s="457"/>
      <c r="AX5" s="455" t="s">
        <v>166</v>
      </c>
      <c r="AY5" s="456"/>
      <c r="AZ5" s="456"/>
      <c r="BA5" s="457"/>
      <c r="BB5" s="455" t="s">
        <v>167</v>
      </c>
      <c r="BC5" s="456"/>
      <c r="BD5" s="456"/>
      <c r="BE5" s="457"/>
      <c r="BF5" s="455" t="s">
        <v>168</v>
      </c>
      <c r="BG5" s="456"/>
      <c r="BH5" s="456"/>
      <c r="BI5" s="457"/>
      <c r="BJ5" s="455" t="s">
        <v>169</v>
      </c>
      <c r="BK5" s="456"/>
      <c r="BL5" s="456"/>
      <c r="BM5" s="457"/>
      <c r="BN5" s="455" t="s">
        <v>174</v>
      </c>
      <c r="BO5" s="456"/>
      <c r="BP5" s="456"/>
      <c r="BQ5" s="457"/>
      <c r="BR5" s="455" t="s">
        <v>193</v>
      </c>
      <c r="BS5" s="456"/>
      <c r="BT5" s="456"/>
      <c r="BU5" s="457"/>
      <c r="BV5" s="455" t="s">
        <v>194</v>
      </c>
      <c r="BW5" s="456"/>
      <c r="BX5" s="456"/>
      <c r="BY5" s="457"/>
      <c r="BZ5" s="455" t="s">
        <v>197</v>
      </c>
      <c r="CA5" s="456"/>
      <c r="CB5" s="456"/>
      <c r="CC5" s="457"/>
      <c r="CD5" s="455" t="s">
        <v>198</v>
      </c>
      <c r="CE5" s="456"/>
      <c r="CF5" s="456"/>
      <c r="CG5" s="457"/>
      <c r="CH5" s="455" t="s">
        <v>199</v>
      </c>
      <c r="CI5" s="456"/>
      <c r="CJ5" s="456"/>
      <c r="CK5" s="457"/>
      <c r="CL5" s="455" t="s">
        <v>200</v>
      </c>
      <c r="CM5" s="456"/>
      <c r="CN5" s="456"/>
      <c r="CO5" s="457"/>
      <c r="CP5" s="455" t="s">
        <v>201</v>
      </c>
      <c r="CQ5" s="456"/>
      <c r="CR5" s="456"/>
      <c r="CS5" s="457"/>
      <c r="CT5" s="455" t="s">
        <v>202</v>
      </c>
      <c r="CU5" s="456"/>
      <c r="CV5" s="456"/>
      <c r="CW5" s="457"/>
      <c r="CX5" s="455" t="s">
        <v>203</v>
      </c>
      <c r="CY5" s="456"/>
      <c r="CZ5" s="456"/>
      <c r="DA5" s="457"/>
      <c r="DB5" s="455" t="s">
        <v>220</v>
      </c>
      <c r="DC5" s="456"/>
      <c r="DD5" s="456"/>
      <c r="DE5" s="457"/>
      <c r="DF5" s="455" t="s">
        <v>227</v>
      </c>
      <c r="DG5" s="456"/>
      <c r="DH5" s="456"/>
      <c r="DI5" s="457"/>
      <c r="DJ5" s="455" t="s">
        <v>228</v>
      </c>
      <c r="DK5" s="456"/>
      <c r="DL5" s="456"/>
      <c r="DM5" s="457"/>
      <c r="DN5" s="455" t="s">
        <v>229</v>
      </c>
      <c r="DO5" s="456"/>
      <c r="DP5" s="456"/>
      <c r="DQ5" s="457"/>
      <c r="DR5" s="455" t="s">
        <v>230</v>
      </c>
      <c r="DS5" s="456"/>
      <c r="DT5" s="456"/>
      <c r="DU5" s="457"/>
      <c r="DV5" s="455" t="s">
        <v>231</v>
      </c>
      <c r="DW5" s="456"/>
      <c r="DX5" s="456"/>
      <c r="DY5" s="457"/>
      <c r="DZ5" s="455" t="s">
        <v>232</v>
      </c>
      <c r="EA5" s="456"/>
      <c r="EB5" s="456"/>
      <c r="EC5" s="457"/>
      <c r="ED5" s="455" t="s">
        <v>233</v>
      </c>
      <c r="EE5" s="456"/>
      <c r="EF5" s="456"/>
      <c r="EG5" s="457"/>
      <c r="EH5" s="455" t="s">
        <v>234</v>
      </c>
      <c r="EI5" s="456"/>
      <c r="EJ5" s="456"/>
      <c r="EK5" s="457"/>
      <c r="EL5" s="455" t="s">
        <v>235</v>
      </c>
      <c r="EM5" s="456"/>
      <c r="EN5" s="456"/>
      <c r="EO5" s="457"/>
      <c r="EP5" s="455" t="s">
        <v>236</v>
      </c>
      <c r="EQ5" s="456"/>
      <c r="ER5" s="456"/>
      <c r="ES5" s="457"/>
      <c r="ET5" s="33" t="s">
        <v>38</v>
      </c>
      <c r="EU5" s="33" t="s">
        <v>39</v>
      </c>
      <c r="EV5" s="33" t="s">
        <v>40</v>
      </c>
    </row>
    <row r="6" spans="2:152" s="43" customFormat="1" ht="29.25" customHeight="1">
      <c r="B6" s="34"/>
      <c r="C6" s="384" t="s">
        <v>41</v>
      </c>
      <c r="D6" s="35"/>
      <c r="E6" s="36"/>
      <c r="F6" s="27"/>
      <c r="G6" s="28"/>
      <c r="H6" s="28"/>
      <c r="I6" s="29"/>
      <c r="J6" s="27"/>
      <c r="K6" s="28"/>
      <c r="L6" s="28"/>
      <c r="M6" s="29"/>
      <c r="N6" s="27"/>
      <c r="O6" s="28"/>
      <c r="P6" s="28"/>
      <c r="Q6" s="29"/>
      <c r="R6" s="27"/>
      <c r="S6" s="28"/>
      <c r="T6" s="28"/>
      <c r="U6" s="29"/>
      <c r="V6" s="27"/>
      <c r="W6" s="28"/>
      <c r="X6" s="28"/>
      <c r="Y6" s="29"/>
      <c r="Z6" s="27"/>
      <c r="AA6" s="28"/>
      <c r="AB6" s="28"/>
      <c r="AC6" s="29"/>
      <c r="AD6" s="27"/>
      <c r="AE6" s="28"/>
      <c r="AF6" s="28"/>
      <c r="AG6" s="29"/>
      <c r="AH6" s="27"/>
      <c r="AI6" s="28"/>
      <c r="AJ6" s="28"/>
      <c r="AK6" s="29"/>
      <c r="AL6" s="27"/>
      <c r="AM6" s="28"/>
      <c r="AN6" s="28"/>
      <c r="AO6" s="29"/>
      <c r="AP6" s="27"/>
      <c r="AQ6" s="28"/>
      <c r="AR6" s="28"/>
      <c r="AS6" s="29"/>
      <c r="AT6" s="27"/>
      <c r="AU6" s="28"/>
      <c r="AV6" s="28"/>
      <c r="AW6" s="29"/>
      <c r="AX6" s="27"/>
      <c r="AY6" s="28"/>
      <c r="AZ6" s="28"/>
      <c r="BA6" s="29"/>
      <c r="BB6" s="27"/>
      <c r="BC6" s="28"/>
      <c r="BD6" s="28"/>
      <c r="BE6" s="29"/>
      <c r="BF6" s="27"/>
      <c r="BG6" s="28"/>
      <c r="BH6" s="28"/>
      <c r="BI6" s="29"/>
      <c r="BJ6" s="27"/>
      <c r="BK6" s="28"/>
      <c r="BL6" s="28"/>
      <c r="BM6" s="29"/>
      <c r="BN6" s="27"/>
      <c r="BO6" s="28"/>
      <c r="BP6" s="28"/>
      <c r="BQ6" s="29"/>
      <c r="BR6" s="27"/>
      <c r="BS6" s="28"/>
      <c r="BT6" s="28"/>
      <c r="BU6" s="29"/>
      <c r="BV6" s="27"/>
      <c r="BW6" s="28"/>
      <c r="BX6" s="28"/>
      <c r="BY6" s="29"/>
      <c r="BZ6" s="27"/>
      <c r="CA6" s="28"/>
      <c r="CB6" s="28"/>
      <c r="CC6" s="29"/>
      <c r="CD6" s="27"/>
      <c r="CE6" s="28"/>
      <c r="CF6" s="28"/>
      <c r="CG6" s="29"/>
      <c r="CH6" s="27"/>
      <c r="CI6" s="28"/>
      <c r="CJ6" s="28"/>
      <c r="CK6" s="29"/>
      <c r="CL6" s="27"/>
      <c r="CM6" s="28"/>
      <c r="CN6" s="28"/>
      <c r="CO6" s="29"/>
      <c r="CP6" s="27"/>
      <c r="CQ6" s="28"/>
      <c r="CR6" s="28"/>
      <c r="CS6" s="29"/>
      <c r="CT6" s="27"/>
      <c r="CU6" s="28"/>
      <c r="CV6" s="28"/>
      <c r="CW6" s="29"/>
      <c r="CX6" s="27"/>
      <c r="CY6" s="28"/>
      <c r="CZ6" s="28"/>
      <c r="DA6" s="29"/>
      <c r="DB6" s="27"/>
      <c r="DC6" s="28"/>
      <c r="DD6" s="28"/>
      <c r="DE6" s="29"/>
      <c r="DF6" s="27"/>
      <c r="DG6" s="28"/>
      <c r="DH6" s="28"/>
      <c r="DI6" s="29"/>
      <c r="DJ6" s="27"/>
      <c r="DK6" s="28"/>
      <c r="DL6" s="28"/>
      <c r="DM6" s="29"/>
      <c r="DN6" s="27"/>
      <c r="DO6" s="28"/>
      <c r="DP6" s="28"/>
      <c r="DQ6" s="29"/>
      <c r="DR6" s="27"/>
      <c r="DS6" s="28"/>
      <c r="DT6" s="28"/>
      <c r="DU6" s="29"/>
      <c r="DV6" s="27"/>
      <c r="DW6" s="28"/>
      <c r="DX6" s="28"/>
      <c r="DY6" s="29"/>
      <c r="DZ6" s="27"/>
      <c r="EA6" s="28"/>
      <c r="EB6" s="28"/>
      <c r="EC6" s="29"/>
      <c r="ED6" s="27"/>
      <c r="EE6" s="28"/>
      <c r="EF6" s="28"/>
      <c r="EG6" s="29"/>
      <c r="EH6" s="27"/>
      <c r="EI6" s="28"/>
      <c r="EJ6" s="28"/>
      <c r="EK6" s="29"/>
      <c r="EL6" s="27"/>
      <c r="EM6" s="28"/>
      <c r="EN6" s="28"/>
      <c r="EO6" s="29"/>
      <c r="EP6" s="27"/>
      <c r="EQ6" s="28"/>
      <c r="ER6" s="28"/>
      <c r="ES6" s="29"/>
      <c r="ET6" s="42"/>
      <c r="EU6" s="12"/>
      <c r="EV6" s="42"/>
    </row>
    <row r="7" spans="2:152" s="43" customFormat="1" ht="29.25" customHeight="1">
      <c r="B7" s="495"/>
      <c r="C7" s="384"/>
      <c r="D7" s="35"/>
      <c r="E7" s="36"/>
      <c r="F7" s="27"/>
      <c r="G7" s="28"/>
      <c r="H7" s="28"/>
      <c r="I7" s="29"/>
      <c r="J7" s="27"/>
      <c r="K7" s="28"/>
      <c r="L7" s="28"/>
      <c r="M7" s="29"/>
      <c r="N7" s="27"/>
      <c r="O7" s="28"/>
      <c r="P7" s="28"/>
      <c r="Q7" s="29"/>
      <c r="R7" s="27"/>
      <c r="S7" s="28"/>
      <c r="T7" s="28"/>
      <c r="U7" s="29"/>
      <c r="V7" s="27"/>
      <c r="W7" s="28"/>
      <c r="X7" s="28"/>
      <c r="Y7" s="29"/>
      <c r="Z7" s="27"/>
      <c r="AA7" s="28"/>
      <c r="AB7" s="28"/>
      <c r="AC7" s="29"/>
      <c r="AD7" s="27"/>
      <c r="AE7" s="28"/>
      <c r="AF7" s="28"/>
      <c r="AG7" s="29"/>
      <c r="AH7" s="27"/>
      <c r="AI7" s="28"/>
      <c r="AJ7" s="28"/>
      <c r="AK7" s="29"/>
      <c r="AL7" s="27"/>
      <c r="AM7" s="28"/>
      <c r="AN7" s="28"/>
      <c r="AO7" s="29"/>
      <c r="AP7" s="27"/>
      <c r="AQ7" s="28"/>
      <c r="AR7" s="28"/>
      <c r="AS7" s="29"/>
      <c r="AT7" s="27"/>
      <c r="AU7" s="28"/>
      <c r="AV7" s="28"/>
      <c r="AW7" s="29"/>
      <c r="AX7" s="27"/>
      <c r="AY7" s="28"/>
      <c r="AZ7" s="28"/>
      <c r="BA7" s="29"/>
      <c r="BB7" s="27"/>
      <c r="BC7" s="28"/>
      <c r="BD7" s="28"/>
      <c r="BE7" s="29"/>
      <c r="BF7" s="27"/>
      <c r="BG7" s="28"/>
      <c r="BH7" s="28"/>
      <c r="BI7" s="29"/>
      <c r="BJ7" s="27"/>
      <c r="BK7" s="28"/>
      <c r="BL7" s="28"/>
      <c r="BM7" s="29"/>
      <c r="BN7" s="27"/>
      <c r="BO7" s="28"/>
      <c r="BP7" s="28"/>
      <c r="BQ7" s="29"/>
      <c r="BR7" s="27"/>
      <c r="BS7" s="28"/>
      <c r="BT7" s="28"/>
      <c r="BU7" s="29"/>
      <c r="BV7" s="27"/>
      <c r="BW7" s="28"/>
      <c r="BX7" s="28"/>
      <c r="BY7" s="29"/>
      <c r="BZ7" s="27"/>
      <c r="CA7" s="28"/>
      <c r="CB7" s="28"/>
      <c r="CC7" s="29"/>
      <c r="CD7" s="27"/>
      <c r="CE7" s="28"/>
      <c r="CF7" s="28"/>
      <c r="CG7" s="29"/>
      <c r="CH7" s="27"/>
      <c r="CI7" s="28"/>
      <c r="CJ7" s="28"/>
      <c r="CK7" s="29"/>
      <c r="CL7" s="27"/>
      <c r="CM7" s="28"/>
      <c r="CN7" s="28"/>
      <c r="CO7" s="29"/>
      <c r="CP7" s="27"/>
      <c r="CQ7" s="28"/>
      <c r="CR7" s="28"/>
      <c r="CS7" s="29"/>
      <c r="CT7" s="27"/>
      <c r="CU7" s="28"/>
      <c r="CV7" s="28"/>
      <c r="CW7" s="29"/>
      <c r="CX7" s="27"/>
      <c r="CY7" s="28"/>
      <c r="CZ7" s="28"/>
      <c r="DA7" s="29"/>
      <c r="DB7" s="27"/>
      <c r="DC7" s="28"/>
      <c r="DD7" s="28"/>
      <c r="DE7" s="29"/>
      <c r="DF7" s="27"/>
      <c r="DG7" s="28"/>
      <c r="DH7" s="28"/>
      <c r="DI7" s="29"/>
      <c r="DJ7" s="27"/>
      <c r="DK7" s="28"/>
      <c r="DL7" s="28"/>
      <c r="DM7" s="29"/>
      <c r="DN7" s="27"/>
      <c r="DO7" s="28"/>
      <c r="DP7" s="28"/>
      <c r="DQ7" s="29"/>
      <c r="DR7" s="27"/>
      <c r="DS7" s="28"/>
      <c r="DT7" s="28"/>
      <c r="DU7" s="29"/>
      <c r="DV7" s="27"/>
      <c r="DW7" s="28"/>
      <c r="DX7" s="28"/>
      <c r="DY7" s="29"/>
      <c r="DZ7" s="27"/>
      <c r="EA7" s="28"/>
      <c r="EB7" s="28"/>
      <c r="EC7" s="29"/>
      <c r="ED7" s="27"/>
      <c r="EE7" s="28"/>
      <c r="EF7" s="28"/>
      <c r="EG7" s="29"/>
      <c r="EH7" s="27"/>
      <c r="EI7" s="28"/>
      <c r="EJ7" s="28"/>
      <c r="EK7" s="29"/>
      <c r="EL7" s="27"/>
      <c r="EM7" s="28"/>
      <c r="EN7" s="28"/>
      <c r="EO7" s="29"/>
      <c r="EP7" s="27"/>
      <c r="EQ7" s="28"/>
      <c r="ER7" s="28"/>
      <c r="ES7" s="29"/>
      <c r="ET7" s="42"/>
      <c r="EU7" s="12"/>
      <c r="EV7" s="42"/>
    </row>
    <row r="8" spans="2:152" s="43" customFormat="1" ht="29.25" customHeight="1">
      <c r="B8" s="495"/>
      <c r="C8" s="384" t="str">
        <f>+schedule_ARAS!C12</f>
        <v>Kurtuluş Kara</v>
      </c>
      <c r="D8" s="310" t="s">
        <v>153</v>
      </c>
      <c r="E8" s="496">
        <f>+schedule_ARAS!E12</f>
        <v>1</v>
      </c>
      <c r="F8" s="371"/>
      <c r="G8" s="374"/>
      <c r="H8" s="374"/>
      <c r="I8" s="442"/>
      <c r="J8" s="371"/>
      <c r="K8" s="374"/>
      <c r="L8" s="374"/>
      <c r="M8" s="442"/>
      <c r="N8" s="371">
        <f t="shared" ref="N8:N18" si="0">+M8</f>
        <v>0</v>
      </c>
      <c r="O8" s="374">
        <f t="shared" ref="O8:O18" si="1">+M8</f>
        <v>0</v>
      </c>
      <c r="P8" s="374">
        <f t="shared" ref="P8:P18" si="2">+M8</f>
        <v>0</v>
      </c>
      <c r="Q8" s="442">
        <f t="shared" ref="Q8:Q18" si="3">+M8</f>
        <v>0</v>
      </c>
      <c r="R8" s="371">
        <f t="shared" ref="R8:R21" si="4">+Q8</f>
        <v>0</v>
      </c>
      <c r="S8" s="374">
        <f t="shared" ref="S8:S21" si="5">+Q8</f>
        <v>0</v>
      </c>
      <c r="T8" s="374">
        <f t="shared" ref="T8:T21" si="6">+Q8</f>
        <v>0</v>
      </c>
      <c r="U8" s="442">
        <f t="shared" ref="U8:U21" si="7">+Q8</f>
        <v>0</v>
      </c>
      <c r="V8" s="371">
        <f t="shared" ref="V8:V21" si="8">+U8</f>
        <v>0</v>
      </c>
      <c r="W8" s="374">
        <f t="shared" ref="W8:W21" si="9">+U8</f>
        <v>0</v>
      </c>
      <c r="X8" s="374">
        <f t="shared" ref="X8:X21" si="10">+U8</f>
        <v>0</v>
      </c>
      <c r="Y8" s="442">
        <f t="shared" ref="Y8:Y21" si="11">+U8</f>
        <v>0</v>
      </c>
      <c r="Z8" s="371">
        <f t="shared" ref="Z8:Z21" si="12">+Y8</f>
        <v>0</v>
      </c>
      <c r="AA8" s="374">
        <f t="shared" ref="AA8:AA21" si="13">+Y8</f>
        <v>0</v>
      </c>
      <c r="AB8" s="374">
        <f t="shared" ref="AB8:AB21" si="14">+Y8</f>
        <v>0</v>
      </c>
      <c r="AC8" s="442">
        <f t="shared" ref="AC8:AC21" si="15">+Y8</f>
        <v>0</v>
      </c>
      <c r="AD8" s="371">
        <f>+E8</f>
        <v>1</v>
      </c>
      <c r="AE8" s="374">
        <f>+E8</f>
        <v>1</v>
      </c>
      <c r="AF8" s="374">
        <f>+E8</f>
        <v>1</v>
      </c>
      <c r="AG8" s="442">
        <f>+E8</f>
        <v>1</v>
      </c>
      <c r="AH8" s="371">
        <f t="shared" ref="AH8:AH21" si="16">+AG8</f>
        <v>1</v>
      </c>
      <c r="AI8" s="374">
        <f t="shared" ref="AI8:AI21" si="17">+AG8</f>
        <v>1</v>
      </c>
      <c r="AJ8" s="374">
        <f t="shared" ref="AJ8:AJ21" si="18">+AG8</f>
        <v>1</v>
      </c>
      <c r="AK8" s="442">
        <f t="shared" ref="AK8:AK21" si="19">+AG8</f>
        <v>1</v>
      </c>
      <c r="AL8" s="371">
        <f t="shared" ref="AL8:AL21" si="20">+AK8</f>
        <v>1</v>
      </c>
      <c r="AM8" s="374">
        <f t="shared" ref="AM8:AM21" si="21">+AK8</f>
        <v>1</v>
      </c>
      <c r="AN8" s="374">
        <f t="shared" ref="AN8:AN21" si="22">+AK8</f>
        <v>1</v>
      </c>
      <c r="AO8" s="442">
        <f t="shared" ref="AO8:AO21" si="23">+AK8</f>
        <v>1</v>
      </c>
      <c r="AP8" s="371">
        <f t="shared" ref="AP8:AP21" si="24">+AO8</f>
        <v>1</v>
      </c>
      <c r="AQ8" s="374">
        <f t="shared" ref="AQ8:AQ21" si="25">+AO8</f>
        <v>1</v>
      </c>
      <c r="AR8" s="374">
        <f t="shared" ref="AR8:AR21" si="26">+AO8</f>
        <v>1</v>
      </c>
      <c r="AS8" s="442">
        <f t="shared" ref="AS8:AS21" si="27">+AO8</f>
        <v>1</v>
      </c>
      <c r="AT8" s="371">
        <f t="shared" ref="AT8:AT21" si="28">+AS8</f>
        <v>1</v>
      </c>
      <c r="AU8" s="374">
        <f t="shared" ref="AU8:AU21" si="29">+AS8</f>
        <v>1</v>
      </c>
      <c r="AV8" s="374">
        <f t="shared" ref="AV8:AV21" si="30">+AS8</f>
        <v>1</v>
      </c>
      <c r="AW8" s="442">
        <f t="shared" ref="AW8:AW21" si="31">+AS8</f>
        <v>1</v>
      </c>
      <c r="AX8" s="371">
        <f t="shared" ref="AX8:AX21" si="32">+AW8</f>
        <v>1</v>
      </c>
      <c r="AY8" s="374">
        <f t="shared" ref="AY8:AY21" si="33">+AW8</f>
        <v>1</v>
      </c>
      <c r="AZ8" s="374">
        <f t="shared" ref="AZ8:AZ21" si="34">+AW8</f>
        <v>1</v>
      </c>
      <c r="BA8" s="442">
        <f t="shared" ref="BA8:BA21" si="35">+AW8</f>
        <v>1</v>
      </c>
      <c r="BB8" s="371">
        <f t="shared" ref="BB8:BB21" si="36">+BA8</f>
        <v>1</v>
      </c>
      <c r="BC8" s="374">
        <f t="shared" ref="BC8:BC21" si="37">+BA8</f>
        <v>1</v>
      </c>
      <c r="BD8" s="374">
        <f t="shared" ref="BD8:BD21" si="38">+BA8</f>
        <v>1</v>
      </c>
      <c r="BE8" s="442">
        <f t="shared" ref="BE8:BE21" si="39">+BA8</f>
        <v>1</v>
      </c>
      <c r="BF8" s="371">
        <f t="shared" ref="BF8:BF21" si="40">+BE8</f>
        <v>1</v>
      </c>
      <c r="BG8" s="374">
        <f t="shared" ref="BG8:BG21" si="41">+BE8</f>
        <v>1</v>
      </c>
      <c r="BH8" s="374">
        <f t="shared" ref="BH8:BH21" si="42">+BE8</f>
        <v>1</v>
      </c>
      <c r="BI8" s="442">
        <f t="shared" ref="BI8:BI21" si="43">+BE8</f>
        <v>1</v>
      </c>
      <c r="BJ8" s="371">
        <f t="shared" ref="BJ8:BJ21" si="44">+BI8</f>
        <v>1</v>
      </c>
      <c r="BK8" s="374">
        <f t="shared" ref="BK8:BK21" si="45">+BI8</f>
        <v>1</v>
      </c>
      <c r="BL8" s="374">
        <f t="shared" ref="BL8:BL21" si="46">+BI8</f>
        <v>1</v>
      </c>
      <c r="BM8" s="442">
        <f t="shared" ref="BM8:BM21" si="47">+BI8</f>
        <v>1</v>
      </c>
      <c r="BN8" s="371">
        <f t="shared" ref="BN8:BN21" si="48">+BM8</f>
        <v>1</v>
      </c>
      <c r="BO8" s="374">
        <f t="shared" ref="BO8:BO21" si="49">+BM8</f>
        <v>1</v>
      </c>
      <c r="BP8" s="374">
        <f t="shared" ref="BP8:BP21" si="50">+BM8</f>
        <v>1</v>
      </c>
      <c r="BQ8" s="442">
        <f t="shared" ref="BQ8:BQ21" si="51">+BM8</f>
        <v>1</v>
      </c>
      <c r="BR8" s="371">
        <f t="shared" ref="BR8:BR21" si="52">+BQ8</f>
        <v>1</v>
      </c>
      <c r="BS8" s="374">
        <f t="shared" ref="BS8:BS21" si="53">+BQ8</f>
        <v>1</v>
      </c>
      <c r="BT8" s="374">
        <f t="shared" ref="BT8:BT21" si="54">+BQ8</f>
        <v>1</v>
      </c>
      <c r="BU8" s="442">
        <f t="shared" ref="BU8:BU21" si="55">+BQ8</f>
        <v>1</v>
      </c>
      <c r="BV8" s="371">
        <f t="shared" ref="BV8:BV21" si="56">+BU8</f>
        <v>1</v>
      </c>
      <c r="BW8" s="374">
        <f t="shared" ref="BW8:BW21" si="57">+BU8</f>
        <v>1</v>
      </c>
      <c r="BX8" s="374">
        <f t="shared" ref="BX8:BX21" si="58">+BU8</f>
        <v>1</v>
      </c>
      <c r="BY8" s="442">
        <f t="shared" ref="BY8:BY21" si="59">+BU8</f>
        <v>1</v>
      </c>
      <c r="BZ8" s="371">
        <f t="shared" ref="BZ8:BZ21" si="60">+BY8</f>
        <v>1</v>
      </c>
      <c r="CA8" s="374">
        <f t="shared" ref="CA8:CA21" si="61">+BY8</f>
        <v>1</v>
      </c>
      <c r="CB8" s="374">
        <f t="shared" ref="CB8:CB21" si="62">+BY8</f>
        <v>1</v>
      </c>
      <c r="CC8" s="442">
        <f t="shared" ref="CC8:CC21" si="63">+BY8</f>
        <v>1</v>
      </c>
      <c r="CD8" s="371">
        <f t="shared" ref="CD8:CD21" si="64">+CC8</f>
        <v>1</v>
      </c>
      <c r="CE8" s="374">
        <f t="shared" ref="CE8:CE21" si="65">+CC8</f>
        <v>1</v>
      </c>
      <c r="CF8" s="374">
        <f t="shared" ref="CF8:CF21" si="66">+CC8</f>
        <v>1</v>
      </c>
      <c r="CG8" s="442">
        <f t="shared" ref="CG8:CG21" si="67">+CC8</f>
        <v>1</v>
      </c>
      <c r="CH8" s="371">
        <f t="shared" ref="CH8:CH21" si="68">+CG8</f>
        <v>1</v>
      </c>
      <c r="CI8" s="374">
        <f t="shared" ref="CI8:CI21" si="69">+CG8</f>
        <v>1</v>
      </c>
      <c r="CJ8" s="374">
        <f t="shared" ref="CJ8:CJ21" si="70">+CG8</f>
        <v>1</v>
      </c>
      <c r="CK8" s="442">
        <f t="shared" ref="CK8:CK21" si="71">+CG8</f>
        <v>1</v>
      </c>
      <c r="CL8" s="371">
        <f t="shared" ref="CL8:CL21" si="72">+CK8</f>
        <v>1</v>
      </c>
      <c r="CM8" s="374">
        <f t="shared" ref="CM8:CM21" si="73">+CK8</f>
        <v>1</v>
      </c>
      <c r="CN8" s="374">
        <f t="shared" ref="CN8:CN21" si="74">+CK8</f>
        <v>1</v>
      </c>
      <c r="CO8" s="442">
        <f t="shared" ref="CO8:CO21" si="75">+CK8</f>
        <v>1</v>
      </c>
      <c r="CP8" s="371">
        <f t="shared" ref="CP8:CP21" si="76">+CO8</f>
        <v>1</v>
      </c>
      <c r="CQ8" s="374">
        <f t="shared" ref="CQ8:CQ21" si="77">+CO8</f>
        <v>1</v>
      </c>
      <c r="CR8" s="374">
        <f t="shared" ref="CR8:CR21" si="78">+CO8</f>
        <v>1</v>
      </c>
      <c r="CS8" s="442">
        <f t="shared" ref="CS8:CS21" si="79">+CO8</f>
        <v>1</v>
      </c>
      <c r="CT8" s="371">
        <f t="shared" ref="CT8:CT21" si="80">+CS8</f>
        <v>1</v>
      </c>
      <c r="CU8" s="374">
        <f t="shared" ref="CU8:CU21" si="81">+CS8</f>
        <v>1</v>
      </c>
      <c r="CV8" s="374">
        <f t="shared" ref="CV8:CV21" si="82">+CS8</f>
        <v>1</v>
      </c>
      <c r="CW8" s="442">
        <f t="shared" ref="CW8:CW21" si="83">+CS8</f>
        <v>1</v>
      </c>
      <c r="CX8" s="371">
        <f t="shared" ref="CX8:CX21" si="84">+CW8</f>
        <v>1</v>
      </c>
      <c r="CY8" s="374">
        <f t="shared" ref="CY8:CY21" si="85">+CW8</f>
        <v>1</v>
      </c>
      <c r="CZ8" s="374">
        <f t="shared" ref="CZ8:CZ21" si="86">+CW8</f>
        <v>1</v>
      </c>
      <c r="DA8" s="442">
        <f t="shared" ref="DA8:DA21" si="87">+CW8</f>
        <v>1</v>
      </c>
      <c r="DB8" s="371">
        <f t="shared" ref="DB8:DB21" si="88">+DA8</f>
        <v>1</v>
      </c>
      <c r="DC8" s="374">
        <f t="shared" ref="DC8:DC21" si="89">+DA8</f>
        <v>1</v>
      </c>
      <c r="DD8" s="374">
        <f t="shared" ref="DD8:DD21" si="90">+DA8</f>
        <v>1</v>
      </c>
      <c r="DE8" s="442">
        <f t="shared" ref="DE8:DE21" si="91">+DA8</f>
        <v>1</v>
      </c>
      <c r="DF8" s="371">
        <f t="shared" ref="DF8:DF21" si="92">+DE8</f>
        <v>1</v>
      </c>
      <c r="DG8" s="374">
        <f t="shared" ref="DG8:DG21" si="93">+DE8</f>
        <v>1</v>
      </c>
      <c r="DH8" s="374">
        <f t="shared" ref="DH8:DH21" si="94">+DE8</f>
        <v>1</v>
      </c>
      <c r="DI8" s="442">
        <f t="shared" ref="DI8:DI21" si="95">+DE8</f>
        <v>1</v>
      </c>
      <c r="DJ8" s="371">
        <f t="shared" ref="DJ8:DJ21" si="96">+DI8</f>
        <v>1</v>
      </c>
      <c r="DK8" s="374">
        <f t="shared" ref="DK8:DK21" si="97">+DI8</f>
        <v>1</v>
      </c>
      <c r="DL8" s="374">
        <f t="shared" ref="DL8:DL21" si="98">+DI8</f>
        <v>1</v>
      </c>
      <c r="DM8" s="442">
        <f t="shared" ref="DM8:DM21" si="99">+DI8</f>
        <v>1</v>
      </c>
      <c r="DN8" s="371">
        <f t="shared" ref="DN8:DN21" si="100">+DM8</f>
        <v>1</v>
      </c>
      <c r="DO8" s="374">
        <f t="shared" ref="DO8:DO21" si="101">+DM8</f>
        <v>1</v>
      </c>
      <c r="DP8" s="374">
        <f t="shared" ref="DP8:DP21" si="102">+DM8</f>
        <v>1</v>
      </c>
      <c r="DQ8" s="442">
        <f t="shared" ref="DQ8:DQ21" si="103">+DM8</f>
        <v>1</v>
      </c>
      <c r="DR8" s="371">
        <f t="shared" ref="DR8:DR21" si="104">+DQ8</f>
        <v>1</v>
      </c>
      <c r="DS8" s="374">
        <f t="shared" ref="DS8:DS21" si="105">+DQ8</f>
        <v>1</v>
      </c>
      <c r="DT8" s="374">
        <f t="shared" ref="DT8:DT21" si="106">+DQ8</f>
        <v>1</v>
      </c>
      <c r="DU8" s="442">
        <f t="shared" ref="DU8:DU21" si="107">+DQ8</f>
        <v>1</v>
      </c>
      <c r="DV8" s="371">
        <f t="shared" ref="DV8:DV21" si="108">+DU8</f>
        <v>1</v>
      </c>
      <c r="DW8" s="374">
        <f t="shared" ref="DW8:DW21" si="109">+DU8</f>
        <v>1</v>
      </c>
      <c r="DX8" s="374">
        <f t="shared" ref="DX8:DX21" si="110">+DU8</f>
        <v>1</v>
      </c>
      <c r="DY8" s="442">
        <f t="shared" ref="DY8:DY21" si="111">+DU8</f>
        <v>1</v>
      </c>
      <c r="DZ8" s="371">
        <f t="shared" ref="DZ8:DZ21" si="112">+DY8</f>
        <v>1</v>
      </c>
      <c r="EA8" s="374">
        <f t="shared" ref="EA8:EA21" si="113">+DY8</f>
        <v>1</v>
      </c>
      <c r="EB8" s="374">
        <f t="shared" ref="EB8:EB21" si="114">+DY8</f>
        <v>1</v>
      </c>
      <c r="EC8" s="442">
        <f t="shared" ref="EC8:EC21" si="115">+DY8</f>
        <v>1</v>
      </c>
      <c r="ED8" s="371">
        <f t="shared" ref="ED8:ED21" si="116">+EC8</f>
        <v>1</v>
      </c>
      <c r="EE8" s="374">
        <f t="shared" ref="EE8:EE21" si="117">+EC8</f>
        <v>1</v>
      </c>
      <c r="EF8" s="374">
        <f t="shared" ref="EF8:EF21" si="118">+EC8</f>
        <v>1</v>
      </c>
      <c r="EG8" s="442">
        <f t="shared" ref="EG8:EG21" si="119">+EC8</f>
        <v>1</v>
      </c>
      <c r="EH8" s="371">
        <f t="shared" ref="EH8:EH21" si="120">+EG8</f>
        <v>1</v>
      </c>
      <c r="EI8" s="374">
        <f t="shared" ref="EI8:EI21" si="121">+EG8</f>
        <v>1</v>
      </c>
      <c r="EJ8" s="374">
        <f t="shared" ref="EJ8:EJ21" si="122">+EG8</f>
        <v>1</v>
      </c>
      <c r="EK8" s="442">
        <f t="shared" ref="EK8:EK21" si="123">+EG8</f>
        <v>1</v>
      </c>
      <c r="EL8" s="371">
        <f t="shared" ref="EL8:EL21" si="124">+EK8</f>
        <v>1</v>
      </c>
      <c r="EM8" s="374">
        <f t="shared" ref="EM8:EM21" si="125">+EK8</f>
        <v>1</v>
      </c>
      <c r="EN8" s="374">
        <f t="shared" ref="EN8:EN21" si="126">+EK8</f>
        <v>1</v>
      </c>
      <c r="EO8" s="442">
        <f t="shared" ref="EO8:EO21" si="127">+EK8</f>
        <v>1</v>
      </c>
      <c r="EP8" s="371">
        <f t="shared" ref="EP8:EP21" si="128">+EO8</f>
        <v>1</v>
      </c>
      <c r="EQ8" s="374">
        <f t="shared" ref="EQ8:EQ21" si="129">+EO8</f>
        <v>1</v>
      </c>
      <c r="ER8" s="374">
        <f t="shared" ref="ER8:ER21" si="130">+EO8</f>
        <v>1</v>
      </c>
      <c r="ES8" s="442">
        <f t="shared" ref="ES8:ES21" si="131">+EO8</f>
        <v>1</v>
      </c>
      <c r="ET8" s="42">
        <f>+schedule_ARAS!EW12</f>
        <v>30</v>
      </c>
      <c r="EU8" s="12">
        <f>+schedule_ARAS!EZ12</f>
        <v>13440</v>
      </c>
      <c r="EV8" s="42">
        <f>+schedule_ARAS!FA12</f>
        <v>7200</v>
      </c>
    </row>
    <row r="9" spans="2:152" s="43" customFormat="1" ht="29.25" customHeight="1">
      <c r="B9" s="495"/>
      <c r="C9" s="384" t="str">
        <f>+schedule_ARAS!C13</f>
        <v>Koparan</v>
      </c>
      <c r="D9" s="310" t="s">
        <v>153</v>
      </c>
      <c r="E9" s="496">
        <f>+schedule_ARAS!E13</f>
        <v>1</v>
      </c>
      <c r="F9" s="371"/>
      <c r="G9" s="374"/>
      <c r="H9" s="374"/>
      <c r="I9" s="442"/>
      <c r="J9" s="371"/>
      <c r="K9" s="374"/>
      <c r="L9" s="374"/>
      <c r="M9" s="442"/>
      <c r="N9" s="371">
        <f t="shared" si="0"/>
        <v>0</v>
      </c>
      <c r="O9" s="374">
        <f t="shared" si="1"/>
        <v>0</v>
      </c>
      <c r="P9" s="374">
        <f t="shared" si="2"/>
        <v>0</v>
      </c>
      <c r="Q9" s="442">
        <f t="shared" si="3"/>
        <v>0</v>
      </c>
      <c r="R9" s="371">
        <f t="shared" si="4"/>
        <v>0</v>
      </c>
      <c r="S9" s="374">
        <f t="shared" si="5"/>
        <v>0</v>
      </c>
      <c r="T9" s="374">
        <f t="shared" si="6"/>
        <v>0</v>
      </c>
      <c r="U9" s="442">
        <f t="shared" si="7"/>
        <v>0</v>
      </c>
      <c r="V9" s="371">
        <f t="shared" si="8"/>
        <v>0</v>
      </c>
      <c r="W9" s="374">
        <f t="shared" si="9"/>
        <v>0</v>
      </c>
      <c r="X9" s="374">
        <f t="shared" si="10"/>
        <v>0</v>
      </c>
      <c r="Y9" s="442">
        <f t="shared" si="11"/>
        <v>0</v>
      </c>
      <c r="Z9" s="371">
        <f t="shared" si="12"/>
        <v>0</v>
      </c>
      <c r="AA9" s="374">
        <f t="shared" si="13"/>
        <v>0</v>
      </c>
      <c r="AB9" s="374">
        <f t="shared" si="14"/>
        <v>0</v>
      </c>
      <c r="AC9" s="442">
        <f t="shared" si="15"/>
        <v>0</v>
      </c>
      <c r="AD9" s="371">
        <f t="shared" ref="AD9:AD32" si="132">+E9</f>
        <v>1</v>
      </c>
      <c r="AE9" s="374">
        <f t="shared" ref="AE9:AE32" si="133">+E9</f>
        <v>1</v>
      </c>
      <c r="AF9" s="374">
        <f t="shared" ref="AF9:AF32" si="134">+E9</f>
        <v>1</v>
      </c>
      <c r="AG9" s="442">
        <f t="shared" ref="AG9:AG32" si="135">+E9</f>
        <v>1</v>
      </c>
      <c r="AH9" s="371">
        <f t="shared" ref="AH9:AH32" si="136">+AG9</f>
        <v>1</v>
      </c>
      <c r="AI9" s="374">
        <f t="shared" ref="AI9:AI32" si="137">+AG9</f>
        <v>1</v>
      </c>
      <c r="AJ9" s="374">
        <f t="shared" ref="AJ9:AJ32" si="138">+AG9</f>
        <v>1</v>
      </c>
      <c r="AK9" s="442">
        <f t="shared" ref="AK9:AK32" si="139">+AG9</f>
        <v>1</v>
      </c>
      <c r="AL9" s="371">
        <f t="shared" ref="AL9:AL32" si="140">+AK9</f>
        <v>1</v>
      </c>
      <c r="AM9" s="374">
        <f t="shared" ref="AM9:AM32" si="141">+AK9</f>
        <v>1</v>
      </c>
      <c r="AN9" s="374">
        <f t="shared" ref="AN9:AN32" si="142">+AK9</f>
        <v>1</v>
      </c>
      <c r="AO9" s="442">
        <f t="shared" ref="AO9:AO32" si="143">+AK9</f>
        <v>1</v>
      </c>
      <c r="AP9" s="371">
        <f t="shared" ref="AP9:AP32" si="144">+AO9</f>
        <v>1</v>
      </c>
      <c r="AQ9" s="374">
        <f t="shared" ref="AQ9:AQ32" si="145">+AO9</f>
        <v>1</v>
      </c>
      <c r="AR9" s="374">
        <f t="shared" ref="AR9:AR32" si="146">+AO9</f>
        <v>1</v>
      </c>
      <c r="AS9" s="442">
        <f t="shared" ref="AS9:AS32" si="147">+AO9</f>
        <v>1</v>
      </c>
      <c r="AT9" s="371">
        <f t="shared" ref="AT9:AT32" si="148">+AS9</f>
        <v>1</v>
      </c>
      <c r="AU9" s="374">
        <f t="shared" ref="AU9:AU32" si="149">+AS9</f>
        <v>1</v>
      </c>
      <c r="AV9" s="374">
        <f t="shared" ref="AV9:AV32" si="150">+AS9</f>
        <v>1</v>
      </c>
      <c r="AW9" s="442">
        <f t="shared" ref="AW9:AW32" si="151">+AS9</f>
        <v>1</v>
      </c>
      <c r="AX9" s="371">
        <f t="shared" ref="AX9:AX32" si="152">+AW9</f>
        <v>1</v>
      </c>
      <c r="AY9" s="374">
        <f t="shared" ref="AY9:AY32" si="153">+AW9</f>
        <v>1</v>
      </c>
      <c r="AZ9" s="374">
        <f t="shared" ref="AZ9:AZ32" si="154">+AW9</f>
        <v>1</v>
      </c>
      <c r="BA9" s="442">
        <f t="shared" ref="BA9:BA32" si="155">+AW9</f>
        <v>1</v>
      </c>
      <c r="BB9" s="371">
        <f t="shared" ref="BB9:BB32" si="156">+BA9</f>
        <v>1</v>
      </c>
      <c r="BC9" s="374">
        <f t="shared" ref="BC9:BC32" si="157">+BA9</f>
        <v>1</v>
      </c>
      <c r="BD9" s="374">
        <f t="shared" ref="BD9:BD32" si="158">+BA9</f>
        <v>1</v>
      </c>
      <c r="BE9" s="442">
        <f t="shared" ref="BE9:BE32" si="159">+BA9</f>
        <v>1</v>
      </c>
      <c r="BF9" s="371">
        <f t="shared" ref="BF9:BF32" si="160">+BE9</f>
        <v>1</v>
      </c>
      <c r="BG9" s="374">
        <f t="shared" ref="BG9:BG32" si="161">+BE9</f>
        <v>1</v>
      </c>
      <c r="BH9" s="374">
        <f t="shared" ref="BH9:BH32" si="162">+BE9</f>
        <v>1</v>
      </c>
      <c r="BI9" s="442">
        <f t="shared" ref="BI9:BI32" si="163">+BE9</f>
        <v>1</v>
      </c>
      <c r="BJ9" s="371">
        <f t="shared" ref="BJ9:BJ32" si="164">+BI9</f>
        <v>1</v>
      </c>
      <c r="BK9" s="374">
        <f t="shared" ref="BK9:BK32" si="165">+BI9</f>
        <v>1</v>
      </c>
      <c r="BL9" s="374">
        <f t="shared" ref="BL9:BL32" si="166">+BI9</f>
        <v>1</v>
      </c>
      <c r="BM9" s="442">
        <f t="shared" ref="BM9:BM32" si="167">+BI9</f>
        <v>1</v>
      </c>
      <c r="BN9" s="371">
        <f t="shared" ref="BN9:BN32" si="168">+BM9</f>
        <v>1</v>
      </c>
      <c r="BO9" s="374">
        <f t="shared" ref="BO9:BO32" si="169">+BM9</f>
        <v>1</v>
      </c>
      <c r="BP9" s="374">
        <f t="shared" ref="BP9:BP32" si="170">+BM9</f>
        <v>1</v>
      </c>
      <c r="BQ9" s="442">
        <f t="shared" ref="BQ9:BQ32" si="171">+BM9</f>
        <v>1</v>
      </c>
      <c r="BR9" s="371">
        <f t="shared" ref="BR9:BR32" si="172">+BQ9</f>
        <v>1</v>
      </c>
      <c r="BS9" s="374">
        <f t="shared" ref="BS9:BS32" si="173">+BQ9</f>
        <v>1</v>
      </c>
      <c r="BT9" s="374">
        <f t="shared" ref="BT9:BT32" si="174">+BQ9</f>
        <v>1</v>
      </c>
      <c r="BU9" s="442">
        <f t="shared" ref="BU9:BU32" si="175">+BQ9</f>
        <v>1</v>
      </c>
      <c r="BV9" s="371">
        <f t="shared" ref="BV9:BV32" si="176">+BU9</f>
        <v>1</v>
      </c>
      <c r="BW9" s="374">
        <f t="shared" ref="BW9:BW32" si="177">+BU9</f>
        <v>1</v>
      </c>
      <c r="BX9" s="374">
        <f t="shared" ref="BX9:BX32" si="178">+BU9</f>
        <v>1</v>
      </c>
      <c r="BY9" s="442">
        <f t="shared" ref="BY9:BY32" si="179">+BU9</f>
        <v>1</v>
      </c>
      <c r="BZ9" s="371">
        <f t="shared" ref="BZ9:BZ32" si="180">+BY9</f>
        <v>1</v>
      </c>
      <c r="CA9" s="374">
        <f t="shared" ref="CA9:CA32" si="181">+BY9</f>
        <v>1</v>
      </c>
      <c r="CB9" s="374">
        <f t="shared" ref="CB9:CB32" si="182">+BY9</f>
        <v>1</v>
      </c>
      <c r="CC9" s="442">
        <f t="shared" ref="CC9:CC32" si="183">+BY9</f>
        <v>1</v>
      </c>
      <c r="CD9" s="371">
        <f t="shared" ref="CD9:CD32" si="184">+CC9</f>
        <v>1</v>
      </c>
      <c r="CE9" s="374">
        <f t="shared" ref="CE9:CE32" si="185">+CC9</f>
        <v>1</v>
      </c>
      <c r="CF9" s="374">
        <f t="shared" ref="CF9:CF32" si="186">+CC9</f>
        <v>1</v>
      </c>
      <c r="CG9" s="442">
        <f t="shared" ref="CG9:CG32" si="187">+CC9</f>
        <v>1</v>
      </c>
      <c r="CH9" s="371">
        <f t="shared" ref="CH9:CH32" si="188">+CG9</f>
        <v>1</v>
      </c>
      <c r="CI9" s="374">
        <f t="shared" ref="CI9:CI32" si="189">+CG9</f>
        <v>1</v>
      </c>
      <c r="CJ9" s="374">
        <f t="shared" ref="CJ9:CJ32" si="190">+CG9</f>
        <v>1</v>
      </c>
      <c r="CK9" s="442">
        <f t="shared" ref="CK9:CK32" si="191">+CG9</f>
        <v>1</v>
      </c>
      <c r="CL9" s="371">
        <f t="shared" ref="CL9:CL32" si="192">+CK9</f>
        <v>1</v>
      </c>
      <c r="CM9" s="374">
        <f t="shared" ref="CM9:CM32" si="193">+CK9</f>
        <v>1</v>
      </c>
      <c r="CN9" s="374">
        <f t="shared" ref="CN9:CN32" si="194">+CK9</f>
        <v>1</v>
      </c>
      <c r="CO9" s="442">
        <f t="shared" ref="CO9:CO32" si="195">+CK9</f>
        <v>1</v>
      </c>
      <c r="CP9" s="371">
        <f t="shared" ref="CP9:CP32" si="196">+CO9</f>
        <v>1</v>
      </c>
      <c r="CQ9" s="374">
        <f t="shared" ref="CQ9:CQ32" si="197">+CO9</f>
        <v>1</v>
      </c>
      <c r="CR9" s="374">
        <f t="shared" ref="CR9:CR32" si="198">+CO9</f>
        <v>1</v>
      </c>
      <c r="CS9" s="442">
        <f t="shared" ref="CS9:CS32" si="199">+CO9</f>
        <v>1</v>
      </c>
      <c r="CT9" s="371">
        <f t="shared" ref="CT9:CT32" si="200">+CS9</f>
        <v>1</v>
      </c>
      <c r="CU9" s="374">
        <f t="shared" ref="CU9:CU32" si="201">+CS9</f>
        <v>1</v>
      </c>
      <c r="CV9" s="374">
        <f t="shared" ref="CV9:CV32" si="202">+CS9</f>
        <v>1</v>
      </c>
      <c r="CW9" s="442">
        <f t="shared" ref="CW9:CW32" si="203">+CS9</f>
        <v>1</v>
      </c>
      <c r="CX9" s="371">
        <f t="shared" ref="CX9:CX32" si="204">+CW9</f>
        <v>1</v>
      </c>
      <c r="CY9" s="374">
        <f t="shared" ref="CY9:CY32" si="205">+CW9</f>
        <v>1</v>
      </c>
      <c r="CZ9" s="374">
        <f t="shared" ref="CZ9:CZ32" si="206">+CW9</f>
        <v>1</v>
      </c>
      <c r="DA9" s="442">
        <f t="shared" ref="DA9:DA32" si="207">+CW9</f>
        <v>1</v>
      </c>
      <c r="DB9" s="371">
        <f t="shared" ref="DB9:DB32" si="208">+DA9</f>
        <v>1</v>
      </c>
      <c r="DC9" s="374">
        <f t="shared" ref="DC9:DC32" si="209">+DA9</f>
        <v>1</v>
      </c>
      <c r="DD9" s="374">
        <f t="shared" ref="DD9:DD32" si="210">+DA9</f>
        <v>1</v>
      </c>
      <c r="DE9" s="442">
        <f t="shared" ref="DE9:DE32" si="211">+DA9</f>
        <v>1</v>
      </c>
      <c r="DF9" s="371">
        <f t="shared" ref="DF9:DF32" si="212">+DE9</f>
        <v>1</v>
      </c>
      <c r="DG9" s="374">
        <f t="shared" ref="DG9:DG32" si="213">+DE9</f>
        <v>1</v>
      </c>
      <c r="DH9" s="374">
        <f t="shared" ref="DH9:DH32" si="214">+DE9</f>
        <v>1</v>
      </c>
      <c r="DI9" s="442">
        <f t="shared" ref="DI9:DI32" si="215">+DE9</f>
        <v>1</v>
      </c>
      <c r="DJ9" s="371">
        <f t="shared" ref="DJ9:DJ32" si="216">+DI9</f>
        <v>1</v>
      </c>
      <c r="DK9" s="374">
        <f t="shared" ref="DK9:DK32" si="217">+DI9</f>
        <v>1</v>
      </c>
      <c r="DL9" s="374">
        <f t="shared" ref="DL9:DL32" si="218">+DI9</f>
        <v>1</v>
      </c>
      <c r="DM9" s="442">
        <f t="shared" ref="DM9:DM32" si="219">+DI9</f>
        <v>1</v>
      </c>
      <c r="DN9" s="371">
        <f t="shared" ref="DN9:DN32" si="220">+DM9</f>
        <v>1</v>
      </c>
      <c r="DO9" s="374">
        <f t="shared" ref="DO9:DO32" si="221">+DM9</f>
        <v>1</v>
      </c>
      <c r="DP9" s="374">
        <f t="shared" ref="DP9:DP32" si="222">+DM9</f>
        <v>1</v>
      </c>
      <c r="DQ9" s="442">
        <f t="shared" ref="DQ9:DQ32" si="223">+DM9</f>
        <v>1</v>
      </c>
      <c r="DR9" s="371">
        <f t="shared" ref="DR9:DR32" si="224">+DQ9</f>
        <v>1</v>
      </c>
      <c r="DS9" s="374">
        <f t="shared" ref="DS9:DS32" si="225">+DQ9</f>
        <v>1</v>
      </c>
      <c r="DT9" s="374">
        <f t="shared" ref="DT9:DT32" si="226">+DQ9</f>
        <v>1</v>
      </c>
      <c r="DU9" s="442">
        <f t="shared" ref="DU9:DU32" si="227">+DQ9</f>
        <v>1</v>
      </c>
      <c r="DV9" s="371">
        <f t="shared" ref="DV9:DV32" si="228">+DU9</f>
        <v>1</v>
      </c>
      <c r="DW9" s="374">
        <f t="shared" ref="DW9:DW32" si="229">+DU9</f>
        <v>1</v>
      </c>
      <c r="DX9" s="374">
        <f t="shared" ref="DX9:DX32" si="230">+DU9</f>
        <v>1</v>
      </c>
      <c r="DY9" s="442">
        <f t="shared" ref="DY9:DY32" si="231">+DU9</f>
        <v>1</v>
      </c>
      <c r="DZ9" s="371">
        <f t="shared" ref="DZ9:DZ32" si="232">+DY9</f>
        <v>1</v>
      </c>
      <c r="EA9" s="374">
        <f t="shared" ref="EA9:EA32" si="233">+DY9</f>
        <v>1</v>
      </c>
      <c r="EB9" s="374">
        <f t="shared" ref="EB9:EB32" si="234">+DY9</f>
        <v>1</v>
      </c>
      <c r="EC9" s="442">
        <f t="shared" ref="EC9:EC32" si="235">+DY9</f>
        <v>1</v>
      </c>
      <c r="ED9" s="371">
        <f t="shared" ref="ED9:ED32" si="236">+EC9</f>
        <v>1</v>
      </c>
      <c r="EE9" s="374">
        <f t="shared" ref="EE9:EE32" si="237">+EC9</f>
        <v>1</v>
      </c>
      <c r="EF9" s="374">
        <f t="shared" ref="EF9:EF32" si="238">+EC9</f>
        <v>1</v>
      </c>
      <c r="EG9" s="442">
        <f t="shared" ref="EG9:EG32" si="239">+EC9</f>
        <v>1</v>
      </c>
      <c r="EH9" s="371">
        <f t="shared" ref="EH9:EH32" si="240">+EG9</f>
        <v>1</v>
      </c>
      <c r="EI9" s="374">
        <f t="shared" ref="EI9:EI32" si="241">+EG9</f>
        <v>1</v>
      </c>
      <c r="EJ9" s="374">
        <f t="shared" ref="EJ9:EJ32" si="242">+EG9</f>
        <v>1</v>
      </c>
      <c r="EK9" s="442">
        <f t="shared" ref="EK9:EK32" si="243">+EG9</f>
        <v>1</v>
      </c>
      <c r="EL9" s="371">
        <f t="shared" ref="EL9:EL32" si="244">+EK9</f>
        <v>1</v>
      </c>
      <c r="EM9" s="374">
        <f t="shared" ref="EM9:EM32" si="245">+EK9</f>
        <v>1</v>
      </c>
      <c r="EN9" s="374">
        <f t="shared" ref="EN9:EN32" si="246">+EK9</f>
        <v>1</v>
      </c>
      <c r="EO9" s="442">
        <f t="shared" ref="EO9:EO32" si="247">+EK9</f>
        <v>1</v>
      </c>
      <c r="EP9" s="371">
        <f t="shared" ref="EP9:EP32" si="248">+EO9</f>
        <v>1</v>
      </c>
      <c r="EQ9" s="374">
        <f t="shared" ref="EQ9:EQ32" si="249">+EO9</f>
        <v>1</v>
      </c>
      <c r="ER9" s="374">
        <f t="shared" ref="ER9:ER32" si="250">+EO9</f>
        <v>1</v>
      </c>
      <c r="ES9" s="442">
        <f t="shared" ref="ES9:ES32" si="251">+EO9</f>
        <v>1</v>
      </c>
      <c r="ET9" s="42">
        <f>+schedule_ARAS!EW13</f>
        <v>30</v>
      </c>
      <c r="EU9" s="12">
        <f>+schedule_ARAS!EZ13</f>
        <v>13440</v>
      </c>
      <c r="EV9" s="42">
        <f>+schedule_ARAS!FA13</f>
        <v>7200</v>
      </c>
    </row>
    <row r="10" spans="2:152" s="43" customFormat="1" ht="29.25" customHeight="1">
      <c r="B10" s="495"/>
      <c r="C10" s="384" t="str">
        <f>+schedule_ARAS!C14</f>
        <v>Necem D-18</v>
      </c>
      <c r="D10" s="310" t="s">
        <v>153</v>
      </c>
      <c r="E10" s="496">
        <f>+schedule_ARAS!E14</f>
        <v>1</v>
      </c>
      <c r="F10" s="371"/>
      <c r="G10" s="374"/>
      <c r="H10" s="374"/>
      <c r="I10" s="442"/>
      <c r="J10" s="371"/>
      <c r="K10" s="374"/>
      <c r="L10" s="374"/>
      <c r="M10" s="442"/>
      <c r="N10" s="371">
        <f t="shared" si="0"/>
        <v>0</v>
      </c>
      <c r="O10" s="374">
        <f t="shared" si="1"/>
        <v>0</v>
      </c>
      <c r="P10" s="374">
        <f t="shared" si="2"/>
        <v>0</v>
      </c>
      <c r="Q10" s="442">
        <f t="shared" si="3"/>
        <v>0</v>
      </c>
      <c r="R10" s="371">
        <f t="shared" si="4"/>
        <v>0</v>
      </c>
      <c r="S10" s="374">
        <f t="shared" si="5"/>
        <v>0</v>
      </c>
      <c r="T10" s="374">
        <f t="shared" si="6"/>
        <v>0</v>
      </c>
      <c r="U10" s="442">
        <f t="shared" si="7"/>
        <v>0</v>
      </c>
      <c r="V10" s="371">
        <f t="shared" si="8"/>
        <v>0</v>
      </c>
      <c r="W10" s="374">
        <f t="shared" si="9"/>
        <v>0</v>
      </c>
      <c r="X10" s="374">
        <f t="shared" si="10"/>
        <v>0</v>
      </c>
      <c r="Y10" s="442">
        <f t="shared" si="11"/>
        <v>0</v>
      </c>
      <c r="Z10" s="371">
        <f t="shared" si="12"/>
        <v>0</v>
      </c>
      <c r="AA10" s="374">
        <f t="shared" si="13"/>
        <v>0</v>
      </c>
      <c r="AB10" s="374">
        <f t="shared" si="14"/>
        <v>0</v>
      </c>
      <c r="AC10" s="442">
        <f t="shared" si="15"/>
        <v>0</v>
      </c>
      <c r="AD10" s="371">
        <f t="shared" si="132"/>
        <v>1</v>
      </c>
      <c r="AE10" s="374">
        <f t="shared" si="133"/>
        <v>1</v>
      </c>
      <c r="AF10" s="374">
        <f t="shared" si="134"/>
        <v>1</v>
      </c>
      <c r="AG10" s="442">
        <f t="shared" si="135"/>
        <v>1</v>
      </c>
      <c r="AH10" s="371">
        <f t="shared" si="136"/>
        <v>1</v>
      </c>
      <c r="AI10" s="374">
        <f t="shared" si="137"/>
        <v>1</v>
      </c>
      <c r="AJ10" s="374">
        <f t="shared" si="138"/>
        <v>1</v>
      </c>
      <c r="AK10" s="442">
        <f t="shared" si="139"/>
        <v>1</v>
      </c>
      <c r="AL10" s="371">
        <f t="shared" si="140"/>
        <v>1</v>
      </c>
      <c r="AM10" s="374">
        <f t="shared" si="141"/>
        <v>1</v>
      </c>
      <c r="AN10" s="374">
        <f t="shared" si="142"/>
        <v>1</v>
      </c>
      <c r="AO10" s="442">
        <f t="shared" si="143"/>
        <v>1</v>
      </c>
      <c r="AP10" s="371">
        <f t="shared" si="144"/>
        <v>1</v>
      </c>
      <c r="AQ10" s="374">
        <f t="shared" si="145"/>
        <v>1</v>
      </c>
      <c r="AR10" s="374">
        <f t="shared" si="146"/>
        <v>1</v>
      </c>
      <c r="AS10" s="442">
        <f t="shared" si="147"/>
        <v>1</v>
      </c>
      <c r="AT10" s="371">
        <f t="shared" si="148"/>
        <v>1</v>
      </c>
      <c r="AU10" s="374">
        <f t="shared" si="149"/>
        <v>1</v>
      </c>
      <c r="AV10" s="374">
        <f t="shared" si="150"/>
        <v>1</v>
      </c>
      <c r="AW10" s="442">
        <f t="shared" si="151"/>
        <v>1</v>
      </c>
      <c r="AX10" s="371">
        <f t="shared" si="152"/>
        <v>1</v>
      </c>
      <c r="AY10" s="374">
        <f t="shared" si="153"/>
        <v>1</v>
      </c>
      <c r="AZ10" s="374">
        <f t="shared" si="154"/>
        <v>1</v>
      </c>
      <c r="BA10" s="442">
        <f t="shared" si="155"/>
        <v>1</v>
      </c>
      <c r="BB10" s="371">
        <f t="shared" si="156"/>
        <v>1</v>
      </c>
      <c r="BC10" s="374">
        <f t="shared" si="157"/>
        <v>1</v>
      </c>
      <c r="BD10" s="374">
        <f t="shared" si="158"/>
        <v>1</v>
      </c>
      <c r="BE10" s="442">
        <f t="shared" si="159"/>
        <v>1</v>
      </c>
      <c r="BF10" s="371">
        <f t="shared" si="160"/>
        <v>1</v>
      </c>
      <c r="BG10" s="374">
        <f t="shared" si="161"/>
        <v>1</v>
      </c>
      <c r="BH10" s="374">
        <f t="shared" si="162"/>
        <v>1</v>
      </c>
      <c r="BI10" s="442">
        <f t="shared" si="163"/>
        <v>1</v>
      </c>
      <c r="BJ10" s="371">
        <f t="shared" si="164"/>
        <v>1</v>
      </c>
      <c r="BK10" s="374">
        <f t="shared" si="165"/>
        <v>1</v>
      </c>
      <c r="BL10" s="374">
        <f t="shared" si="166"/>
        <v>1</v>
      </c>
      <c r="BM10" s="442">
        <f t="shared" si="167"/>
        <v>1</v>
      </c>
      <c r="BN10" s="371">
        <f t="shared" si="168"/>
        <v>1</v>
      </c>
      <c r="BO10" s="374">
        <f t="shared" si="169"/>
        <v>1</v>
      </c>
      <c r="BP10" s="374">
        <f t="shared" si="170"/>
        <v>1</v>
      </c>
      <c r="BQ10" s="442">
        <f t="shared" si="171"/>
        <v>1</v>
      </c>
      <c r="BR10" s="371">
        <f t="shared" si="172"/>
        <v>1</v>
      </c>
      <c r="BS10" s="374">
        <f t="shared" si="173"/>
        <v>1</v>
      </c>
      <c r="BT10" s="374">
        <f t="shared" si="174"/>
        <v>1</v>
      </c>
      <c r="BU10" s="442">
        <f t="shared" si="175"/>
        <v>1</v>
      </c>
      <c r="BV10" s="371">
        <f t="shared" si="176"/>
        <v>1</v>
      </c>
      <c r="BW10" s="374">
        <f t="shared" si="177"/>
        <v>1</v>
      </c>
      <c r="BX10" s="374">
        <f t="shared" si="178"/>
        <v>1</v>
      </c>
      <c r="BY10" s="442">
        <f t="shared" si="179"/>
        <v>1</v>
      </c>
      <c r="BZ10" s="371">
        <f t="shared" si="180"/>
        <v>1</v>
      </c>
      <c r="CA10" s="374">
        <f t="shared" si="181"/>
        <v>1</v>
      </c>
      <c r="CB10" s="374">
        <f t="shared" si="182"/>
        <v>1</v>
      </c>
      <c r="CC10" s="442">
        <f t="shared" si="183"/>
        <v>1</v>
      </c>
      <c r="CD10" s="371">
        <f t="shared" si="184"/>
        <v>1</v>
      </c>
      <c r="CE10" s="374">
        <f t="shared" si="185"/>
        <v>1</v>
      </c>
      <c r="CF10" s="374">
        <f t="shared" si="186"/>
        <v>1</v>
      </c>
      <c r="CG10" s="442">
        <f t="shared" si="187"/>
        <v>1</v>
      </c>
      <c r="CH10" s="371">
        <f t="shared" si="188"/>
        <v>1</v>
      </c>
      <c r="CI10" s="374">
        <f t="shared" si="189"/>
        <v>1</v>
      </c>
      <c r="CJ10" s="374">
        <f t="shared" si="190"/>
        <v>1</v>
      </c>
      <c r="CK10" s="442">
        <f t="shared" si="191"/>
        <v>1</v>
      </c>
      <c r="CL10" s="371">
        <f t="shared" si="192"/>
        <v>1</v>
      </c>
      <c r="CM10" s="374">
        <f t="shared" si="193"/>
        <v>1</v>
      </c>
      <c r="CN10" s="374">
        <f t="shared" si="194"/>
        <v>1</v>
      </c>
      <c r="CO10" s="442">
        <f t="shared" si="195"/>
        <v>1</v>
      </c>
      <c r="CP10" s="371">
        <f t="shared" si="196"/>
        <v>1</v>
      </c>
      <c r="CQ10" s="374">
        <f t="shared" si="197"/>
        <v>1</v>
      </c>
      <c r="CR10" s="374">
        <f t="shared" si="198"/>
        <v>1</v>
      </c>
      <c r="CS10" s="442">
        <f t="shared" si="199"/>
        <v>1</v>
      </c>
      <c r="CT10" s="371">
        <f t="shared" si="200"/>
        <v>1</v>
      </c>
      <c r="CU10" s="374">
        <f t="shared" si="201"/>
        <v>1</v>
      </c>
      <c r="CV10" s="374">
        <f t="shared" si="202"/>
        <v>1</v>
      </c>
      <c r="CW10" s="442">
        <f t="shared" si="203"/>
        <v>1</v>
      </c>
      <c r="CX10" s="371">
        <f t="shared" si="204"/>
        <v>1</v>
      </c>
      <c r="CY10" s="374">
        <f t="shared" si="205"/>
        <v>1</v>
      </c>
      <c r="CZ10" s="374">
        <f t="shared" si="206"/>
        <v>1</v>
      </c>
      <c r="DA10" s="442">
        <f t="shared" si="207"/>
        <v>1</v>
      </c>
      <c r="DB10" s="371">
        <f t="shared" si="208"/>
        <v>1</v>
      </c>
      <c r="DC10" s="374">
        <f t="shared" si="209"/>
        <v>1</v>
      </c>
      <c r="DD10" s="374">
        <f t="shared" si="210"/>
        <v>1</v>
      </c>
      <c r="DE10" s="442">
        <f t="shared" si="211"/>
        <v>1</v>
      </c>
      <c r="DF10" s="371">
        <f t="shared" si="212"/>
        <v>1</v>
      </c>
      <c r="DG10" s="374">
        <f t="shared" si="213"/>
        <v>1</v>
      </c>
      <c r="DH10" s="374">
        <f t="shared" si="214"/>
        <v>1</v>
      </c>
      <c r="DI10" s="442">
        <f t="shared" si="215"/>
        <v>1</v>
      </c>
      <c r="DJ10" s="371">
        <f t="shared" si="216"/>
        <v>1</v>
      </c>
      <c r="DK10" s="374">
        <f t="shared" si="217"/>
        <v>1</v>
      </c>
      <c r="DL10" s="374">
        <f t="shared" si="218"/>
        <v>1</v>
      </c>
      <c r="DM10" s="442">
        <f t="shared" si="219"/>
        <v>1</v>
      </c>
      <c r="DN10" s="371">
        <f t="shared" si="220"/>
        <v>1</v>
      </c>
      <c r="DO10" s="374">
        <f t="shared" si="221"/>
        <v>1</v>
      </c>
      <c r="DP10" s="374">
        <f t="shared" si="222"/>
        <v>1</v>
      </c>
      <c r="DQ10" s="442">
        <f t="shared" si="223"/>
        <v>1</v>
      </c>
      <c r="DR10" s="371">
        <f t="shared" si="224"/>
        <v>1</v>
      </c>
      <c r="DS10" s="374">
        <f t="shared" si="225"/>
        <v>1</v>
      </c>
      <c r="DT10" s="374">
        <f t="shared" si="226"/>
        <v>1</v>
      </c>
      <c r="DU10" s="442">
        <f t="shared" si="227"/>
        <v>1</v>
      </c>
      <c r="DV10" s="371">
        <f t="shared" si="228"/>
        <v>1</v>
      </c>
      <c r="DW10" s="374">
        <f t="shared" si="229"/>
        <v>1</v>
      </c>
      <c r="DX10" s="374">
        <f t="shared" si="230"/>
        <v>1</v>
      </c>
      <c r="DY10" s="442">
        <f t="shared" si="231"/>
        <v>1</v>
      </c>
      <c r="DZ10" s="371">
        <f t="shared" si="232"/>
        <v>1</v>
      </c>
      <c r="EA10" s="374">
        <f t="shared" si="233"/>
        <v>1</v>
      </c>
      <c r="EB10" s="374">
        <f t="shared" si="234"/>
        <v>1</v>
      </c>
      <c r="EC10" s="442">
        <f t="shared" si="235"/>
        <v>1</v>
      </c>
      <c r="ED10" s="371">
        <f t="shared" si="236"/>
        <v>1</v>
      </c>
      <c r="EE10" s="374">
        <f t="shared" si="237"/>
        <v>1</v>
      </c>
      <c r="EF10" s="374">
        <f t="shared" si="238"/>
        <v>1</v>
      </c>
      <c r="EG10" s="442">
        <f t="shared" si="239"/>
        <v>1</v>
      </c>
      <c r="EH10" s="371">
        <f t="shared" si="240"/>
        <v>1</v>
      </c>
      <c r="EI10" s="374">
        <f t="shared" si="241"/>
        <v>1</v>
      </c>
      <c r="EJ10" s="374">
        <f t="shared" si="242"/>
        <v>1</v>
      </c>
      <c r="EK10" s="442">
        <f t="shared" si="243"/>
        <v>1</v>
      </c>
      <c r="EL10" s="371">
        <f t="shared" si="244"/>
        <v>1</v>
      </c>
      <c r="EM10" s="374">
        <f t="shared" si="245"/>
        <v>1</v>
      </c>
      <c r="EN10" s="374">
        <f t="shared" si="246"/>
        <v>1</v>
      </c>
      <c r="EO10" s="442">
        <f t="shared" si="247"/>
        <v>1</v>
      </c>
      <c r="EP10" s="371">
        <f t="shared" si="248"/>
        <v>1</v>
      </c>
      <c r="EQ10" s="374">
        <f t="shared" si="249"/>
        <v>1</v>
      </c>
      <c r="ER10" s="374">
        <f t="shared" si="250"/>
        <v>1</v>
      </c>
      <c r="ES10" s="442">
        <f t="shared" si="251"/>
        <v>1</v>
      </c>
      <c r="ET10" s="42">
        <f>+schedule_ARAS!EW14</f>
        <v>30</v>
      </c>
      <c r="EU10" s="12">
        <f>+schedule_ARAS!EZ14</f>
        <v>13440</v>
      </c>
      <c r="EV10" s="42">
        <f>+schedule_ARAS!FA14</f>
        <v>7200</v>
      </c>
    </row>
    <row r="11" spans="2:152" s="43" customFormat="1" ht="29.25" customHeight="1">
      <c r="B11" s="495"/>
      <c r="C11" s="384" t="str">
        <f>+schedule_ARAS!C15</f>
        <v>Alpaslan - II</v>
      </c>
      <c r="D11" s="310" t="s">
        <v>153</v>
      </c>
      <c r="E11" s="496">
        <f>+schedule_ARAS!E15</f>
        <v>1</v>
      </c>
      <c r="F11" s="371"/>
      <c r="G11" s="374"/>
      <c r="H11" s="374"/>
      <c r="I11" s="442"/>
      <c r="J11" s="371"/>
      <c r="K11" s="374"/>
      <c r="L11" s="374"/>
      <c r="M11" s="442"/>
      <c r="N11" s="371">
        <f t="shared" si="0"/>
        <v>0</v>
      </c>
      <c r="O11" s="374">
        <f t="shared" si="1"/>
        <v>0</v>
      </c>
      <c r="P11" s="374">
        <f t="shared" si="2"/>
        <v>0</v>
      </c>
      <c r="Q11" s="442">
        <f t="shared" si="3"/>
        <v>0</v>
      </c>
      <c r="R11" s="371">
        <f t="shared" si="4"/>
        <v>0</v>
      </c>
      <c r="S11" s="374">
        <f t="shared" si="5"/>
        <v>0</v>
      </c>
      <c r="T11" s="374">
        <f t="shared" si="6"/>
        <v>0</v>
      </c>
      <c r="U11" s="442">
        <f t="shared" si="7"/>
        <v>0</v>
      </c>
      <c r="V11" s="371">
        <f t="shared" si="8"/>
        <v>0</v>
      </c>
      <c r="W11" s="374">
        <f t="shared" si="9"/>
        <v>0</v>
      </c>
      <c r="X11" s="374">
        <f t="shared" si="10"/>
        <v>0</v>
      </c>
      <c r="Y11" s="442">
        <f t="shared" si="11"/>
        <v>0</v>
      </c>
      <c r="Z11" s="371">
        <f t="shared" si="12"/>
        <v>0</v>
      </c>
      <c r="AA11" s="374">
        <f t="shared" si="13"/>
        <v>0</v>
      </c>
      <c r="AB11" s="374">
        <f t="shared" si="14"/>
        <v>0</v>
      </c>
      <c r="AC11" s="442">
        <f t="shared" si="15"/>
        <v>0</v>
      </c>
      <c r="AD11" s="371">
        <f t="shared" si="132"/>
        <v>1</v>
      </c>
      <c r="AE11" s="374">
        <f t="shared" si="133"/>
        <v>1</v>
      </c>
      <c r="AF11" s="374">
        <f t="shared" si="134"/>
        <v>1</v>
      </c>
      <c r="AG11" s="442">
        <f t="shared" si="135"/>
        <v>1</v>
      </c>
      <c r="AH11" s="371">
        <f t="shared" si="136"/>
        <v>1</v>
      </c>
      <c r="AI11" s="374">
        <f t="shared" si="137"/>
        <v>1</v>
      </c>
      <c r="AJ11" s="374">
        <f t="shared" si="138"/>
        <v>1</v>
      </c>
      <c r="AK11" s="442">
        <f t="shared" si="139"/>
        <v>1</v>
      </c>
      <c r="AL11" s="371">
        <f t="shared" si="140"/>
        <v>1</v>
      </c>
      <c r="AM11" s="374">
        <f t="shared" si="141"/>
        <v>1</v>
      </c>
      <c r="AN11" s="374">
        <f t="shared" si="142"/>
        <v>1</v>
      </c>
      <c r="AO11" s="442">
        <f t="shared" si="143"/>
        <v>1</v>
      </c>
      <c r="AP11" s="371">
        <f t="shared" si="144"/>
        <v>1</v>
      </c>
      <c r="AQ11" s="374">
        <f t="shared" si="145"/>
        <v>1</v>
      </c>
      <c r="AR11" s="374">
        <f t="shared" si="146"/>
        <v>1</v>
      </c>
      <c r="AS11" s="442">
        <f t="shared" si="147"/>
        <v>1</v>
      </c>
      <c r="AT11" s="371">
        <f t="shared" si="148"/>
        <v>1</v>
      </c>
      <c r="AU11" s="374">
        <f t="shared" si="149"/>
        <v>1</v>
      </c>
      <c r="AV11" s="374">
        <f t="shared" si="150"/>
        <v>1</v>
      </c>
      <c r="AW11" s="442">
        <f t="shared" si="151"/>
        <v>1</v>
      </c>
      <c r="AX11" s="371">
        <f t="shared" si="152"/>
        <v>1</v>
      </c>
      <c r="AY11" s="374">
        <f t="shared" si="153"/>
        <v>1</v>
      </c>
      <c r="AZ11" s="374">
        <f t="shared" si="154"/>
        <v>1</v>
      </c>
      <c r="BA11" s="442">
        <f t="shared" si="155"/>
        <v>1</v>
      </c>
      <c r="BB11" s="371">
        <f t="shared" si="156"/>
        <v>1</v>
      </c>
      <c r="BC11" s="374">
        <f t="shared" si="157"/>
        <v>1</v>
      </c>
      <c r="BD11" s="374">
        <f t="shared" si="158"/>
        <v>1</v>
      </c>
      <c r="BE11" s="442">
        <f t="shared" si="159"/>
        <v>1</v>
      </c>
      <c r="BF11" s="371">
        <f t="shared" si="160"/>
        <v>1</v>
      </c>
      <c r="BG11" s="374">
        <f t="shared" si="161"/>
        <v>1</v>
      </c>
      <c r="BH11" s="374">
        <f t="shared" si="162"/>
        <v>1</v>
      </c>
      <c r="BI11" s="442">
        <f t="shared" si="163"/>
        <v>1</v>
      </c>
      <c r="BJ11" s="371">
        <f t="shared" si="164"/>
        <v>1</v>
      </c>
      <c r="BK11" s="374">
        <f t="shared" si="165"/>
        <v>1</v>
      </c>
      <c r="BL11" s="374">
        <f t="shared" si="166"/>
        <v>1</v>
      </c>
      <c r="BM11" s="442">
        <f t="shared" si="167"/>
        <v>1</v>
      </c>
      <c r="BN11" s="371">
        <f t="shared" si="168"/>
        <v>1</v>
      </c>
      <c r="BO11" s="374">
        <f t="shared" si="169"/>
        <v>1</v>
      </c>
      <c r="BP11" s="374">
        <f t="shared" si="170"/>
        <v>1</v>
      </c>
      <c r="BQ11" s="442">
        <f t="shared" si="171"/>
        <v>1</v>
      </c>
      <c r="BR11" s="371">
        <f t="shared" si="172"/>
        <v>1</v>
      </c>
      <c r="BS11" s="374">
        <f t="shared" si="173"/>
        <v>1</v>
      </c>
      <c r="BT11" s="374">
        <f t="shared" si="174"/>
        <v>1</v>
      </c>
      <c r="BU11" s="442">
        <f t="shared" si="175"/>
        <v>1</v>
      </c>
      <c r="BV11" s="371">
        <f t="shared" si="176"/>
        <v>1</v>
      </c>
      <c r="BW11" s="374">
        <f t="shared" si="177"/>
        <v>1</v>
      </c>
      <c r="BX11" s="374">
        <f t="shared" si="178"/>
        <v>1</v>
      </c>
      <c r="BY11" s="442">
        <f t="shared" si="179"/>
        <v>1</v>
      </c>
      <c r="BZ11" s="371">
        <f t="shared" si="180"/>
        <v>1</v>
      </c>
      <c r="CA11" s="374">
        <f t="shared" si="181"/>
        <v>1</v>
      </c>
      <c r="CB11" s="374">
        <f t="shared" si="182"/>
        <v>1</v>
      </c>
      <c r="CC11" s="442">
        <f t="shared" si="183"/>
        <v>1</v>
      </c>
      <c r="CD11" s="371">
        <f t="shared" si="184"/>
        <v>1</v>
      </c>
      <c r="CE11" s="374">
        <f t="shared" si="185"/>
        <v>1</v>
      </c>
      <c r="CF11" s="374">
        <f t="shared" si="186"/>
        <v>1</v>
      </c>
      <c r="CG11" s="442">
        <f t="shared" si="187"/>
        <v>1</v>
      </c>
      <c r="CH11" s="371">
        <f t="shared" si="188"/>
        <v>1</v>
      </c>
      <c r="CI11" s="374">
        <f t="shared" si="189"/>
        <v>1</v>
      </c>
      <c r="CJ11" s="374">
        <f t="shared" si="190"/>
        <v>1</v>
      </c>
      <c r="CK11" s="442">
        <f t="shared" si="191"/>
        <v>1</v>
      </c>
      <c r="CL11" s="371">
        <f t="shared" si="192"/>
        <v>1</v>
      </c>
      <c r="CM11" s="374">
        <f t="shared" si="193"/>
        <v>1</v>
      </c>
      <c r="CN11" s="374">
        <f t="shared" si="194"/>
        <v>1</v>
      </c>
      <c r="CO11" s="442">
        <f t="shared" si="195"/>
        <v>1</v>
      </c>
      <c r="CP11" s="371">
        <f t="shared" si="196"/>
        <v>1</v>
      </c>
      <c r="CQ11" s="374">
        <f t="shared" si="197"/>
        <v>1</v>
      </c>
      <c r="CR11" s="374">
        <f t="shared" si="198"/>
        <v>1</v>
      </c>
      <c r="CS11" s="442">
        <f t="shared" si="199"/>
        <v>1</v>
      </c>
      <c r="CT11" s="371">
        <f t="shared" si="200"/>
        <v>1</v>
      </c>
      <c r="CU11" s="374">
        <f t="shared" si="201"/>
        <v>1</v>
      </c>
      <c r="CV11" s="374">
        <f t="shared" si="202"/>
        <v>1</v>
      </c>
      <c r="CW11" s="442">
        <f t="shared" si="203"/>
        <v>1</v>
      </c>
      <c r="CX11" s="371">
        <f t="shared" si="204"/>
        <v>1</v>
      </c>
      <c r="CY11" s="374">
        <f t="shared" si="205"/>
        <v>1</v>
      </c>
      <c r="CZ11" s="374">
        <f t="shared" si="206"/>
        <v>1</v>
      </c>
      <c r="DA11" s="442">
        <f t="shared" si="207"/>
        <v>1</v>
      </c>
      <c r="DB11" s="371">
        <f t="shared" si="208"/>
        <v>1</v>
      </c>
      <c r="DC11" s="374">
        <f t="shared" si="209"/>
        <v>1</v>
      </c>
      <c r="DD11" s="374">
        <f t="shared" si="210"/>
        <v>1</v>
      </c>
      <c r="DE11" s="442">
        <f t="shared" si="211"/>
        <v>1</v>
      </c>
      <c r="DF11" s="371">
        <f t="shared" si="212"/>
        <v>1</v>
      </c>
      <c r="DG11" s="374">
        <f t="shared" si="213"/>
        <v>1</v>
      </c>
      <c r="DH11" s="374">
        <f t="shared" si="214"/>
        <v>1</v>
      </c>
      <c r="DI11" s="442">
        <f t="shared" si="215"/>
        <v>1</v>
      </c>
      <c r="DJ11" s="371">
        <f t="shared" si="216"/>
        <v>1</v>
      </c>
      <c r="DK11" s="374">
        <f t="shared" si="217"/>
        <v>1</v>
      </c>
      <c r="DL11" s="374">
        <f t="shared" si="218"/>
        <v>1</v>
      </c>
      <c r="DM11" s="442">
        <f t="shared" si="219"/>
        <v>1</v>
      </c>
      <c r="DN11" s="371">
        <f t="shared" si="220"/>
        <v>1</v>
      </c>
      <c r="DO11" s="374">
        <f t="shared" si="221"/>
        <v>1</v>
      </c>
      <c r="DP11" s="374">
        <f t="shared" si="222"/>
        <v>1</v>
      </c>
      <c r="DQ11" s="442">
        <f t="shared" si="223"/>
        <v>1</v>
      </c>
      <c r="DR11" s="371">
        <f t="shared" si="224"/>
        <v>1</v>
      </c>
      <c r="DS11" s="374">
        <f t="shared" si="225"/>
        <v>1</v>
      </c>
      <c r="DT11" s="374">
        <f t="shared" si="226"/>
        <v>1</v>
      </c>
      <c r="DU11" s="442">
        <f t="shared" si="227"/>
        <v>1</v>
      </c>
      <c r="DV11" s="371">
        <f t="shared" si="228"/>
        <v>1</v>
      </c>
      <c r="DW11" s="374">
        <f t="shared" si="229"/>
        <v>1</v>
      </c>
      <c r="DX11" s="374">
        <f t="shared" si="230"/>
        <v>1</v>
      </c>
      <c r="DY11" s="442">
        <f t="shared" si="231"/>
        <v>1</v>
      </c>
      <c r="DZ11" s="371">
        <f t="shared" si="232"/>
        <v>1</v>
      </c>
      <c r="EA11" s="374">
        <f t="shared" si="233"/>
        <v>1</v>
      </c>
      <c r="EB11" s="374">
        <f t="shared" si="234"/>
        <v>1</v>
      </c>
      <c r="EC11" s="442">
        <f t="shared" si="235"/>
        <v>1</v>
      </c>
      <c r="ED11" s="371">
        <f t="shared" si="236"/>
        <v>1</v>
      </c>
      <c r="EE11" s="374">
        <f t="shared" si="237"/>
        <v>1</v>
      </c>
      <c r="EF11" s="374">
        <f t="shared" si="238"/>
        <v>1</v>
      </c>
      <c r="EG11" s="442">
        <f t="shared" si="239"/>
        <v>1</v>
      </c>
      <c r="EH11" s="371">
        <f t="shared" si="240"/>
        <v>1</v>
      </c>
      <c r="EI11" s="374">
        <f t="shared" si="241"/>
        <v>1</v>
      </c>
      <c r="EJ11" s="374">
        <f t="shared" si="242"/>
        <v>1</v>
      </c>
      <c r="EK11" s="442">
        <f t="shared" si="243"/>
        <v>1</v>
      </c>
      <c r="EL11" s="371">
        <f t="shared" si="244"/>
        <v>1</v>
      </c>
      <c r="EM11" s="374">
        <f t="shared" si="245"/>
        <v>1</v>
      </c>
      <c r="EN11" s="374">
        <f t="shared" si="246"/>
        <v>1</v>
      </c>
      <c r="EO11" s="442">
        <f t="shared" si="247"/>
        <v>1</v>
      </c>
      <c r="EP11" s="371">
        <f t="shared" si="248"/>
        <v>1</v>
      </c>
      <c r="EQ11" s="374">
        <f t="shared" si="249"/>
        <v>1</v>
      </c>
      <c r="ER11" s="374">
        <f t="shared" si="250"/>
        <v>1</v>
      </c>
      <c r="ES11" s="442">
        <f t="shared" si="251"/>
        <v>1</v>
      </c>
      <c r="ET11" s="42">
        <f>+schedule_ARAS!EW15</f>
        <v>30</v>
      </c>
      <c r="EU11" s="12">
        <f>+schedule_ARAS!EZ15</f>
        <v>13440</v>
      </c>
      <c r="EV11" s="42">
        <f>+schedule_ARAS!FA15</f>
        <v>7200</v>
      </c>
    </row>
    <row r="12" spans="2:152" s="43" customFormat="1" ht="29.25" customHeight="1">
      <c r="B12" s="495"/>
      <c r="C12" s="384" t="str">
        <f>+schedule_ARAS!C16</f>
        <v>Koca Seyit</v>
      </c>
      <c r="D12" s="310" t="s">
        <v>153</v>
      </c>
      <c r="E12" s="496">
        <f>+schedule_ARAS!E16</f>
        <v>1</v>
      </c>
      <c r="F12" s="371"/>
      <c r="G12" s="374"/>
      <c r="H12" s="374"/>
      <c r="I12" s="442"/>
      <c r="J12" s="371"/>
      <c r="K12" s="374"/>
      <c r="L12" s="374"/>
      <c r="M12" s="442"/>
      <c r="N12" s="371">
        <f t="shared" si="0"/>
        <v>0</v>
      </c>
      <c r="O12" s="374">
        <f t="shared" si="1"/>
        <v>0</v>
      </c>
      <c r="P12" s="374">
        <f t="shared" si="2"/>
        <v>0</v>
      </c>
      <c r="Q12" s="442">
        <f t="shared" si="3"/>
        <v>0</v>
      </c>
      <c r="R12" s="371">
        <f t="shared" si="4"/>
        <v>0</v>
      </c>
      <c r="S12" s="374">
        <f t="shared" si="5"/>
        <v>0</v>
      </c>
      <c r="T12" s="374">
        <f t="shared" si="6"/>
        <v>0</v>
      </c>
      <c r="U12" s="442">
        <f t="shared" si="7"/>
        <v>0</v>
      </c>
      <c r="V12" s="371">
        <f t="shared" si="8"/>
        <v>0</v>
      </c>
      <c r="W12" s="374">
        <f t="shared" si="9"/>
        <v>0</v>
      </c>
      <c r="X12" s="374">
        <f t="shared" si="10"/>
        <v>0</v>
      </c>
      <c r="Y12" s="442">
        <f t="shared" si="11"/>
        <v>0</v>
      </c>
      <c r="Z12" s="371">
        <f t="shared" si="12"/>
        <v>0</v>
      </c>
      <c r="AA12" s="374">
        <f t="shared" si="13"/>
        <v>0</v>
      </c>
      <c r="AB12" s="374">
        <f t="shared" si="14"/>
        <v>0</v>
      </c>
      <c r="AC12" s="442">
        <f t="shared" si="15"/>
        <v>0</v>
      </c>
      <c r="AD12" s="371">
        <f t="shared" si="132"/>
        <v>1</v>
      </c>
      <c r="AE12" s="374">
        <f t="shared" si="133"/>
        <v>1</v>
      </c>
      <c r="AF12" s="374">
        <f t="shared" si="134"/>
        <v>1</v>
      </c>
      <c r="AG12" s="442">
        <f t="shared" si="135"/>
        <v>1</v>
      </c>
      <c r="AH12" s="371">
        <f t="shared" si="136"/>
        <v>1</v>
      </c>
      <c r="AI12" s="374">
        <f t="shared" si="137"/>
        <v>1</v>
      </c>
      <c r="AJ12" s="374">
        <f t="shared" si="138"/>
        <v>1</v>
      </c>
      <c r="AK12" s="442">
        <f t="shared" si="139"/>
        <v>1</v>
      </c>
      <c r="AL12" s="371">
        <f t="shared" si="140"/>
        <v>1</v>
      </c>
      <c r="AM12" s="374">
        <f t="shared" si="141"/>
        <v>1</v>
      </c>
      <c r="AN12" s="374">
        <f t="shared" si="142"/>
        <v>1</v>
      </c>
      <c r="AO12" s="442">
        <f t="shared" si="143"/>
        <v>1</v>
      </c>
      <c r="AP12" s="371">
        <f t="shared" si="144"/>
        <v>1</v>
      </c>
      <c r="AQ12" s="374">
        <f t="shared" si="145"/>
        <v>1</v>
      </c>
      <c r="AR12" s="374">
        <f t="shared" si="146"/>
        <v>1</v>
      </c>
      <c r="AS12" s="442">
        <f t="shared" si="147"/>
        <v>1</v>
      </c>
      <c r="AT12" s="371">
        <f t="shared" si="148"/>
        <v>1</v>
      </c>
      <c r="AU12" s="374">
        <f t="shared" si="149"/>
        <v>1</v>
      </c>
      <c r="AV12" s="374">
        <f t="shared" si="150"/>
        <v>1</v>
      </c>
      <c r="AW12" s="442">
        <f t="shared" si="151"/>
        <v>1</v>
      </c>
      <c r="AX12" s="371">
        <f t="shared" si="152"/>
        <v>1</v>
      </c>
      <c r="AY12" s="374">
        <f t="shared" si="153"/>
        <v>1</v>
      </c>
      <c r="AZ12" s="374">
        <f t="shared" si="154"/>
        <v>1</v>
      </c>
      <c r="BA12" s="442">
        <f t="shared" si="155"/>
        <v>1</v>
      </c>
      <c r="BB12" s="371">
        <f t="shared" si="156"/>
        <v>1</v>
      </c>
      <c r="BC12" s="374">
        <f t="shared" si="157"/>
        <v>1</v>
      </c>
      <c r="BD12" s="374">
        <f t="shared" si="158"/>
        <v>1</v>
      </c>
      <c r="BE12" s="442">
        <f t="shared" si="159"/>
        <v>1</v>
      </c>
      <c r="BF12" s="371">
        <f t="shared" si="160"/>
        <v>1</v>
      </c>
      <c r="BG12" s="374">
        <f t="shared" si="161"/>
        <v>1</v>
      </c>
      <c r="BH12" s="374">
        <f t="shared" si="162"/>
        <v>1</v>
      </c>
      <c r="BI12" s="442">
        <f t="shared" si="163"/>
        <v>1</v>
      </c>
      <c r="BJ12" s="371">
        <f t="shared" si="164"/>
        <v>1</v>
      </c>
      <c r="BK12" s="374">
        <f t="shared" si="165"/>
        <v>1</v>
      </c>
      <c r="BL12" s="374">
        <f t="shared" si="166"/>
        <v>1</v>
      </c>
      <c r="BM12" s="442">
        <f t="shared" si="167"/>
        <v>1</v>
      </c>
      <c r="BN12" s="371">
        <f t="shared" si="168"/>
        <v>1</v>
      </c>
      <c r="BO12" s="374">
        <f t="shared" si="169"/>
        <v>1</v>
      </c>
      <c r="BP12" s="374">
        <f t="shared" si="170"/>
        <v>1</v>
      </c>
      <c r="BQ12" s="442">
        <f t="shared" si="171"/>
        <v>1</v>
      </c>
      <c r="BR12" s="371">
        <f t="shared" si="172"/>
        <v>1</v>
      </c>
      <c r="BS12" s="374">
        <f t="shared" si="173"/>
        <v>1</v>
      </c>
      <c r="BT12" s="374">
        <f t="shared" si="174"/>
        <v>1</v>
      </c>
      <c r="BU12" s="442">
        <f t="shared" si="175"/>
        <v>1</v>
      </c>
      <c r="BV12" s="371">
        <f t="shared" si="176"/>
        <v>1</v>
      </c>
      <c r="BW12" s="374">
        <f t="shared" si="177"/>
        <v>1</v>
      </c>
      <c r="BX12" s="374">
        <f t="shared" si="178"/>
        <v>1</v>
      </c>
      <c r="BY12" s="442">
        <f t="shared" si="179"/>
        <v>1</v>
      </c>
      <c r="BZ12" s="371">
        <f t="shared" si="180"/>
        <v>1</v>
      </c>
      <c r="CA12" s="374">
        <f t="shared" si="181"/>
        <v>1</v>
      </c>
      <c r="CB12" s="374">
        <f t="shared" si="182"/>
        <v>1</v>
      </c>
      <c r="CC12" s="442">
        <f t="shared" si="183"/>
        <v>1</v>
      </c>
      <c r="CD12" s="371">
        <f t="shared" si="184"/>
        <v>1</v>
      </c>
      <c r="CE12" s="374">
        <f t="shared" si="185"/>
        <v>1</v>
      </c>
      <c r="CF12" s="374">
        <f t="shared" si="186"/>
        <v>1</v>
      </c>
      <c r="CG12" s="442">
        <f t="shared" si="187"/>
        <v>1</v>
      </c>
      <c r="CH12" s="371">
        <f t="shared" si="188"/>
        <v>1</v>
      </c>
      <c r="CI12" s="374">
        <f t="shared" si="189"/>
        <v>1</v>
      </c>
      <c r="CJ12" s="374">
        <f t="shared" si="190"/>
        <v>1</v>
      </c>
      <c r="CK12" s="442">
        <f t="shared" si="191"/>
        <v>1</v>
      </c>
      <c r="CL12" s="371">
        <f t="shared" si="192"/>
        <v>1</v>
      </c>
      <c r="CM12" s="374">
        <f t="shared" si="193"/>
        <v>1</v>
      </c>
      <c r="CN12" s="374">
        <f t="shared" si="194"/>
        <v>1</v>
      </c>
      <c r="CO12" s="442">
        <f t="shared" si="195"/>
        <v>1</v>
      </c>
      <c r="CP12" s="371">
        <f t="shared" si="196"/>
        <v>1</v>
      </c>
      <c r="CQ12" s="374">
        <f t="shared" si="197"/>
        <v>1</v>
      </c>
      <c r="CR12" s="374">
        <f t="shared" si="198"/>
        <v>1</v>
      </c>
      <c r="CS12" s="442">
        <f t="shared" si="199"/>
        <v>1</v>
      </c>
      <c r="CT12" s="371">
        <f t="shared" si="200"/>
        <v>1</v>
      </c>
      <c r="CU12" s="374">
        <f t="shared" si="201"/>
        <v>1</v>
      </c>
      <c r="CV12" s="374">
        <f t="shared" si="202"/>
        <v>1</v>
      </c>
      <c r="CW12" s="442">
        <f t="shared" si="203"/>
        <v>1</v>
      </c>
      <c r="CX12" s="371">
        <f t="shared" si="204"/>
        <v>1</v>
      </c>
      <c r="CY12" s="374">
        <f t="shared" si="205"/>
        <v>1</v>
      </c>
      <c r="CZ12" s="374">
        <f t="shared" si="206"/>
        <v>1</v>
      </c>
      <c r="DA12" s="442">
        <f t="shared" si="207"/>
        <v>1</v>
      </c>
      <c r="DB12" s="371">
        <f t="shared" si="208"/>
        <v>1</v>
      </c>
      <c r="DC12" s="374">
        <f t="shared" si="209"/>
        <v>1</v>
      </c>
      <c r="DD12" s="374">
        <f t="shared" si="210"/>
        <v>1</v>
      </c>
      <c r="DE12" s="442">
        <f t="shared" si="211"/>
        <v>1</v>
      </c>
      <c r="DF12" s="371">
        <f t="shared" si="212"/>
        <v>1</v>
      </c>
      <c r="DG12" s="374">
        <f t="shared" si="213"/>
        <v>1</v>
      </c>
      <c r="DH12" s="374">
        <f t="shared" si="214"/>
        <v>1</v>
      </c>
      <c r="DI12" s="442">
        <f t="shared" si="215"/>
        <v>1</v>
      </c>
      <c r="DJ12" s="371">
        <f t="shared" si="216"/>
        <v>1</v>
      </c>
      <c r="DK12" s="374">
        <f t="shared" si="217"/>
        <v>1</v>
      </c>
      <c r="DL12" s="374">
        <f t="shared" si="218"/>
        <v>1</v>
      </c>
      <c r="DM12" s="442">
        <f t="shared" si="219"/>
        <v>1</v>
      </c>
      <c r="DN12" s="371">
        <f t="shared" si="220"/>
        <v>1</v>
      </c>
      <c r="DO12" s="374">
        <f t="shared" si="221"/>
        <v>1</v>
      </c>
      <c r="DP12" s="374">
        <f t="shared" si="222"/>
        <v>1</v>
      </c>
      <c r="DQ12" s="442">
        <f t="shared" si="223"/>
        <v>1</v>
      </c>
      <c r="DR12" s="371">
        <f t="shared" si="224"/>
        <v>1</v>
      </c>
      <c r="DS12" s="374">
        <f t="shared" si="225"/>
        <v>1</v>
      </c>
      <c r="DT12" s="374">
        <f t="shared" si="226"/>
        <v>1</v>
      </c>
      <c r="DU12" s="442">
        <f t="shared" si="227"/>
        <v>1</v>
      </c>
      <c r="DV12" s="371">
        <f t="shared" si="228"/>
        <v>1</v>
      </c>
      <c r="DW12" s="374">
        <f t="shared" si="229"/>
        <v>1</v>
      </c>
      <c r="DX12" s="374">
        <f t="shared" si="230"/>
        <v>1</v>
      </c>
      <c r="DY12" s="442">
        <f t="shared" si="231"/>
        <v>1</v>
      </c>
      <c r="DZ12" s="371">
        <f t="shared" si="232"/>
        <v>1</v>
      </c>
      <c r="EA12" s="374">
        <f t="shared" si="233"/>
        <v>1</v>
      </c>
      <c r="EB12" s="374">
        <f t="shared" si="234"/>
        <v>1</v>
      </c>
      <c r="EC12" s="442">
        <f t="shared" si="235"/>
        <v>1</v>
      </c>
      <c r="ED12" s="371">
        <f t="shared" si="236"/>
        <v>1</v>
      </c>
      <c r="EE12" s="374">
        <f t="shared" si="237"/>
        <v>1</v>
      </c>
      <c r="EF12" s="374">
        <f t="shared" si="238"/>
        <v>1</v>
      </c>
      <c r="EG12" s="442">
        <f t="shared" si="239"/>
        <v>1</v>
      </c>
      <c r="EH12" s="371">
        <f t="shared" si="240"/>
        <v>1</v>
      </c>
      <c r="EI12" s="374">
        <f t="shared" si="241"/>
        <v>1</v>
      </c>
      <c r="EJ12" s="374">
        <f t="shared" si="242"/>
        <v>1</v>
      </c>
      <c r="EK12" s="442">
        <f t="shared" si="243"/>
        <v>1</v>
      </c>
      <c r="EL12" s="371">
        <f t="shared" si="244"/>
        <v>1</v>
      </c>
      <c r="EM12" s="374">
        <f t="shared" si="245"/>
        <v>1</v>
      </c>
      <c r="EN12" s="374">
        <f t="shared" si="246"/>
        <v>1</v>
      </c>
      <c r="EO12" s="442">
        <f t="shared" si="247"/>
        <v>1</v>
      </c>
      <c r="EP12" s="371">
        <f t="shared" si="248"/>
        <v>1</v>
      </c>
      <c r="EQ12" s="374">
        <f t="shared" si="249"/>
        <v>1</v>
      </c>
      <c r="ER12" s="374">
        <f t="shared" si="250"/>
        <v>1</v>
      </c>
      <c r="ES12" s="442">
        <f t="shared" si="251"/>
        <v>1</v>
      </c>
      <c r="ET12" s="42">
        <f>+schedule_ARAS!EW16</f>
        <v>30</v>
      </c>
      <c r="EU12" s="12">
        <f>+schedule_ARAS!EZ16</f>
        <v>13440</v>
      </c>
      <c r="EV12" s="42">
        <f>+schedule_ARAS!FA16</f>
        <v>7200</v>
      </c>
    </row>
    <row r="13" spans="2:152" s="43" customFormat="1" ht="29.25" customHeight="1">
      <c r="B13" s="495"/>
      <c r="C13" s="384" t="str">
        <f>+schedule_ARAS!C17</f>
        <v>Floating Crane 3</v>
      </c>
      <c r="D13" s="310" t="s">
        <v>153</v>
      </c>
      <c r="E13" s="496">
        <f>+schedule_ARAS!E17</f>
        <v>1</v>
      </c>
      <c r="F13" s="371"/>
      <c r="G13" s="374"/>
      <c r="H13" s="374"/>
      <c r="I13" s="442"/>
      <c r="J13" s="371"/>
      <c r="K13" s="374"/>
      <c r="L13" s="374"/>
      <c r="M13" s="442"/>
      <c r="N13" s="371">
        <f t="shared" si="0"/>
        <v>0</v>
      </c>
      <c r="O13" s="374">
        <f t="shared" si="1"/>
        <v>0</v>
      </c>
      <c r="P13" s="374">
        <f t="shared" si="2"/>
        <v>0</v>
      </c>
      <c r="Q13" s="442">
        <f t="shared" si="3"/>
        <v>0</v>
      </c>
      <c r="R13" s="371">
        <f t="shared" si="4"/>
        <v>0</v>
      </c>
      <c r="S13" s="374">
        <f t="shared" si="5"/>
        <v>0</v>
      </c>
      <c r="T13" s="374">
        <f t="shared" si="6"/>
        <v>0</v>
      </c>
      <c r="U13" s="442">
        <f t="shared" si="7"/>
        <v>0</v>
      </c>
      <c r="V13" s="371">
        <f t="shared" si="8"/>
        <v>0</v>
      </c>
      <c r="W13" s="374">
        <f t="shared" si="9"/>
        <v>0</v>
      </c>
      <c r="X13" s="374">
        <f t="shared" si="10"/>
        <v>0</v>
      </c>
      <c r="Y13" s="442">
        <f t="shared" si="11"/>
        <v>0</v>
      </c>
      <c r="Z13" s="371">
        <f t="shared" si="12"/>
        <v>0</v>
      </c>
      <c r="AA13" s="374">
        <f t="shared" si="13"/>
        <v>0</v>
      </c>
      <c r="AB13" s="374">
        <f t="shared" si="14"/>
        <v>0</v>
      </c>
      <c r="AC13" s="442">
        <f t="shared" si="15"/>
        <v>0</v>
      </c>
      <c r="AD13" s="371">
        <f t="shared" si="132"/>
        <v>1</v>
      </c>
      <c r="AE13" s="374">
        <f t="shared" si="133"/>
        <v>1</v>
      </c>
      <c r="AF13" s="374">
        <f t="shared" si="134"/>
        <v>1</v>
      </c>
      <c r="AG13" s="442">
        <f t="shared" si="135"/>
        <v>1</v>
      </c>
      <c r="AH13" s="371">
        <f t="shared" si="136"/>
        <v>1</v>
      </c>
      <c r="AI13" s="374">
        <f t="shared" si="137"/>
        <v>1</v>
      </c>
      <c r="AJ13" s="374">
        <f t="shared" si="138"/>
        <v>1</v>
      </c>
      <c r="AK13" s="442">
        <f t="shared" si="139"/>
        <v>1</v>
      </c>
      <c r="AL13" s="371">
        <f t="shared" si="140"/>
        <v>1</v>
      </c>
      <c r="AM13" s="374">
        <f t="shared" si="141"/>
        <v>1</v>
      </c>
      <c r="AN13" s="374">
        <f t="shared" si="142"/>
        <v>1</v>
      </c>
      <c r="AO13" s="442">
        <f t="shared" si="143"/>
        <v>1</v>
      </c>
      <c r="AP13" s="371">
        <f t="shared" si="144"/>
        <v>1</v>
      </c>
      <c r="AQ13" s="374">
        <f t="shared" si="145"/>
        <v>1</v>
      </c>
      <c r="AR13" s="374">
        <f t="shared" si="146"/>
        <v>1</v>
      </c>
      <c r="AS13" s="442">
        <f t="shared" si="147"/>
        <v>1</v>
      </c>
      <c r="AT13" s="371">
        <f t="shared" si="148"/>
        <v>1</v>
      </c>
      <c r="AU13" s="374">
        <f t="shared" si="149"/>
        <v>1</v>
      </c>
      <c r="AV13" s="374">
        <f t="shared" si="150"/>
        <v>1</v>
      </c>
      <c r="AW13" s="442">
        <f t="shared" si="151"/>
        <v>1</v>
      </c>
      <c r="AX13" s="371">
        <f t="shared" si="152"/>
        <v>1</v>
      </c>
      <c r="AY13" s="374">
        <f t="shared" si="153"/>
        <v>1</v>
      </c>
      <c r="AZ13" s="374">
        <f t="shared" si="154"/>
        <v>1</v>
      </c>
      <c r="BA13" s="442">
        <f t="shared" si="155"/>
        <v>1</v>
      </c>
      <c r="BB13" s="371">
        <f t="shared" si="156"/>
        <v>1</v>
      </c>
      <c r="BC13" s="374">
        <f t="shared" si="157"/>
        <v>1</v>
      </c>
      <c r="BD13" s="374">
        <f t="shared" si="158"/>
        <v>1</v>
      </c>
      <c r="BE13" s="442">
        <f t="shared" si="159"/>
        <v>1</v>
      </c>
      <c r="BF13" s="371">
        <f t="shared" si="160"/>
        <v>1</v>
      </c>
      <c r="BG13" s="374">
        <f t="shared" si="161"/>
        <v>1</v>
      </c>
      <c r="BH13" s="374">
        <f t="shared" si="162"/>
        <v>1</v>
      </c>
      <c r="BI13" s="442">
        <f t="shared" si="163"/>
        <v>1</v>
      </c>
      <c r="BJ13" s="371">
        <f t="shared" si="164"/>
        <v>1</v>
      </c>
      <c r="BK13" s="374">
        <f t="shared" si="165"/>
        <v>1</v>
      </c>
      <c r="BL13" s="374">
        <f t="shared" si="166"/>
        <v>1</v>
      </c>
      <c r="BM13" s="442">
        <f t="shared" si="167"/>
        <v>1</v>
      </c>
      <c r="BN13" s="371">
        <f t="shared" si="168"/>
        <v>1</v>
      </c>
      <c r="BO13" s="374">
        <f t="shared" si="169"/>
        <v>1</v>
      </c>
      <c r="BP13" s="374">
        <f t="shared" si="170"/>
        <v>1</v>
      </c>
      <c r="BQ13" s="442">
        <f t="shared" si="171"/>
        <v>1</v>
      </c>
      <c r="BR13" s="371">
        <f t="shared" si="172"/>
        <v>1</v>
      </c>
      <c r="BS13" s="374">
        <f t="shared" si="173"/>
        <v>1</v>
      </c>
      <c r="BT13" s="374">
        <f t="shared" si="174"/>
        <v>1</v>
      </c>
      <c r="BU13" s="442">
        <f t="shared" si="175"/>
        <v>1</v>
      </c>
      <c r="BV13" s="371">
        <f t="shared" si="176"/>
        <v>1</v>
      </c>
      <c r="BW13" s="374">
        <f t="shared" si="177"/>
        <v>1</v>
      </c>
      <c r="BX13" s="374">
        <f t="shared" si="178"/>
        <v>1</v>
      </c>
      <c r="BY13" s="442">
        <f t="shared" si="179"/>
        <v>1</v>
      </c>
      <c r="BZ13" s="371">
        <f t="shared" si="180"/>
        <v>1</v>
      </c>
      <c r="CA13" s="374">
        <f t="shared" si="181"/>
        <v>1</v>
      </c>
      <c r="CB13" s="374">
        <f t="shared" si="182"/>
        <v>1</v>
      </c>
      <c r="CC13" s="442">
        <f t="shared" si="183"/>
        <v>1</v>
      </c>
      <c r="CD13" s="371">
        <f t="shared" si="184"/>
        <v>1</v>
      </c>
      <c r="CE13" s="374">
        <f t="shared" si="185"/>
        <v>1</v>
      </c>
      <c r="CF13" s="374">
        <f t="shared" si="186"/>
        <v>1</v>
      </c>
      <c r="CG13" s="442">
        <f t="shared" si="187"/>
        <v>1</v>
      </c>
      <c r="CH13" s="371">
        <f t="shared" si="188"/>
        <v>1</v>
      </c>
      <c r="CI13" s="374">
        <f t="shared" si="189"/>
        <v>1</v>
      </c>
      <c r="CJ13" s="374">
        <f t="shared" si="190"/>
        <v>1</v>
      </c>
      <c r="CK13" s="442">
        <f t="shared" si="191"/>
        <v>1</v>
      </c>
      <c r="CL13" s="371">
        <f t="shared" si="192"/>
        <v>1</v>
      </c>
      <c r="CM13" s="374">
        <f t="shared" si="193"/>
        <v>1</v>
      </c>
      <c r="CN13" s="374">
        <f t="shared" si="194"/>
        <v>1</v>
      </c>
      <c r="CO13" s="442">
        <f t="shared" si="195"/>
        <v>1</v>
      </c>
      <c r="CP13" s="371">
        <f t="shared" si="196"/>
        <v>1</v>
      </c>
      <c r="CQ13" s="374">
        <f t="shared" si="197"/>
        <v>1</v>
      </c>
      <c r="CR13" s="374">
        <f t="shared" si="198"/>
        <v>1</v>
      </c>
      <c r="CS13" s="442">
        <f t="shared" si="199"/>
        <v>1</v>
      </c>
      <c r="CT13" s="371">
        <f t="shared" si="200"/>
        <v>1</v>
      </c>
      <c r="CU13" s="374">
        <f t="shared" si="201"/>
        <v>1</v>
      </c>
      <c r="CV13" s="374">
        <f t="shared" si="202"/>
        <v>1</v>
      </c>
      <c r="CW13" s="442">
        <f t="shared" si="203"/>
        <v>1</v>
      </c>
      <c r="CX13" s="371">
        <f t="shared" si="204"/>
        <v>1</v>
      </c>
      <c r="CY13" s="374">
        <f t="shared" si="205"/>
        <v>1</v>
      </c>
      <c r="CZ13" s="374">
        <f t="shared" si="206"/>
        <v>1</v>
      </c>
      <c r="DA13" s="442">
        <f t="shared" si="207"/>
        <v>1</v>
      </c>
      <c r="DB13" s="371">
        <f t="shared" si="208"/>
        <v>1</v>
      </c>
      <c r="DC13" s="374">
        <f t="shared" si="209"/>
        <v>1</v>
      </c>
      <c r="DD13" s="374">
        <f t="shared" si="210"/>
        <v>1</v>
      </c>
      <c r="DE13" s="442">
        <f t="shared" si="211"/>
        <v>1</v>
      </c>
      <c r="DF13" s="371">
        <f t="shared" si="212"/>
        <v>1</v>
      </c>
      <c r="DG13" s="374">
        <f t="shared" si="213"/>
        <v>1</v>
      </c>
      <c r="DH13" s="374">
        <f t="shared" si="214"/>
        <v>1</v>
      </c>
      <c r="DI13" s="442">
        <f t="shared" si="215"/>
        <v>1</v>
      </c>
      <c r="DJ13" s="371">
        <f t="shared" si="216"/>
        <v>1</v>
      </c>
      <c r="DK13" s="374">
        <f t="shared" si="217"/>
        <v>1</v>
      </c>
      <c r="DL13" s="374">
        <f t="shared" si="218"/>
        <v>1</v>
      </c>
      <c r="DM13" s="442">
        <f t="shared" si="219"/>
        <v>1</v>
      </c>
      <c r="DN13" s="371">
        <f t="shared" si="220"/>
        <v>1</v>
      </c>
      <c r="DO13" s="374">
        <f t="shared" si="221"/>
        <v>1</v>
      </c>
      <c r="DP13" s="374">
        <f t="shared" si="222"/>
        <v>1</v>
      </c>
      <c r="DQ13" s="442">
        <f t="shared" si="223"/>
        <v>1</v>
      </c>
      <c r="DR13" s="371">
        <f t="shared" si="224"/>
        <v>1</v>
      </c>
      <c r="DS13" s="374">
        <f t="shared" si="225"/>
        <v>1</v>
      </c>
      <c r="DT13" s="374">
        <f t="shared" si="226"/>
        <v>1</v>
      </c>
      <c r="DU13" s="442">
        <f t="shared" si="227"/>
        <v>1</v>
      </c>
      <c r="DV13" s="371">
        <f t="shared" si="228"/>
        <v>1</v>
      </c>
      <c r="DW13" s="374">
        <f t="shared" si="229"/>
        <v>1</v>
      </c>
      <c r="DX13" s="374">
        <f t="shared" si="230"/>
        <v>1</v>
      </c>
      <c r="DY13" s="442">
        <f t="shared" si="231"/>
        <v>1</v>
      </c>
      <c r="DZ13" s="371">
        <f t="shared" si="232"/>
        <v>1</v>
      </c>
      <c r="EA13" s="374">
        <f t="shared" si="233"/>
        <v>1</v>
      </c>
      <c r="EB13" s="374">
        <f t="shared" si="234"/>
        <v>1</v>
      </c>
      <c r="EC13" s="442">
        <f t="shared" si="235"/>
        <v>1</v>
      </c>
      <c r="ED13" s="371">
        <f t="shared" si="236"/>
        <v>1</v>
      </c>
      <c r="EE13" s="374">
        <f t="shared" si="237"/>
        <v>1</v>
      </c>
      <c r="EF13" s="374">
        <f t="shared" si="238"/>
        <v>1</v>
      </c>
      <c r="EG13" s="442">
        <f t="shared" si="239"/>
        <v>1</v>
      </c>
      <c r="EH13" s="371">
        <f t="shared" si="240"/>
        <v>1</v>
      </c>
      <c r="EI13" s="374">
        <f t="shared" si="241"/>
        <v>1</v>
      </c>
      <c r="EJ13" s="374">
        <f t="shared" si="242"/>
        <v>1</v>
      </c>
      <c r="EK13" s="442">
        <f t="shared" si="243"/>
        <v>1</v>
      </c>
      <c r="EL13" s="371">
        <f t="shared" si="244"/>
        <v>1</v>
      </c>
      <c r="EM13" s="374">
        <f t="shared" si="245"/>
        <v>1</v>
      </c>
      <c r="EN13" s="374">
        <f t="shared" si="246"/>
        <v>1</v>
      </c>
      <c r="EO13" s="442">
        <f t="shared" si="247"/>
        <v>1</v>
      </c>
      <c r="EP13" s="371">
        <f t="shared" si="248"/>
        <v>1</v>
      </c>
      <c r="EQ13" s="374">
        <f t="shared" si="249"/>
        <v>1</v>
      </c>
      <c r="ER13" s="374">
        <f t="shared" si="250"/>
        <v>1</v>
      </c>
      <c r="ES13" s="442">
        <f t="shared" si="251"/>
        <v>1</v>
      </c>
      <c r="ET13" s="42">
        <f>+schedule_ARAS!EW17</f>
        <v>30</v>
      </c>
      <c r="EU13" s="12">
        <f>+schedule_ARAS!EZ17</f>
        <v>13440</v>
      </c>
      <c r="EV13" s="42">
        <f>+schedule_ARAS!FA17</f>
        <v>7200</v>
      </c>
    </row>
    <row r="14" spans="2:152" s="43" customFormat="1" ht="29.25" customHeight="1">
      <c r="B14" s="495"/>
      <c r="C14" s="384" t="str">
        <f>+schedule_ARAS!C18</f>
        <v>Midia 5</v>
      </c>
      <c r="D14" s="310" t="s">
        <v>153</v>
      </c>
      <c r="E14" s="496">
        <f>+schedule_ARAS!E18</f>
        <v>1</v>
      </c>
      <c r="F14" s="371"/>
      <c r="G14" s="374"/>
      <c r="H14" s="374"/>
      <c r="I14" s="442"/>
      <c r="J14" s="371"/>
      <c r="K14" s="374"/>
      <c r="L14" s="374"/>
      <c r="M14" s="442"/>
      <c r="N14" s="371">
        <f t="shared" si="0"/>
        <v>0</v>
      </c>
      <c r="O14" s="374">
        <f t="shared" si="1"/>
        <v>0</v>
      </c>
      <c r="P14" s="374">
        <f t="shared" si="2"/>
        <v>0</v>
      </c>
      <c r="Q14" s="442">
        <f t="shared" si="3"/>
        <v>0</v>
      </c>
      <c r="R14" s="371">
        <f t="shared" si="4"/>
        <v>0</v>
      </c>
      <c r="S14" s="374">
        <f t="shared" si="5"/>
        <v>0</v>
      </c>
      <c r="T14" s="374">
        <f t="shared" si="6"/>
        <v>0</v>
      </c>
      <c r="U14" s="442">
        <f t="shared" si="7"/>
        <v>0</v>
      </c>
      <c r="V14" s="371">
        <f t="shared" si="8"/>
        <v>0</v>
      </c>
      <c r="W14" s="374">
        <f t="shared" si="9"/>
        <v>0</v>
      </c>
      <c r="X14" s="374">
        <f t="shared" si="10"/>
        <v>0</v>
      </c>
      <c r="Y14" s="442">
        <f t="shared" si="11"/>
        <v>0</v>
      </c>
      <c r="Z14" s="371">
        <f t="shared" si="12"/>
        <v>0</v>
      </c>
      <c r="AA14" s="374">
        <f t="shared" si="13"/>
        <v>0</v>
      </c>
      <c r="AB14" s="374">
        <f t="shared" si="14"/>
        <v>0</v>
      </c>
      <c r="AC14" s="442">
        <f t="shared" si="15"/>
        <v>0</v>
      </c>
      <c r="AD14" s="371">
        <f t="shared" si="132"/>
        <v>1</v>
      </c>
      <c r="AE14" s="374">
        <f t="shared" si="133"/>
        <v>1</v>
      </c>
      <c r="AF14" s="374">
        <f t="shared" si="134"/>
        <v>1</v>
      </c>
      <c r="AG14" s="442">
        <f t="shared" si="135"/>
        <v>1</v>
      </c>
      <c r="AH14" s="371">
        <f t="shared" si="136"/>
        <v>1</v>
      </c>
      <c r="AI14" s="374">
        <f t="shared" si="137"/>
        <v>1</v>
      </c>
      <c r="AJ14" s="374">
        <f t="shared" si="138"/>
        <v>1</v>
      </c>
      <c r="AK14" s="442">
        <f t="shared" si="139"/>
        <v>1</v>
      </c>
      <c r="AL14" s="371">
        <f t="shared" si="140"/>
        <v>1</v>
      </c>
      <c r="AM14" s="374">
        <f t="shared" si="141"/>
        <v>1</v>
      </c>
      <c r="AN14" s="374">
        <f t="shared" si="142"/>
        <v>1</v>
      </c>
      <c r="AO14" s="442">
        <f t="shared" si="143"/>
        <v>1</v>
      </c>
      <c r="AP14" s="371">
        <f t="shared" si="144"/>
        <v>1</v>
      </c>
      <c r="AQ14" s="374">
        <f t="shared" si="145"/>
        <v>1</v>
      </c>
      <c r="AR14" s="374">
        <f t="shared" si="146"/>
        <v>1</v>
      </c>
      <c r="AS14" s="442">
        <f t="shared" si="147"/>
        <v>1</v>
      </c>
      <c r="AT14" s="371">
        <f t="shared" si="148"/>
        <v>1</v>
      </c>
      <c r="AU14" s="374">
        <f t="shared" si="149"/>
        <v>1</v>
      </c>
      <c r="AV14" s="374">
        <f t="shared" si="150"/>
        <v>1</v>
      </c>
      <c r="AW14" s="442">
        <f t="shared" si="151"/>
        <v>1</v>
      </c>
      <c r="AX14" s="371">
        <f t="shared" si="152"/>
        <v>1</v>
      </c>
      <c r="AY14" s="374">
        <f t="shared" si="153"/>
        <v>1</v>
      </c>
      <c r="AZ14" s="374">
        <f t="shared" si="154"/>
        <v>1</v>
      </c>
      <c r="BA14" s="442">
        <f t="shared" si="155"/>
        <v>1</v>
      </c>
      <c r="BB14" s="371">
        <f t="shared" si="156"/>
        <v>1</v>
      </c>
      <c r="BC14" s="374">
        <f t="shared" si="157"/>
        <v>1</v>
      </c>
      <c r="BD14" s="374">
        <f t="shared" si="158"/>
        <v>1</v>
      </c>
      <c r="BE14" s="442">
        <f t="shared" si="159"/>
        <v>1</v>
      </c>
      <c r="BF14" s="371">
        <f t="shared" si="160"/>
        <v>1</v>
      </c>
      <c r="BG14" s="374">
        <f t="shared" si="161"/>
        <v>1</v>
      </c>
      <c r="BH14" s="374">
        <f t="shared" si="162"/>
        <v>1</v>
      </c>
      <c r="BI14" s="442">
        <f t="shared" si="163"/>
        <v>1</v>
      </c>
      <c r="BJ14" s="371">
        <f t="shared" si="164"/>
        <v>1</v>
      </c>
      <c r="BK14" s="374">
        <f t="shared" si="165"/>
        <v>1</v>
      </c>
      <c r="BL14" s="374">
        <f t="shared" si="166"/>
        <v>1</v>
      </c>
      <c r="BM14" s="442">
        <f t="shared" si="167"/>
        <v>1</v>
      </c>
      <c r="BN14" s="371">
        <f t="shared" si="168"/>
        <v>1</v>
      </c>
      <c r="BO14" s="374">
        <f t="shared" si="169"/>
        <v>1</v>
      </c>
      <c r="BP14" s="374">
        <f t="shared" si="170"/>
        <v>1</v>
      </c>
      <c r="BQ14" s="442">
        <f t="shared" si="171"/>
        <v>1</v>
      </c>
      <c r="BR14" s="371">
        <f t="shared" si="172"/>
        <v>1</v>
      </c>
      <c r="BS14" s="374">
        <f t="shared" si="173"/>
        <v>1</v>
      </c>
      <c r="BT14" s="374">
        <f t="shared" si="174"/>
        <v>1</v>
      </c>
      <c r="BU14" s="442">
        <f t="shared" si="175"/>
        <v>1</v>
      </c>
      <c r="BV14" s="371">
        <f t="shared" si="176"/>
        <v>1</v>
      </c>
      <c r="BW14" s="374">
        <f t="shared" si="177"/>
        <v>1</v>
      </c>
      <c r="BX14" s="374">
        <f t="shared" si="178"/>
        <v>1</v>
      </c>
      <c r="BY14" s="442">
        <f t="shared" si="179"/>
        <v>1</v>
      </c>
      <c r="BZ14" s="371">
        <f t="shared" si="180"/>
        <v>1</v>
      </c>
      <c r="CA14" s="374">
        <f t="shared" si="181"/>
        <v>1</v>
      </c>
      <c r="CB14" s="374">
        <f t="shared" si="182"/>
        <v>1</v>
      </c>
      <c r="CC14" s="442">
        <f t="shared" si="183"/>
        <v>1</v>
      </c>
      <c r="CD14" s="371">
        <f t="shared" si="184"/>
        <v>1</v>
      </c>
      <c r="CE14" s="374">
        <f t="shared" si="185"/>
        <v>1</v>
      </c>
      <c r="CF14" s="374">
        <f t="shared" si="186"/>
        <v>1</v>
      </c>
      <c r="CG14" s="442">
        <f t="shared" si="187"/>
        <v>1</v>
      </c>
      <c r="CH14" s="371">
        <f t="shared" si="188"/>
        <v>1</v>
      </c>
      <c r="CI14" s="374">
        <f t="shared" si="189"/>
        <v>1</v>
      </c>
      <c r="CJ14" s="374">
        <f t="shared" si="190"/>
        <v>1</v>
      </c>
      <c r="CK14" s="442">
        <f t="shared" si="191"/>
        <v>1</v>
      </c>
      <c r="CL14" s="371">
        <f t="shared" si="192"/>
        <v>1</v>
      </c>
      <c r="CM14" s="374">
        <f t="shared" si="193"/>
        <v>1</v>
      </c>
      <c r="CN14" s="374">
        <f t="shared" si="194"/>
        <v>1</v>
      </c>
      <c r="CO14" s="442">
        <f t="shared" si="195"/>
        <v>1</v>
      </c>
      <c r="CP14" s="371">
        <f t="shared" si="196"/>
        <v>1</v>
      </c>
      <c r="CQ14" s="374">
        <f t="shared" si="197"/>
        <v>1</v>
      </c>
      <c r="CR14" s="374">
        <f t="shared" si="198"/>
        <v>1</v>
      </c>
      <c r="CS14" s="442">
        <f t="shared" si="199"/>
        <v>1</v>
      </c>
      <c r="CT14" s="371">
        <f t="shared" si="200"/>
        <v>1</v>
      </c>
      <c r="CU14" s="374">
        <f t="shared" si="201"/>
        <v>1</v>
      </c>
      <c r="CV14" s="374">
        <f t="shared" si="202"/>
        <v>1</v>
      </c>
      <c r="CW14" s="442">
        <f t="shared" si="203"/>
        <v>1</v>
      </c>
      <c r="CX14" s="371">
        <f t="shared" si="204"/>
        <v>1</v>
      </c>
      <c r="CY14" s="374">
        <f t="shared" si="205"/>
        <v>1</v>
      </c>
      <c r="CZ14" s="374">
        <f t="shared" si="206"/>
        <v>1</v>
      </c>
      <c r="DA14" s="442">
        <f t="shared" si="207"/>
        <v>1</v>
      </c>
      <c r="DB14" s="371">
        <f t="shared" si="208"/>
        <v>1</v>
      </c>
      <c r="DC14" s="374">
        <f t="shared" si="209"/>
        <v>1</v>
      </c>
      <c r="DD14" s="374">
        <f t="shared" si="210"/>
        <v>1</v>
      </c>
      <c r="DE14" s="442">
        <f t="shared" si="211"/>
        <v>1</v>
      </c>
      <c r="DF14" s="371">
        <f t="shared" si="212"/>
        <v>1</v>
      </c>
      <c r="DG14" s="374">
        <f t="shared" si="213"/>
        <v>1</v>
      </c>
      <c r="DH14" s="374">
        <f t="shared" si="214"/>
        <v>1</v>
      </c>
      <c r="DI14" s="442">
        <f t="shared" si="215"/>
        <v>1</v>
      </c>
      <c r="DJ14" s="371">
        <f t="shared" si="216"/>
        <v>1</v>
      </c>
      <c r="DK14" s="374">
        <f t="shared" si="217"/>
        <v>1</v>
      </c>
      <c r="DL14" s="374">
        <f t="shared" si="218"/>
        <v>1</v>
      </c>
      <c r="DM14" s="442">
        <f t="shared" si="219"/>
        <v>1</v>
      </c>
      <c r="DN14" s="371">
        <f t="shared" si="220"/>
        <v>1</v>
      </c>
      <c r="DO14" s="374">
        <f t="shared" si="221"/>
        <v>1</v>
      </c>
      <c r="DP14" s="374">
        <f t="shared" si="222"/>
        <v>1</v>
      </c>
      <c r="DQ14" s="442">
        <f t="shared" si="223"/>
        <v>1</v>
      </c>
      <c r="DR14" s="371">
        <f t="shared" si="224"/>
        <v>1</v>
      </c>
      <c r="DS14" s="374">
        <f t="shared" si="225"/>
        <v>1</v>
      </c>
      <c r="DT14" s="374">
        <f t="shared" si="226"/>
        <v>1</v>
      </c>
      <c r="DU14" s="442">
        <f t="shared" si="227"/>
        <v>1</v>
      </c>
      <c r="DV14" s="371">
        <f t="shared" si="228"/>
        <v>1</v>
      </c>
      <c r="DW14" s="374">
        <f t="shared" si="229"/>
        <v>1</v>
      </c>
      <c r="DX14" s="374">
        <f t="shared" si="230"/>
        <v>1</v>
      </c>
      <c r="DY14" s="442">
        <f t="shared" si="231"/>
        <v>1</v>
      </c>
      <c r="DZ14" s="371">
        <f t="shared" si="232"/>
        <v>1</v>
      </c>
      <c r="EA14" s="374">
        <f t="shared" si="233"/>
        <v>1</v>
      </c>
      <c r="EB14" s="374">
        <f t="shared" si="234"/>
        <v>1</v>
      </c>
      <c r="EC14" s="442">
        <f t="shared" si="235"/>
        <v>1</v>
      </c>
      <c r="ED14" s="371">
        <f t="shared" si="236"/>
        <v>1</v>
      </c>
      <c r="EE14" s="374">
        <f t="shared" si="237"/>
        <v>1</v>
      </c>
      <c r="EF14" s="374">
        <f t="shared" si="238"/>
        <v>1</v>
      </c>
      <c r="EG14" s="442">
        <f t="shared" si="239"/>
        <v>1</v>
      </c>
      <c r="EH14" s="371">
        <f t="shared" si="240"/>
        <v>1</v>
      </c>
      <c r="EI14" s="374">
        <f t="shared" si="241"/>
        <v>1</v>
      </c>
      <c r="EJ14" s="374">
        <f t="shared" si="242"/>
        <v>1</v>
      </c>
      <c r="EK14" s="442">
        <f t="shared" si="243"/>
        <v>1</v>
      </c>
      <c r="EL14" s="371">
        <f t="shared" si="244"/>
        <v>1</v>
      </c>
      <c r="EM14" s="374">
        <f t="shared" si="245"/>
        <v>1</v>
      </c>
      <c r="EN14" s="374">
        <f t="shared" si="246"/>
        <v>1</v>
      </c>
      <c r="EO14" s="442">
        <f t="shared" si="247"/>
        <v>1</v>
      </c>
      <c r="EP14" s="371">
        <f t="shared" si="248"/>
        <v>1</v>
      </c>
      <c r="EQ14" s="374">
        <f t="shared" si="249"/>
        <v>1</v>
      </c>
      <c r="ER14" s="374">
        <f t="shared" si="250"/>
        <v>1</v>
      </c>
      <c r="ES14" s="442">
        <f t="shared" si="251"/>
        <v>1</v>
      </c>
      <c r="ET14" s="42">
        <f>+schedule_ARAS!EW18</f>
        <v>30</v>
      </c>
      <c r="EU14" s="12">
        <f>+schedule_ARAS!EZ18</f>
        <v>13440</v>
      </c>
      <c r="EV14" s="42">
        <f>+schedule_ARAS!FA18</f>
        <v>7200</v>
      </c>
    </row>
    <row r="15" spans="2:152" s="43" customFormat="1" ht="29.25" customHeight="1">
      <c r="B15" s="495"/>
      <c r="C15" s="384" t="str">
        <f>+schedule_ARAS!C19</f>
        <v>Midia 8</v>
      </c>
      <c r="D15" s="310" t="s">
        <v>153</v>
      </c>
      <c r="E15" s="496">
        <f>+schedule_ARAS!E19</f>
        <v>1</v>
      </c>
      <c r="F15" s="371"/>
      <c r="G15" s="374"/>
      <c r="H15" s="374"/>
      <c r="I15" s="442"/>
      <c r="J15" s="371"/>
      <c r="K15" s="374"/>
      <c r="L15" s="374"/>
      <c r="M15" s="442"/>
      <c r="N15" s="371">
        <f t="shared" si="0"/>
        <v>0</v>
      </c>
      <c r="O15" s="374">
        <f t="shared" si="1"/>
        <v>0</v>
      </c>
      <c r="P15" s="374">
        <f t="shared" si="2"/>
        <v>0</v>
      </c>
      <c r="Q15" s="442">
        <f t="shared" si="3"/>
        <v>0</v>
      </c>
      <c r="R15" s="371">
        <f t="shared" si="4"/>
        <v>0</v>
      </c>
      <c r="S15" s="374">
        <f t="shared" si="5"/>
        <v>0</v>
      </c>
      <c r="T15" s="374">
        <f t="shared" si="6"/>
        <v>0</v>
      </c>
      <c r="U15" s="442">
        <f t="shared" si="7"/>
        <v>0</v>
      </c>
      <c r="V15" s="371">
        <f t="shared" si="8"/>
        <v>0</v>
      </c>
      <c r="W15" s="374">
        <f t="shared" si="9"/>
        <v>0</v>
      </c>
      <c r="X15" s="374">
        <f t="shared" si="10"/>
        <v>0</v>
      </c>
      <c r="Y15" s="442">
        <f t="shared" si="11"/>
        <v>0</v>
      </c>
      <c r="Z15" s="371">
        <f t="shared" si="12"/>
        <v>0</v>
      </c>
      <c r="AA15" s="374">
        <f t="shared" si="13"/>
        <v>0</v>
      </c>
      <c r="AB15" s="374">
        <f t="shared" si="14"/>
        <v>0</v>
      </c>
      <c r="AC15" s="442">
        <f t="shared" si="15"/>
        <v>0</v>
      </c>
      <c r="AD15" s="371">
        <f t="shared" si="132"/>
        <v>1</v>
      </c>
      <c r="AE15" s="374">
        <f t="shared" si="133"/>
        <v>1</v>
      </c>
      <c r="AF15" s="374">
        <f t="shared" si="134"/>
        <v>1</v>
      </c>
      <c r="AG15" s="442">
        <f t="shared" si="135"/>
        <v>1</v>
      </c>
      <c r="AH15" s="371">
        <f t="shared" si="136"/>
        <v>1</v>
      </c>
      <c r="AI15" s="374">
        <f t="shared" si="137"/>
        <v>1</v>
      </c>
      <c r="AJ15" s="374">
        <f t="shared" si="138"/>
        <v>1</v>
      </c>
      <c r="AK15" s="442">
        <f t="shared" si="139"/>
        <v>1</v>
      </c>
      <c r="AL15" s="371">
        <f t="shared" si="140"/>
        <v>1</v>
      </c>
      <c r="AM15" s="374">
        <f t="shared" si="141"/>
        <v>1</v>
      </c>
      <c r="AN15" s="374">
        <f t="shared" si="142"/>
        <v>1</v>
      </c>
      <c r="AO15" s="442">
        <f t="shared" si="143"/>
        <v>1</v>
      </c>
      <c r="AP15" s="371">
        <f t="shared" si="144"/>
        <v>1</v>
      </c>
      <c r="AQ15" s="374">
        <f t="shared" si="145"/>
        <v>1</v>
      </c>
      <c r="AR15" s="374">
        <f t="shared" si="146"/>
        <v>1</v>
      </c>
      <c r="AS15" s="442">
        <f t="shared" si="147"/>
        <v>1</v>
      </c>
      <c r="AT15" s="371">
        <f t="shared" si="148"/>
        <v>1</v>
      </c>
      <c r="AU15" s="374">
        <f t="shared" si="149"/>
        <v>1</v>
      </c>
      <c r="AV15" s="374">
        <f t="shared" si="150"/>
        <v>1</v>
      </c>
      <c r="AW15" s="442">
        <f t="shared" si="151"/>
        <v>1</v>
      </c>
      <c r="AX15" s="371">
        <f t="shared" si="152"/>
        <v>1</v>
      </c>
      <c r="AY15" s="374">
        <f t="shared" si="153"/>
        <v>1</v>
      </c>
      <c r="AZ15" s="374">
        <f t="shared" si="154"/>
        <v>1</v>
      </c>
      <c r="BA15" s="442">
        <f t="shared" si="155"/>
        <v>1</v>
      </c>
      <c r="BB15" s="371">
        <f t="shared" si="156"/>
        <v>1</v>
      </c>
      <c r="BC15" s="374">
        <f t="shared" si="157"/>
        <v>1</v>
      </c>
      <c r="BD15" s="374">
        <f t="shared" si="158"/>
        <v>1</v>
      </c>
      <c r="BE15" s="442">
        <f t="shared" si="159"/>
        <v>1</v>
      </c>
      <c r="BF15" s="371">
        <f t="shared" si="160"/>
        <v>1</v>
      </c>
      <c r="BG15" s="374">
        <f t="shared" si="161"/>
        <v>1</v>
      </c>
      <c r="BH15" s="374">
        <f t="shared" si="162"/>
        <v>1</v>
      </c>
      <c r="BI15" s="442">
        <f t="shared" si="163"/>
        <v>1</v>
      </c>
      <c r="BJ15" s="371">
        <f t="shared" si="164"/>
        <v>1</v>
      </c>
      <c r="BK15" s="374">
        <f t="shared" si="165"/>
        <v>1</v>
      </c>
      <c r="BL15" s="374">
        <f t="shared" si="166"/>
        <v>1</v>
      </c>
      <c r="BM15" s="442">
        <f t="shared" si="167"/>
        <v>1</v>
      </c>
      <c r="BN15" s="371">
        <f t="shared" si="168"/>
        <v>1</v>
      </c>
      <c r="BO15" s="374">
        <f t="shared" si="169"/>
        <v>1</v>
      </c>
      <c r="BP15" s="374">
        <f t="shared" si="170"/>
        <v>1</v>
      </c>
      <c r="BQ15" s="442">
        <f t="shared" si="171"/>
        <v>1</v>
      </c>
      <c r="BR15" s="371">
        <f t="shared" si="172"/>
        <v>1</v>
      </c>
      <c r="BS15" s="374">
        <f t="shared" si="173"/>
        <v>1</v>
      </c>
      <c r="BT15" s="374">
        <f t="shared" si="174"/>
        <v>1</v>
      </c>
      <c r="BU15" s="442">
        <f t="shared" si="175"/>
        <v>1</v>
      </c>
      <c r="BV15" s="371">
        <f t="shared" si="176"/>
        <v>1</v>
      </c>
      <c r="BW15" s="374">
        <f t="shared" si="177"/>
        <v>1</v>
      </c>
      <c r="BX15" s="374">
        <f t="shared" si="178"/>
        <v>1</v>
      </c>
      <c r="BY15" s="442">
        <f t="shared" si="179"/>
        <v>1</v>
      </c>
      <c r="BZ15" s="371">
        <f t="shared" si="180"/>
        <v>1</v>
      </c>
      <c r="CA15" s="374">
        <f t="shared" si="181"/>
        <v>1</v>
      </c>
      <c r="CB15" s="374">
        <f t="shared" si="182"/>
        <v>1</v>
      </c>
      <c r="CC15" s="442">
        <f t="shared" si="183"/>
        <v>1</v>
      </c>
      <c r="CD15" s="371">
        <f t="shared" si="184"/>
        <v>1</v>
      </c>
      <c r="CE15" s="374">
        <f t="shared" si="185"/>
        <v>1</v>
      </c>
      <c r="CF15" s="374">
        <f t="shared" si="186"/>
        <v>1</v>
      </c>
      <c r="CG15" s="442">
        <f t="shared" si="187"/>
        <v>1</v>
      </c>
      <c r="CH15" s="371">
        <f t="shared" si="188"/>
        <v>1</v>
      </c>
      <c r="CI15" s="374">
        <f t="shared" si="189"/>
        <v>1</v>
      </c>
      <c r="CJ15" s="374">
        <f t="shared" si="190"/>
        <v>1</v>
      </c>
      <c r="CK15" s="442">
        <f t="shared" si="191"/>
        <v>1</v>
      </c>
      <c r="CL15" s="371">
        <f t="shared" si="192"/>
        <v>1</v>
      </c>
      <c r="CM15" s="374">
        <f t="shared" si="193"/>
        <v>1</v>
      </c>
      <c r="CN15" s="374">
        <f t="shared" si="194"/>
        <v>1</v>
      </c>
      <c r="CO15" s="442">
        <f t="shared" si="195"/>
        <v>1</v>
      </c>
      <c r="CP15" s="371">
        <f t="shared" si="196"/>
        <v>1</v>
      </c>
      <c r="CQ15" s="374">
        <f t="shared" si="197"/>
        <v>1</v>
      </c>
      <c r="CR15" s="374">
        <f t="shared" si="198"/>
        <v>1</v>
      </c>
      <c r="CS15" s="442">
        <f t="shared" si="199"/>
        <v>1</v>
      </c>
      <c r="CT15" s="371">
        <f t="shared" si="200"/>
        <v>1</v>
      </c>
      <c r="CU15" s="374">
        <f t="shared" si="201"/>
        <v>1</v>
      </c>
      <c r="CV15" s="374">
        <f t="shared" si="202"/>
        <v>1</v>
      </c>
      <c r="CW15" s="442">
        <f t="shared" si="203"/>
        <v>1</v>
      </c>
      <c r="CX15" s="371">
        <f t="shared" si="204"/>
        <v>1</v>
      </c>
      <c r="CY15" s="374">
        <f t="shared" si="205"/>
        <v>1</v>
      </c>
      <c r="CZ15" s="374">
        <f t="shared" si="206"/>
        <v>1</v>
      </c>
      <c r="DA15" s="442">
        <f t="shared" si="207"/>
        <v>1</v>
      </c>
      <c r="DB15" s="371">
        <f t="shared" si="208"/>
        <v>1</v>
      </c>
      <c r="DC15" s="374">
        <f t="shared" si="209"/>
        <v>1</v>
      </c>
      <c r="DD15" s="374">
        <f t="shared" si="210"/>
        <v>1</v>
      </c>
      <c r="DE15" s="442">
        <f t="shared" si="211"/>
        <v>1</v>
      </c>
      <c r="DF15" s="371">
        <f t="shared" si="212"/>
        <v>1</v>
      </c>
      <c r="DG15" s="374">
        <f t="shared" si="213"/>
        <v>1</v>
      </c>
      <c r="DH15" s="374">
        <f t="shared" si="214"/>
        <v>1</v>
      </c>
      <c r="DI15" s="442">
        <f t="shared" si="215"/>
        <v>1</v>
      </c>
      <c r="DJ15" s="371">
        <f t="shared" si="216"/>
        <v>1</v>
      </c>
      <c r="DK15" s="374">
        <f t="shared" si="217"/>
        <v>1</v>
      </c>
      <c r="DL15" s="374">
        <f t="shared" si="218"/>
        <v>1</v>
      </c>
      <c r="DM15" s="442">
        <f t="shared" si="219"/>
        <v>1</v>
      </c>
      <c r="DN15" s="371">
        <f t="shared" si="220"/>
        <v>1</v>
      </c>
      <c r="DO15" s="374">
        <f t="shared" si="221"/>
        <v>1</v>
      </c>
      <c r="DP15" s="374">
        <f t="shared" si="222"/>
        <v>1</v>
      </c>
      <c r="DQ15" s="442">
        <f t="shared" si="223"/>
        <v>1</v>
      </c>
      <c r="DR15" s="371">
        <f t="shared" si="224"/>
        <v>1</v>
      </c>
      <c r="DS15" s="374">
        <f t="shared" si="225"/>
        <v>1</v>
      </c>
      <c r="DT15" s="374">
        <f t="shared" si="226"/>
        <v>1</v>
      </c>
      <c r="DU15" s="442">
        <f t="shared" si="227"/>
        <v>1</v>
      </c>
      <c r="DV15" s="371">
        <f t="shared" si="228"/>
        <v>1</v>
      </c>
      <c r="DW15" s="374">
        <f t="shared" si="229"/>
        <v>1</v>
      </c>
      <c r="DX15" s="374">
        <f t="shared" si="230"/>
        <v>1</v>
      </c>
      <c r="DY15" s="442">
        <f t="shared" si="231"/>
        <v>1</v>
      </c>
      <c r="DZ15" s="371">
        <f t="shared" si="232"/>
        <v>1</v>
      </c>
      <c r="EA15" s="374">
        <f t="shared" si="233"/>
        <v>1</v>
      </c>
      <c r="EB15" s="374">
        <f t="shared" si="234"/>
        <v>1</v>
      </c>
      <c r="EC15" s="442">
        <f t="shared" si="235"/>
        <v>1</v>
      </c>
      <c r="ED15" s="371">
        <f t="shared" si="236"/>
        <v>1</v>
      </c>
      <c r="EE15" s="374">
        <f t="shared" si="237"/>
        <v>1</v>
      </c>
      <c r="EF15" s="374">
        <f t="shared" si="238"/>
        <v>1</v>
      </c>
      <c r="EG15" s="442">
        <f t="shared" si="239"/>
        <v>1</v>
      </c>
      <c r="EH15" s="371">
        <f t="shared" si="240"/>
        <v>1</v>
      </c>
      <c r="EI15" s="374">
        <f t="shared" si="241"/>
        <v>1</v>
      </c>
      <c r="EJ15" s="374">
        <f t="shared" si="242"/>
        <v>1</v>
      </c>
      <c r="EK15" s="442">
        <f t="shared" si="243"/>
        <v>1</v>
      </c>
      <c r="EL15" s="371">
        <f t="shared" si="244"/>
        <v>1</v>
      </c>
      <c r="EM15" s="374">
        <f t="shared" si="245"/>
        <v>1</v>
      </c>
      <c r="EN15" s="374">
        <f t="shared" si="246"/>
        <v>1</v>
      </c>
      <c r="EO15" s="442">
        <f t="shared" si="247"/>
        <v>1</v>
      </c>
      <c r="EP15" s="371">
        <f t="shared" si="248"/>
        <v>1</v>
      </c>
      <c r="EQ15" s="374">
        <f t="shared" si="249"/>
        <v>1</v>
      </c>
      <c r="ER15" s="374">
        <f t="shared" si="250"/>
        <v>1</v>
      </c>
      <c r="ES15" s="442">
        <f t="shared" si="251"/>
        <v>1</v>
      </c>
      <c r="ET15" s="42">
        <f>+schedule_ARAS!EW19</f>
        <v>30</v>
      </c>
      <c r="EU15" s="12">
        <f>+schedule_ARAS!EZ19</f>
        <v>13440</v>
      </c>
      <c r="EV15" s="42">
        <f>+schedule_ARAS!FA19</f>
        <v>7200</v>
      </c>
    </row>
    <row r="16" spans="2:152" s="43" customFormat="1" ht="29.25" customHeight="1">
      <c r="B16" s="495"/>
      <c r="C16" s="384" t="str">
        <f>+schedule_ARAS!C20</f>
        <v>Midia 13</v>
      </c>
      <c r="D16" s="310" t="s">
        <v>153</v>
      </c>
      <c r="E16" s="496">
        <f>+schedule_ARAS!E20</f>
        <v>1</v>
      </c>
      <c r="F16" s="371"/>
      <c r="G16" s="374"/>
      <c r="H16" s="374"/>
      <c r="I16" s="442"/>
      <c r="J16" s="371"/>
      <c r="K16" s="374"/>
      <c r="L16" s="374"/>
      <c r="M16" s="442"/>
      <c r="N16" s="371">
        <f t="shared" si="0"/>
        <v>0</v>
      </c>
      <c r="O16" s="374">
        <f t="shared" si="1"/>
        <v>0</v>
      </c>
      <c r="P16" s="374">
        <f t="shared" si="2"/>
        <v>0</v>
      </c>
      <c r="Q16" s="442">
        <f t="shared" si="3"/>
        <v>0</v>
      </c>
      <c r="R16" s="371">
        <f t="shared" si="4"/>
        <v>0</v>
      </c>
      <c r="S16" s="374">
        <f t="shared" si="5"/>
        <v>0</v>
      </c>
      <c r="T16" s="374">
        <f t="shared" si="6"/>
        <v>0</v>
      </c>
      <c r="U16" s="442">
        <f t="shared" si="7"/>
        <v>0</v>
      </c>
      <c r="V16" s="371">
        <f t="shared" si="8"/>
        <v>0</v>
      </c>
      <c r="W16" s="374">
        <f t="shared" si="9"/>
        <v>0</v>
      </c>
      <c r="X16" s="374">
        <f t="shared" si="10"/>
        <v>0</v>
      </c>
      <c r="Y16" s="442">
        <f t="shared" si="11"/>
        <v>0</v>
      </c>
      <c r="Z16" s="371">
        <f t="shared" si="12"/>
        <v>0</v>
      </c>
      <c r="AA16" s="374">
        <f t="shared" si="13"/>
        <v>0</v>
      </c>
      <c r="AB16" s="374">
        <f t="shared" si="14"/>
        <v>0</v>
      </c>
      <c r="AC16" s="442">
        <f t="shared" si="15"/>
        <v>0</v>
      </c>
      <c r="AD16" s="371">
        <f t="shared" si="132"/>
        <v>1</v>
      </c>
      <c r="AE16" s="374">
        <f t="shared" si="133"/>
        <v>1</v>
      </c>
      <c r="AF16" s="374">
        <f t="shared" si="134"/>
        <v>1</v>
      </c>
      <c r="AG16" s="442">
        <f t="shared" si="135"/>
        <v>1</v>
      </c>
      <c r="AH16" s="371">
        <f t="shared" si="136"/>
        <v>1</v>
      </c>
      <c r="AI16" s="374">
        <f t="shared" si="137"/>
        <v>1</v>
      </c>
      <c r="AJ16" s="374">
        <f t="shared" si="138"/>
        <v>1</v>
      </c>
      <c r="AK16" s="442">
        <f t="shared" si="139"/>
        <v>1</v>
      </c>
      <c r="AL16" s="371">
        <f t="shared" si="140"/>
        <v>1</v>
      </c>
      <c r="AM16" s="374">
        <f t="shared" si="141"/>
        <v>1</v>
      </c>
      <c r="AN16" s="374">
        <f t="shared" si="142"/>
        <v>1</v>
      </c>
      <c r="AO16" s="442">
        <f t="shared" si="143"/>
        <v>1</v>
      </c>
      <c r="AP16" s="371">
        <f t="shared" si="144"/>
        <v>1</v>
      </c>
      <c r="AQ16" s="374">
        <f t="shared" si="145"/>
        <v>1</v>
      </c>
      <c r="AR16" s="374">
        <f t="shared" si="146"/>
        <v>1</v>
      </c>
      <c r="AS16" s="442">
        <f t="shared" si="147"/>
        <v>1</v>
      </c>
      <c r="AT16" s="371">
        <f t="shared" si="148"/>
        <v>1</v>
      </c>
      <c r="AU16" s="374">
        <f t="shared" si="149"/>
        <v>1</v>
      </c>
      <c r="AV16" s="374">
        <f t="shared" si="150"/>
        <v>1</v>
      </c>
      <c r="AW16" s="442">
        <f t="shared" si="151"/>
        <v>1</v>
      </c>
      <c r="AX16" s="371">
        <f t="shared" si="152"/>
        <v>1</v>
      </c>
      <c r="AY16" s="374">
        <f t="shared" si="153"/>
        <v>1</v>
      </c>
      <c r="AZ16" s="374">
        <f t="shared" si="154"/>
        <v>1</v>
      </c>
      <c r="BA16" s="442">
        <f t="shared" si="155"/>
        <v>1</v>
      </c>
      <c r="BB16" s="371">
        <f t="shared" si="156"/>
        <v>1</v>
      </c>
      <c r="BC16" s="374">
        <f t="shared" si="157"/>
        <v>1</v>
      </c>
      <c r="BD16" s="374">
        <f t="shared" si="158"/>
        <v>1</v>
      </c>
      <c r="BE16" s="442">
        <f t="shared" si="159"/>
        <v>1</v>
      </c>
      <c r="BF16" s="371">
        <f t="shared" si="160"/>
        <v>1</v>
      </c>
      <c r="BG16" s="374">
        <f t="shared" si="161"/>
        <v>1</v>
      </c>
      <c r="BH16" s="374">
        <f t="shared" si="162"/>
        <v>1</v>
      </c>
      <c r="BI16" s="442">
        <f t="shared" si="163"/>
        <v>1</v>
      </c>
      <c r="BJ16" s="371">
        <f t="shared" si="164"/>
        <v>1</v>
      </c>
      <c r="BK16" s="374">
        <f t="shared" si="165"/>
        <v>1</v>
      </c>
      <c r="BL16" s="374">
        <f t="shared" si="166"/>
        <v>1</v>
      </c>
      <c r="BM16" s="442">
        <f t="shared" si="167"/>
        <v>1</v>
      </c>
      <c r="BN16" s="371">
        <f t="shared" si="168"/>
        <v>1</v>
      </c>
      <c r="BO16" s="374">
        <f t="shared" si="169"/>
        <v>1</v>
      </c>
      <c r="BP16" s="374">
        <f t="shared" si="170"/>
        <v>1</v>
      </c>
      <c r="BQ16" s="442">
        <f t="shared" si="171"/>
        <v>1</v>
      </c>
      <c r="BR16" s="371">
        <f t="shared" si="172"/>
        <v>1</v>
      </c>
      <c r="BS16" s="374">
        <f t="shared" si="173"/>
        <v>1</v>
      </c>
      <c r="BT16" s="374">
        <f t="shared" si="174"/>
        <v>1</v>
      </c>
      <c r="BU16" s="442">
        <f t="shared" si="175"/>
        <v>1</v>
      </c>
      <c r="BV16" s="371">
        <f t="shared" si="176"/>
        <v>1</v>
      </c>
      <c r="BW16" s="374">
        <f t="shared" si="177"/>
        <v>1</v>
      </c>
      <c r="BX16" s="374">
        <f t="shared" si="178"/>
        <v>1</v>
      </c>
      <c r="BY16" s="442">
        <f t="shared" si="179"/>
        <v>1</v>
      </c>
      <c r="BZ16" s="371">
        <f t="shared" si="180"/>
        <v>1</v>
      </c>
      <c r="CA16" s="374">
        <f t="shared" si="181"/>
        <v>1</v>
      </c>
      <c r="CB16" s="374">
        <f t="shared" si="182"/>
        <v>1</v>
      </c>
      <c r="CC16" s="442">
        <f t="shared" si="183"/>
        <v>1</v>
      </c>
      <c r="CD16" s="371">
        <f t="shared" si="184"/>
        <v>1</v>
      </c>
      <c r="CE16" s="374">
        <f t="shared" si="185"/>
        <v>1</v>
      </c>
      <c r="CF16" s="374">
        <f t="shared" si="186"/>
        <v>1</v>
      </c>
      <c r="CG16" s="442">
        <f t="shared" si="187"/>
        <v>1</v>
      </c>
      <c r="CH16" s="371">
        <f t="shared" si="188"/>
        <v>1</v>
      </c>
      <c r="CI16" s="374">
        <f t="shared" si="189"/>
        <v>1</v>
      </c>
      <c r="CJ16" s="374">
        <f t="shared" si="190"/>
        <v>1</v>
      </c>
      <c r="CK16" s="442">
        <f t="shared" si="191"/>
        <v>1</v>
      </c>
      <c r="CL16" s="371">
        <f t="shared" si="192"/>
        <v>1</v>
      </c>
      <c r="CM16" s="374">
        <f t="shared" si="193"/>
        <v>1</v>
      </c>
      <c r="CN16" s="374">
        <f t="shared" si="194"/>
        <v>1</v>
      </c>
      <c r="CO16" s="442">
        <f t="shared" si="195"/>
        <v>1</v>
      </c>
      <c r="CP16" s="371">
        <f t="shared" si="196"/>
        <v>1</v>
      </c>
      <c r="CQ16" s="374">
        <f t="shared" si="197"/>
        <v>1</v>
      </c>
      <c r="CR16" s="374">
        <f t="shared" si="198"/>
        <v>1</v>
      </c>
      <c r="CS16" s="442">
        <f t="shared" si="199"/>
        <v>1</v>
      </c>
      <c r="CT16" s="371">
        <f t="shared" si="200"/>
        <v>1</v>
      </c>
      <c r="CU16" s="374">
        <f t="shared" si="201"/>
        <v>1</v>
      </c>
      <c r="CV16" s="374">
        <f t="shared" si="202"/>
        <v>1</v>
      </c>
      <c r="CW16" s="442">
        <f t="shared" si="203"/>
        <v>1</v>
      </c>
      <c r="CX16" s="371">
        <f t="shared" si="204"/>
        <v>1</v>
      </c>
      <c r="CY16" s="374">
        <f t="shared" si="205"/>
        <v>1</v>
      </c>
      <c r="CZ16" s="374">
        <f t="shared" si="206"/>
        <v>1</v>
      </c>
      <c r="DA16" s="442">
        <f t="shared" si="207"/>
        <v>1</v>
      </c>
      <c r="DB16" s="371">
        <f t="shared" si="208"/>
        <v>1</v>
      </c>
      <c r="DC16" s="374">
        <f t="shared" si="209"/>
        <v>1</v>
      </c>
      <c r="DD16" s="374">
        <f t="shared" si="210"/>
        <v>1</v>
      </c>
      <c r="DE16" s="442">
        <f t="shared" si="211"/>
        <v>1</v>
      </c>
      <c r="DF16" s="371">
        <f t="shared" si="212"/>
        <v>1</v>
      </c>
      <c r="DG16" s="374">
        <f t="shared" si="213"/>
        <v>1</v>
      </c>
      <c r="DH16" s="374">
        <f t="shared" si="214"/>
        <v>1</v>
      </c>
      <c r="DI16" s="442">
        <f t="shared" si="215"/>
        <v>1</v>
      </c>
      <c r="DJ16" s="371">
        <f t="shared" si="216"/>
        <v>1</v>
      </c>
      <c r="DK16" s="374">
        <f t="shared" si="217"/>
        <v>1</v>
      </c>
      <c r="DL16" s="374">
        <f t="shared" si="218"/>
        <v>1</v>
      </c>
      <c r="DM16" s="442">
        <f t="shared" si="219"/>
        <v>1</v>
      </c>
      <c r="DN16" s="371">
        <f t="shared" si="220"/>
        <v>1</v>
      </c>
      <c r="DO16" s="374">
        <f t="shared" si="221"/>
        <v>1</v>
      </c>
      <c r="DP16" s="374">
        <f t="shared" si="222"/>
        <v>1</v>
      </c>
      <c r="DQ16" s="442">
        <f t="shared" si="223"/>
        <v>1</v>
      </c>
      <c r="DR16" s="371">
        <f t="shared" si="224"/>
        <v>1</v>
      </c>
      <c r="DS16" s="374">
        <f t="shared" si="225"/>
        <v>1</v>
      </c>
      <c r="DT16" s="374">
        <f t="shared" si="226"/>
        <v>1</v>
      </c>
      <c r="DU16" s="442">
        <f t="shared" si="227"/>
        <v>1</v>
      </c>
      <c r="DV16" s="371">
        <f t="shared" si="228"/>
        <v>1</v>
      </c>
      <c r="DW16" s="374">
        <f t="shared" si="229"/>
        <v>1</v>
      </c>
      <c r="DX16" s="374">
        <f t="shared" si="230"/>
        <v>1</v>
      </c>
      <c r="DY16" s="442">
        <f t="shared" si="231"/>
        <v>1</v>
      </c>
      <c r="DZ16" s="371">
        <f t="shared" si="232"/>
        <v>1</v>
      </c>
      <c r="EA16" s="374">
        <f t="shared" si="233"/>
        <v>1</v>
      </c>
      <c r="EB16" s="374">
        <f t="shared" si="234"/>
        <v>1</v>
      </c>
      <c r="EC16" s="442">
        <f t="shared" si="235"/>
        <v>1</v>
      </c>
      <c r="ED16" s="371">
        <f t="shared" si="236"/>
        <v>1</v>
      </c>
      <c r="EE16" s="374">
        <f t="shared" si="237"/>
        <v>1</v>
      </c>
      <c r="EF16" s="374">
        <f t="shared" si="238"/>
        <v>1</v>
      </c>
      <c r="EG16" s="442">
        <f t="shared" si="239"/>
        <v>1</v>
      </c>
      <c r="EH16" s="371">
        <f t="shared" si="240"/>
        <v>1</v>
      </c>
      <c r="EI16" s="374">
        <f t="shared" si="241"/>
        <v>1</v>
      </c>
      <c r="EJ16" s="374">
        <f t="shared" si="242"/>
        <v>1</v>
      </c>
      <c r="EK16" s="442">
        <f t="shared" si="243"/>
        <v>1</v>
      </c>
      <c r="EL16" s="371">
        <f t="shared" si="244"/>
        <v>1</v>
      </c>
      <c r="EM16" s="374">
        <f t="shared" si="245"/>
        <v>1</v>
      </c>
      <c r="EN16" s="374">
        <f t="shared" si="246"/>
        <v>1</v>
      </c>
      <c r="EO16" s="442">
        <f t="shared" si="247"/>
        <v>1</v>
      </c>
      <c r="EP16" s="371">
        <f t="shared" si="248"/>
        <v>1</v>
      </c>
      <c r="EQ16" s="374">
        <f t="shared" si="249"/>
        <v>1</v>
      </c>
      <c r="ER16" s="374">
        <f t="shared" si="250"/>
        <v>1</v>
      </c>
      <c r="ES16" s="442">
        <f t="shared" si="251"/>
        <v>1</v>
      </c>
      <c r="ET16" s="42">
        <f>+schedule_ARAS!EW20</f>
        <v>30</v>
      </c>
      <c r="EU16" s="12">
        <f>+schedule_ARAS!EZ20</f>
        <v>13440</v>
      </c>
      <c r="EV16" s="42">
        <f>+schedule_ARAS!FA20</f>
        <v>7200</v>
      </c>
    </row>
    <row r="17" spans="2:152" s="43" customFormat="1" ht="29.25" customHeight="1">
      <c r="B17" s="495"/>
      <c r="C17" s="384" t="str">
        <f>+schedule_ARAS!C21</f>
        <v>Paşa</v>
      </c>
      <c r="D17" s="310" t="s">
        <v>153</v>
      </c>
      <c r="E17" s="496">
        <f>+schedule_ARAS!E21</f>
        <v>1</v>
      </c>
      <c r="F17" s="371"/>
      <c r="G17" s="374"/>
      <c r="H17" s="374"/>
      <c r="I17" s="442"/>
      <c r="J17" s="371"/>
      <c r="K17" s="374"/>
      <c r="L17" s="374"/>
      <c r="M17" s="442"/>
      <c r="N17" s="371">
        <f t="shared" si="0"/>
        <v>0</v>
      </c>
      <c r="O17" s="374">
        <f t="shared" si="1"/>
        <v>0</v>
      </c>
      <c r="P17" s="374">
        <f t="shared" si="2"/>
        <v>0</v>
      </c>
      <c r="Q17" s="442">
        <f t="shared" si="3"/>
        <v>0</v>
      </c>
      <c r="R17" s="371">
        <f t="shared" si="4"/>
        <v>0</v>
      </c>
      <c r="S17" s="374">
        <f t="shared" si="5"/>
        <v>0</v>
      </c>
      <c r="T17" s="374">
        <f t="shared" si="6"/>
        <v>0</v>
      </c>
      <c r="U17" s="442">
        <f t="shared" si="7"/>
        <v>0</v>
      </c>
      <c r="V17" s="371">
        <f t="shared" si="8"/>
        <v>0</v>
      </c>
      <c r="W17" s="374">
        <f t="shared" si="9"/>
        <v>0</v>
      </c>
      <c r="X17" s="374">
        <f t="shared" si="10"/>
        <v>0</v>
      </c>
      <c r="Y17" s="442">
        <f t="shared" si="11"/>
        <v>0</v>
      </c>
      <c r="Z17" s="371">
        <f t="shared" si="12"/>
        <v>0</v>
      </c>
      <c r="AA17" s="374">
        <f t="shared" si="13"/>
        <v>0</v>
      </c>
      <c r="AB17" s="374">
        <f t="shared" si="14"/>
        <v>0</v>
      </c>
      <c r="AC17" s="442">
        <f t="shared" si="15"/>
        <v>0</v>
      </c>
      <c r="AD17" s="371">
        <f t="shared" si="132"/>
        <v>1</v>
      </c>
      <c r="AE17" s="374">
        <f t="shared" si="133"/>
        <v>1</v>
      </c>
      <c r="AF17" s="374">
        <f t="shared" si="134"/>
        <v>1</v>
      </c>
      <c r="AG17" s="442">
        <f t="shared" si="135"/>
        <v>1</v>
      </c>
      <c r="AH17" s="371">
        <f t="shared" si="136"/>
        <v>1</v>
      </c>
      <c r="AI17" s="374">
        <f t="shared" si="137"/>
        <v>1</v>
      </c>
      <c r="AJ17" s="374">
        <f t="shared" si="138"/>
        <v>1</v>
      </c>
      <c r="AK17" s="442">
        <f t="shared" si="139"/>
        <v>1</v>
      </c>
      <c r="AL17" s="371">
        <f t="shared" si="140"/>
        <v>1</v>
      </c>
      <c r="AM17" s="374">
        <f t="shared" si="141"/>
        <v>1</v>
      </c>
      <c r="AN17" s="374">
        <f t="shared" si="142"/>
        <v>1</v>
      </c>
      <c r="AO17" s="442">
        <f t="shared" si="143"/>
        <v>1</v>
      </c>
      <c r="AP17" s="371">
        <f t="shared" si="144"/>
        <v>1</v>
      </c>
      <c r="AQ17" s="374">
        <f t="shared" si="145"/>
        <v>1</v>
      </c>
      <c r="AR17" s="374">
        <f t="shared" si="146"/>
        <v>1</v>
      </c>
      <c r="AS17" s="442">
        <f t="shared" si="147"/>
        <v>1</v>
      </c>
      <c r="AT17" s="371">
        <f t="shared" si="148"/>
        <v>1</v>
      </c>
      <c r="AU17" s="374">
        <f t="shared" si="149"/>
        <v>1</v>
      </c>
      <c r="AV17" s="374">
        <f t="shared" si="150"/>
        <v>1</v>
      </c>
      <c r="AW17" s="442">
        <f t="shared" si="151"/>
        <v>1</v>
      </c>
      <c r="AX17" s="371">
        <f t="shared" si="152"/>
        <v>1</v>
      </c>
      <c r="AY17" s="374">
        <f t="shared" si="153"/>
        <v>1</v>
      </c>
      <c r="AZ17" s="374">
        <f t="shared" si="154"/>
        <v>1</v>
      </c>
      <c r="BA17" s="442">
        <f t="shared" si="155"/>
        <v>1</v>
      </c>
      <c r="BB17" s="371">
        <f t="shared" si="156"/>
        <v>1</v>
      </c>
      <c r="BC17" s="374">
        <f t="shared" si="157"/>
        <v>1</v>
      </c>
      <c r="BD17" s="374">
        <f t="shared" si="158"/>
        <v>1</v>
      </c>
      <c r="BE17" s="442">
        <f t="shared" si="159"/>
        <v>1</v>
      </c>
      <c r="BF17" s="371">
        <f t="shared" si="160"/>
        <v>1</v>
      </c>
      <c r="BG17" s="374">
        <f t="shared" si="161"/>
        <v>1</v>
      </c>
      <c r="BH17" s="374">
        <f t="shared" si="162"/>
        <v>1</v>
      </c>
      <c r="BI17" s="442">
        <f t="shared" si="163"/>
        <v>1</v>
      </c>
      <c r="BJ17" s="371">
        <f t="shared" si="164"/>
        <v>1</v>
      </c>
      <c r="BK17" s="374">
        <f t="shared" si="165"/>
        <v>1</v>
      </c>
      <c r="BL17" s="374">
        <f t="shared" si="166"/>
        <v>1</v>
      </c>
      <c r="BM17" s="442">
        <f t="shared" si="167"/>
        <v>1</v>
      </c>
      <c r="BN17" s="371">
        <f t="shared" si="168"/>
        <v>1</v>
      </c>
      <c r="BO17" s="374">
        <f t="shared" si="169"/>
        <v>1</v>
      </c>
      <c r="BP17" s="374">
        <f t="shared" si="170"/>
        <v>1</v>
      </c>
      <c r="BQ17" s="442">
        <f t="shared" si="171"/>
        <v>1</v>
      </c>
      <c r="BR17" s="371">
        <f t="shared" si="172"/>
        <v>1</v>
      </c>
      <c r="BS17" s="374">
        <f t="shared" si="173"/>
        <v>1</v>
      </c>
      <c r="BT17" s="374">
        <f t="shared" si="174"/>
        <v>1</v>
      </c>
      <c r="BU17" s="442">
        <f t="shared" si="175"/>
        <v>1</v>
      </c>
      <c r="BV17" s="371">
        <f t="shared" si="176"/>
        <v>1</v>
      </c>
      <c r="BW17" s="374">
        <f t="shared" si="177"/>
        <v>1</v>
      </c>
      <c r="BX17" s="374">
        <f t="shared" si="178"/>
        <v>1</v>
      </c>
      <c r="BY17" s="442">
        <f t="shared" si="179"/>
        <v>1</v>
      </c>
      <c r="BZ17" s="371">
        <f t="shared" si="180"/>
        <v>1</v>
      </c>
      <c r="CA17" s="374">
        <f t="shared" si="181"/>
        <v>1</v>
      </c>
      <c r="CB17" s="374">
        <f t="shared" si="182"/>
        <v>1</v>
      </c>
      <c r="CC17" s="442">
        <f t="shared" si="183"/>
        <v>1</v>
      </c>
      <c r="CD17" s="371">
        <f t="shared" si="184"/>
        <v>1</v>
      </c>
      <c r="CE17" s="374">
        <f t="shared" si="185"/>
        <v>1</v>
      </c>
      <c r="CF17" s="374">
        <f t="shared" si="186"/>
        <v>1</v>
      </c>
      <c r="CG17" s="442">
        <f t="shared" si="187"/>
        <v>1</v>
      </c>
      <c r="CH17" s="371">
        <f t="shared" si="188"/>
        <v>1</v>
      </c>
      <c r="CI17" s="374">
        <f t="shared" si="189"/>
        <v>1</v>
      </c>
      <c r="CJ17" s="374">
        <f t="shared" si="190"/>
        <v>1</v>
      </c>
      <c r="CK17" s="442">
        <f t="shared" si="191"/>
        <v>1</v>
      </c>
      <c r="CL17" s="371">
        <f t="shared" si="192"/>
        <v>1</v>
      </c>
      <c r="CM17" s="374">
        <f t="shared" si="193"/>
        <v>1</v>
      </c>
      <c r="CN17" s="374">
        <f t="shared" si="194"/>
        <v>1</v>
      </c>
      <c r="CO17" s="442">
        <f t="shared" si="195"/>
        <v>1</v>
      </c>
      <c r="CP17" s="371">
        <f t="shared" si="196"/>
        <v>1</v>
      </c>
      <c r="CQ17" s="374">
        <f t="shared" si="197"/>
        <v>1</v>
      </c>
      <c r="CR17" s="374">
        <f t="shared" si="198"/>
        <v>1</v>
      </c>
      <c r="CS17" s="442">
        <f t="shared" si="199"/>
        <v>1</v>
      </c>
      <c r="CT17" s="371">
        <f t="shared" si="200"/>
        <v>1</v>
      </c>
      <c r="CU17" s="374">
        <f t="shared" si="201"/>
        <v>1</v>
      </c>
      <c r="CV17" s="374">
        <f t="shared" si="202"/>
        <v>1</v>
      </c>
      <c r="CW17" s="442">
        <f t="shared" si="203"/>
        <v>1</v>
      </c>
      <c r="CX17" s="371">
        <f t="shared" si="204"/>
        <v>1</v>
      </c>
      <c r="CY17" s="374">
        <f t="shared" si="205"/>
        <v>1</v>
      </c>
      <c r="CZ17" s="374">
        <f t="shared" si="206"/>
        <v>1</v>
      </c>
      <c r="DA17" s="442">
        <f t="shared" si="207"/>
        <v>1</v>
      </c>
      <c r="DB17" s="371">
        <f t="shared" si="208"/>
        <v>1</v>
      </c>
      <c r="DC17" s="374">
        <f t="shared" si="209"/>
        <v>1</v>
      </c>
      <c r="DD17" s="374">
        <f t="shared" si="210"/>
        <v>1</v>
      </c>
      <c r="DE17" s="442">
        <f t="shared" si="211"/>
        <v>1</v>
      </c>
      <c r="DF17" s="371">
        <f t="shared" si="212"/>
        <v>1</v>
      </c>
      <c r="DG17" s="374">
        <f t="shared" si="213"/>
        <v>1</v>
      </c>
      <c r="DH17" s="374">
        <f t="shared" si="214"/>
        <v>1</v>
      </c>
      <c r="DI17" s="442">
        <f t="shared" si="215"/>
        <v>1</v>
      </c>
      <c r="DJ17" s="371">
        <f t="shared" si="216"/>
        <v>1</v>
      </c>
      <c r="DK17" s="374">
        <f t="shared" si="217"/>
        <v>1</v>
      </c>
      <c r="DL17" s="374">
        <f t="shared" si="218"/>
        <v>1</v>
      </c>
      <c r="DM17" s="442">
        <f t="shared" si="219"/>
        <v>1</v>
      </c>
      <c r="DN17" s="371">
        <f t="shared" si="220"/>
        <v>1</v>
      </c>
      <c r="DO17" s="374">
        <f t="shared" si="221"/>
        <v>1</v>
      </c>
      <c r="DP17" s="374">
        <f t="shared" si="222"/>
        <v>1</v>
      </c>
      <c r="DQ17" s="442">
        <f t="shared" si="223"/>
        <v>1</v>
      </c>
      <c r="DR17" s="371">
        <f t="shared" si="224"/>
        <v>1</v>
      </c>
      <c r="DS17" s="374">
        <f t="shared" si="225"/>
        <v>1</v>
      </c>
      <c r="DT17" s="374">
        <f t="shared" si="226"/>
        <v>1</v>
      </c>
      <c r="DU17" s="442">
        <f t="shared" si="227"/>
        <v>1</v>
      </c>
      <c r="DV17" s="371">
        <f t="shared" si="228"/>
        <v>1</v>
      </c>
      <c r="DW17" s="374">
        <f t="shared" si="229"/>
        <v>1</v>
      </c>
      <c r="DX17" s="374">
        <f t="shared" si="230"/>
        <v>1</v>
      </c>
      <c r="DY17" s="442">
        <f t="shared" si="231"/>
        <v>1</v>
      </c>
      <c r="DZ17" s="371">
        <f t="shared" si="232"/>
        <v>1</v>
      </c>
      <c r="EA17" s="374">
        <f t="shared" si="233"/>
        <v>1</v>
      </c>
      <c r="EB17" s="374">
        <f t="shared" si="234"/>
        <v>1</v>
      </c>
      <c r="EC17" s="442">
        <f t="shared" si="235"/>
        <v>1</v>
      </c>
      <c r="ED17" s="371">
        <f t="shared" si="236"/>
        <v>1</v>
      </c>
      <c r="EE17" s="374">
        <f t="shared" si="237"/>
        <v>1</v>
      </c>
      <c r="EF17" s="374">
        <f t="shared" si="238"/>
        <v>1</v>
      </c>
      <c r="EG17" s="442">
        <f t="shared" si="239"/>
        <v>1</v>
      </c>
      <c r="EH17" s="371">
        <f t="shared" si="240"/>
        <v>1</v>
      </c>
      <c r="EI17" s="374">
        <f t="shared" si="241"/>
        <v>1</v>
      </c>
      <c r="EJ17" s="374">
        <f t="shared" si="242"/>
        <v>1</v>
      </c>
      <c r="EK17" s="442">
        <f t="shared" si="243"/>
        <v>1</v>
      </c>
      <c r="EL17" s="371">
        <f t="shared" si="244"/>
        <v>1</v>
      </c>
      <c r="EM17" s="374">
        <f t="shared" si="245"/>
        <v>1</v>
      </c>
      <c r="EN17" s="374">
        <f t="shared" si="246"/>
        <v>1</v>
      </c>
      <c r="EO17" s="442">
        <f t="shared" si="247"/>
        <v>1</v>
      </c>
      <c r="EP17" s="371">
        <f t="shared" si="248"/>
        <v>1</v>
      </c>
      <c r="EQ17" s="374">
        <f t="shared" si="249"/>
        <v>1</v>
      </c>
      <c r="ER17" s="374">
        <f t="shared" si="250"/>
        <v>1</v>
      </c>
      <c r="ES17" s="442">
        <f t="shared" si="251"/>
        <v>1</v>
      </c>
      <c r="ET17" s="42">
        <f>+schedule_ARAS!EW21</f>
        <v>30</v>
      </c>
      <c r="EU17" s="12">
        <f>+schedule_ARAS!EZ21</f>
        <v>13440</v>
      </c>
      <c r="EV17" s="42">
        <f>+schedule_ARAS!FA21</f>
        <v>7200</v>
      </c>
    </row>
    <row r="18" spans="2:152" s="43" customFormat="1" ht="29.25" customHeight="1">
      <c r="B18" s="495"/>
      <c r="C18" s="384" t="str">
        <f>+schedule_ARAS!C22</f>
        <v>Hila</v>
      </c>
      <c r="D18" s="310" t="s">
        <v>153</v>
      </c>
      <c r="E18" s="496">
        <f>+schedule_ARAS!E22</f>
        <v>1</v>
      </c>
      <c r="F18" s="371"/>
      <c r="G18" s="374"/>
      <c r="H18" s="374"/>
      <c r="I18" s="442"/>
      <c r="J18" s="371"/>
      <c r="K18" s="374"/>
      <c r="L18" s="374"/>
      <c r="M18" s="442"/>
      <c r="N18" s="371">
        <f t="shared" si="0"/>
        <v>0</v>
      </c>
      <c r="O18" s="374">
        <f t="shared" si="1"/>
        <v>0</v>
      </c>
      <c r="P18" s="374">
        <f t="shared" si="2"/>
        <v>0</v>
      </c>
      <c r="Q18" s="442">
        <f t="shared" si="3"/>
        <v>0</v>
      </c>
      <c r="R18" s="371">
        <f t="shared" si="4"/>
        <v>0</v>
      </c>
      <c r="S18" s="374">
        <f t="shared" si="5"/>
        <v>0</v>
      </c>
      <c r="T18" s="374">
        <f t="shared" si="6"/>
        <v>0</v>
      </c>
      <c r="U18" s="442">
        <f t="shared" si="7"/>
        <v>0</v>
      </c>
      <c r="V18" s="371">
        <f t="shared" si="8"/>
        <v>0</v>
      </c>
      <c r="W18" s="374">
        <f t="shared" si="9"/>
        <v>0</v>
      </c>
      <c r="X18" s="374">
        <f t="shared" si="10"/>
        <v>0</v>
      </c>
      <c r="Y18" s="442">
        <f t="shared" si="11"/>
        <v>0</v>
      </c>
      <c r="Z18" s="371">
        <f t="shared" si="12"/>
        <v>0</v>
      </c>
      <c r="AA18" s="374">
        <f t="shared" si="13"/>
        <v>0</v>
      </c>
      <c r="AB18" s="374">
        <f t="shared" si="14"/>
        <v>0</v>
      </c>
      <c r="AC18" s="442">
        <f t="shared" si="15"/>
        <v>0</v>
      </c>
      <c r="AD18" s="371">
        <f t="shared" si="132"/>
        <v>1</v>
      </c>
      <c r="AE18" s="374">
        <f t="shared" si="133"/>
        <v>1</v>
      </c>
      <c r="AF18" s="374">
        <f t="shared" si="134"/>
        <v>1</v>
      </c>
      <c r="AG18" s="442">
        <f t="shared" si="135"/>
        <v>1</v>
      </c>
      <c r="AH18" s="371">
        <f t="shared" si="136"/>
        <v>1</v>
      </c>
      <c r="AI18" s="374">
        <f t="shared" si="137"/>
        <v>1</v>
      </c>
      <c r="AJ18" s="374">
        <f t="shared" si="138"/>
        <v>1</v>
      </c>
      <c r="AK18" s="442">
        <f t="shared" si="139"/>
        <v>1</v>
      </c>
      <c r="AL18" s="371">
        <f t="shared" si="140"/>
        <v>1</v>
      </c>
      <c r="AM18" s="374">
        <f t="shared" si="141"/>
        <v>1</v>
      </c>
      <c r="AN18" s="374">
        <f t="shared" si="142"/>
        <v>1</v>
      </c>
      <c r="AO18" s="442">
        <f t="shared" si="143"/>
        <v>1</v>
      </c>
      <c r="AP18" s="371">
        <f t="shared" si="144"/>
        <v>1</v>
      </c>
      <c r="AQ18" s="374">
        <f t="shared" si="145"/>
        <v>1</v>
      </c>
      <c r="AR18" s="374">
        <f t="shared" si="146"/>
        <v>1</v>
      </c>
      <c r="AS18" s="442">
        <f t="shared" si="147"/>
        <v>1</v>
      </c>
      <c r="AT18" s="371">
        <f t="shared" si="148"/>
        <v>1</v>
      </c>
      <c r="AU18" s="374">
        <f t="shared" si="149"/>
        <v>1</v>
      </c>
      <c r="AV18" s="374">
        <f t="shared" si="150"/>
        <v>1</v>
      </c>
      <c r="AW18" s="442">
        <f t="shared" si="151"/>
        <v>1</v>
      </c>
      <c r="AX18" s="371">
        <f t="shared" si="152"/>
        <v>1</v>
      </c>
      <c r="AY18" s="374">
        <f t="shared" si="153"/>
        <v>1</v>
      </c>
      <c r="AZ18" s="374">
        <f t="shared" si="154"/>
        <v>1</v>
      </c>
      <c r="BA18" s="442">
        <f t="shared" si="155"/>
        <v>1</v>
      </c>
      <c r="BB18" s="371">
        <f t="shared" si="156"/>
        <v>1</v>
      </c>
      <c r="BC18" s="374">
        <f t="shared" si="157"/>
        <v>1</v>
      </c>
      <c r="BD18" s="374">
        <f t="shared" si="158"/>
        <v>1</v>
      </c>
      <c r="BE18" s="442">
        <f t="shared" si="159"/>
        <v>1</v>
      </c>
      <c r="BF18" s="371">
        <f t="shared" si="160"/>
        <v>1</v>
      </c>
      <c r="BG18" s="374">
        <f t="shared" si="161"/>
        <v>1</v>
      </c>
      <c r="BH18" s="374">
        <f t="shared" si="162"/>
        <v>1</v>
      </c>
      <c r="BI18" s="442">
        <f t="shared" si="163"/>
        <v>1</v>
      </c>
      <c r="BJ18" s="371">
        <f t="shared" si="164"/>
        <v>1</v>
      </c>
      <c r="BK18" s="374">
        <f t="shared" si="165"/>
        <v>1</v>
      </c>
      <c r="BL18" s="374">
        <f t="shared" si="166"/>
        <v>1</v>
      </c>
      <c r="BM18" s="442">
        <f t="shared" si="167"/>
        <v>1</v>
      </c>
      <c r="BN18" s="371">
        <f t="shared" si="168"/>
        <v>1</v>
      </c>
      <c r="BO18" s="374">
        <f t="shared" si="169"/>
        <v>1</v>
      </c>
      <c r="BP18" s="374">
        <f t="shared" si="170"/>
        <v>1</v>
      </c>
      <c r="BQ18" s="442">
        <f t="shared" si="171"/>
        <v>1</v>
      </c>
      <c r="BR18" s="371">
        <f t="shared" si="172"/>
        <v>1</v>
      </c>
      <c r="BS18" s="374">
        <f t="shared" si="173"/>
        <v>1</v>
      </c>
      <c r="BT18" s="374">
        <f t="shared" si="174"/>
        <v>1</v>
      </c>
      <c r="BU18" s="442">
        <f t="shared" si="175"/>
        <v>1</v>
      </c>
      <c r="BV18" s="371">
        <f t="shared" si="176"/>
        <v>1</v>
      </c>
      <c r="BW18" s="374">
        <f t="shared" si="177"/>
        <v>1</v>
      </c>
      <c r="BX18" s="374">
        <f t="shared" si="178"/>
        <v>1</v>
      </c>
      <c r="BY18" s="442">
        <f t="shared" si="179"/>
        <v>1</v>
      </c>
      <c r="BZ18" s="371">
        <f t="shared" si="180"/>
        <v>1</v>
      </c>
      <c r="CA18" s="374">
        <f t="shared" si="181"/>
        <v>1</v>
      </c>
      <c r="CB18" s="374">
        <f t="shared" si="182"/>
        <v>1</v>
      </c>
      <c r="CC18" s="442">
        <f t="shared" si="183"/>
        <v>1</v>
      </c>
      <c r="CD18" s="371">
        <f t="shared" si="184"/>
        <v>1</v>
      </c>
      <c r="CE18" s="374">
        <f t="shared" si="185"/>
        <v>1</v>
      </c>
      <c r="CF18" s="374">
        <f t="shared" si="186"/>
        <v>1</v>
      </c>
      <c r="CG18" s="442">
        <f t="shared" si="187"/>
        <v>1</v>
      </c>
      <c r="CH18" s="371">
        <f t="shared" si="188"/>
        <v>1</v>
      </c>
      <c r="CI18" s="374">
        <f t="shared" si="189"/>
        <v>1</v>
      </c>
      <c r="CJ18" s="374">
        <f t="shared" si="190"/>
        <v>1</v>
      </c>
      <c r="CK18" s="442">
        <f t="shared" si="191"/>
        <v>1</v>
      </c>
      <c r="CL18" s="371">
        <f t="shared" si="192"/>
        <v>1</v>
      </c>
      <c r="CM18" s="374">
        <f t="shared" si="193"/>
        <v>1</v>
      </c>
      <c r="CN18" s="374">
        <f t="shared" si="194"/>
        <v>1</v>
      </c>
      <c r="CO18" s="442">
        <f t="shared" si="195"/>
        <v>1</v>
      </c>
      <c r="CP18" s="371">
        <f t="shared" si="196"/>
        <v>1</v>
      </c>
      <c r="CQ18" s="374">
        <f t="shared" si="197"/>
        <v>1</v>
      </c>
      <c r="CR18" s="374">
        <f t="shared" si="198"/>
        <v>1</v>
      </c>
      <c r="CS18" s="442">
        <f t="shared" si="199"/>
        <v>1</v>
      </c>
      <c r="CT18" s="371">
        <f t="shared" si="200"/>
        <v>1</v>
      </c>
      <c r="CU18" s="374">
        <f t="shared" si="201"/>
        <v>1</v>
      </c>
      <c r="CV18" s="374">
        <f t="shared" si="202"/>
        <v>1</v>
      </c>
      <c r="CW18" s="442">
        <f t="shared" si="203"/>
        <v>1</v>
      </c>
      <c r="CX18" s="371">
        <f t="shared" si="204"/>
        <v>1</v>
      </c>
      <c r="CY18" s="374">
        <f t="shared" si="205"/>
        <v>1</v>
      </c>
      <c r="CZ18" s="374">
        <f t="shared" si="206"/>
        <v>1</v>
      </c>
      <c r="DA18" s="442">
        <f t="shared" si="207"/>
        <v>1</v>
      </c>
      <c r="DB18" s="371">
        <f t="shared" si="208"/>
        <v>1</v>
      </c>
      <c r="DC18" s="374">
        <f t="shared" si="209"/>
        <v>1</v>
      </c>
      <c r="DD18" s="374">
        <f t="shared" si="210"/>
        <v>1</v>
      </c>
      <c r="DE18" s="442">
        <f t="shared" si="211"/>
        <v>1</v>
      </c>
      <c r="DF18" s="371">
        <f t="shared" si="212"/>
        <v>1</v>
      </c>
      <c r="DG18" s="374">
        <f t="shared" si="213"/>
        <v>1</v>
      </c>
      <c r="DH18" s="374">
        <f t="shared" si="214"/>
        <v>1</v>
      </c>
      <c r="DI18" s="442">
        <f t="shared" si="215"/>
        <v>1</v>
      </c>
      <c r="DJ18" s="371">
        <f t="shared" si="216"/>
        <v>1</v>
      </c>
      <c r="DK18" s="374">
        <f t="shared" si="217"/>
        <v>1</v>
      </c>
      <c r="DL18" s="374">
        <f t="shared" si="218"/>
        <v>1</v>
      </c>
      <c r="DM18" s="442">
        <f t="shared" si="219"/>
        <v>1</v>
      </c>
      <c r="DN18" s="371">
        <f t="shared" si="220"/>
        <v>1</v>
      </c>
      <c r="DO18" s="374">
        <f t="shared" si="221"/>
        <v>1</v>
      </c>
      <c r="DP18" s="374">
        <f t="shared" si="222"/>
        <v>1</v>
      </c>
      <c r="DQ18" s="442">
        <f t="shared" si="223"/>
        <v>1</v>
      </c>
      <c r="DR18" s="371">
        <f t="shared" si="224"/>
        <v>1</v>
      </c>
      <c r="DS18" s="374">
        <f t="shared" si="225"/>
        <v>1</v>
      </c>
      <c r="DT18" s="374">
        <f t="shared" si="226"/>
        <v>1</v>
      </c>
      <c r="DU18" s="442">
        <f t="shared" si="227"/>
        <v>1</v>
      </c>
      <c r="DV18" s="371">
        <f t="shared" si="228"/>
        <v>1</v>
      </c>
      <c r="DW18" s="374">
        <f t="shared" si="229"/>
        <v>1</v>
      </c>
      <c r="DX18" s="374">
        <f t="shared" si="230"/>
        <v>1</v>
      </c>
      <c r="DY18" s="442">
        <f t="shared" si="231"/>
        <v>1</v>
      </c>
      <c r="DZ18" s="371">
        <f t="shared" si="232"/>
        <v>1</v>
      </c>
      <c r="EA18" s="374">
        <f t="shared" si="233"/>
        <v>1</v>
      </c>
      <c r="EB18" s="374">
        <f t="shared" si="234"/>
        <v>1</v>
      </c>
      <c r="EC18" s="442">
        <f t="shared" si="235"/>
        <v>1</v>
      </c>
      <c r="ED18" s="371">
        <f t="shared" si="236"/>
        <v>1</v>
      </c>
      <c r="EE18" s="374">
        <f t="shared" si="237"/>
        <v>1</v>
      </c>
      <c r="EF18" s="374">
        <f t="shared" si="238"/>
        <v>1</v>
      </c>
      <c r="EG18" s="442">
        <f t="shared" si="239"/>
        <v>1</v>
      </c>
      <c r="EH18" s="371">
        <f t="shared" si="240"/>
        <v>1</v>
      </c>
      <c r="EI18" s="374">
        <f t="shared" si="241"/>
        <v>1</v>
      </c>
      <c r="EJ18" s="374">
        <f t="shared" si="242"/>
        <v>1</v>
      </c>
      <c r="EK18" s="442">
        <f t="shared" si="243"/>
        <v>1</v>
      </c>
      <c r="EL18" s="371">
        <f t="shared" si="244"/>
        <v>1</v>
      </c>
      <c r="EM18" s="374">
        <f t="shared" si="245"/>
        <v>1</v>
      </c>
      <c r="EN18" s="374">
        <f t="shared" si="246"/>
        <v>1</v>
      </c>
      <c r="EO18" s="442">
        <f t="shared" si="247"/>
        <v>1</v>
      </c>
      <c r="EP18" s="371">
        <f t="shared" si="248"/>
        <v>1</v>
      </c>
      <c r="EQ18" s="374">
        <f t="shared" si="249"/>
        <v>1</v>
      </c>
      <c r="ER18" s="374">
        <f t="shared" si="250"/>
        <v>1</v>
      </c>
      <c r="ES18" s="442">
        <f t="shared" si="251"/>
        <v>1</v>
      </c>
      <c r="ET18" s="42">
        <f>+schedule_ARAS!EW22</f>
        <v>30</v>
      </c>
      <c r="EU18" s="12">
        <f>+schedule_ARAS!EZ22</f>
        <v>13440</v>
      </c>
      <c r="EV18" s="42">
        <f>+schedule_ARAS!FA22</f>
        <v>7200</v>
      </c>
    </row>
    <row r="19" spans="2:152" s="30" customFormat="1" ht="29.25" customHeight="1">
      <c r="B19" s="44"/>
      <c r="C19" s="384" t="str">
        <f>+schedule_ARAS!C23</f>
        <v>Daria</v>
      </c>
      <c r="D19" s="310" t="s">
        <v>153</v>
      </c>
      <c r="E19" s="496">
        <f>+schedule_ARAS!E23</f>
        <v>1</v>
      </c>
      <c r="F19" s="371"/>
      <c r="G19" s="374"/>
      <c r="H19" s="374"/>
      <c r="I19" s="442"/>
      <c r="J19" s="371"/>
      <c r="K19" s="374"/>
      <c r="L19" s="374"/>
      <c r="M19" s="442"/>
      <c r="N19" s="371">
        <f t="shared" ref="N19" si="252">+M19</f>
        <v>0</v>
      </c>
      <c r="O19" s="374">
        <f t="shared" ref="O19" si="253">+M19</f>
        <v>0</v>
      </c>
      <c r="P19" s="374">
        <f t="shared" ref="P19" si="254">+M19</f>
        <v>0</v>
      </c>
      <c r="Q19" s="442">
        <f t="shared" ref="Q19" si="255">+M19</f>
        <v>0</v>
      </c>
      <c r="R19" s="371">
        <f t="shared" si="4"/>
        <v>0</v>
      </c>
      <c r="S19" s="374">
        <f t="shared" si="5"/>
        <v>0</v>
      </c>
      <c r="T19" s="374">
        <f t="shared" si="6"/>
        <v>0</v>
      </c>
      <c r="U19" s="442">
        <f t="shared" si="7"/>
        <v>0</v>
      </c>
      <c r="V19" s="371">
        <f t="shared" si="8"/>
        <v>0</v>
      </c>
      <c r="W19" s="374">
        <f t="shared" si="9"/>
        <v>0</v>
      </c>
      <c r="X19" s="374">
        <f t="shared" si="10"/>
        <v>0</v>
      </c>
      <c r="Y19" s="442">
        <f t="shared" si="11"/>
        <v>0</v>
      </c>
      <c r="Z19" s="371">
        <f t="shared" si="12"/>
        <v>0</v>
      </c>
      <c r="AA19" s="374">
        <f t="shared" si="13"/>
        <v>0</v>
      </c>
      <c r="AB19" s="374">
        <f t="shared" si="14"/>
        <v>0</v>
      </c>
      <c r="AC19" s="442">
        <f t="shared" si="15"/>
        <v>0</v>
      </c>
      <c r="AD19" s="371">
        <f t="shared" si="132"/>
        <v>1</v>
      </c>
      <c r="AE19" s="374">
        <f t="shared" si="133"/>
        <v>1</v>
      </c>
      <c r="AF19" s="374">
        <f t="shared" si="134"/>
        <v>1</v>
      </c>
      <c r="AG19" s="442">
        <f t="shared" si="135"/>
        <v>1</v>
      </c>
      <c r="AH19" s="371">
        <f t="shared" si="136"/>
        <v>1</v>
      </c>
      <c r="AI19" s="374">
        <f t="shared" si="137"/>
        <v>1</v>
      </c>
      <c r="AJ19" s="374">
        <f t="shared" si="138"/>
        <v>1</v>
      </c>
      <c r="AK19" s="442">
        <f t="shared" si="139"/>
        <v>1</v>
      </c>
      <c r="AL19" s="371">
        <f t="shared" si="140"/>
        <v>1</v>
      </c>
      <c r="AM19" s="374">
        <f t="shared" si="141"/>
        <v>1</v>
      </c>
      <c r="AN19" s="374">
        <f t="shared" si="142"/>
        <v>1</v>
      </c>
      <c r="AO19" s="442">
        <f t="shared" si="143"/>
        <v>1</v>
      </c>
      <c r="AP19" s="371">
        <f t="shared" si="144"/>
        <v>1</v>
      </c>
      <c r="AQ19" s="374">
        <f t="shared" si="145"/>
        <v>1</v>
      </c>
      <c r="AR19" s="374">
        <f t="shared" si="146"/>
        <v>1</v>
      </c>
      <c r="AS19" s="442">
        <f t="shared" si="147"/>
        <v>1</v>
      </c>
      <c r="AT19" s="371">
        <f t="shared" si="148"/>
        <v>1</v>
      </c>
      <c r="AU19" s="374">
        <f t="shared" si="149"/>
        <v>1</v>
      </c>
      <c r="AV19" s="374">
        <f t="shared" si="150"/>
        <v>1</v>
      </c>
      <c r="AW19" s="442">
        <f t="shared" si="151"/>
        <v>1</v>
      </c>
      <c r="AX19" s="371">
        <f t="shared" si="152"/>
        <v>1</v>
      </c>
      <c r="AY19" s="374">
        <f t="shared" si="153"/>
        <v>1</v>
      </c>
      <c r="AZ19" s="374">
        <f t="shared" si="154"/>
        <v>1</v>
      </c>
      <c r="BA19" s="442">
        <f t="shared" si="155"/>
        <v>1</v>
      </c>
      <c r="BB19" s="371">
        <f t="shared" si="156"/>
        <v>1</v>
      </c>
      <c r="BC19" s="374">
        <f t="shared" si="157"/>
        <v>1</v>
      </c>
      <c r="BD19" s="374">
        <f t="shared" si="158"/>
        <v>1</v>
      </c>
      <c r="BE19" s="442">
        <f t="shared" si="159"/>
        <v>1</v>
      </c>
      <c r="BF19" s="371">
        <f t="shared" si="160"/>
        <v>1</v>
      </c>
      <c r="BG19" s="374">
        <f t="shared" si="161"/>
        <v>1</v>
      </c>
      <c r="BH19" s="374">
        <f t="shared" si="162"/>
        <v>1</v>
      </c>
      <c r="BI19" s="442">
        <f t="shared" si="163"/>
        <v>1</v>
      </c>
      <c r="BJ19" s="371">
        <f t="shared" si="164"/>
        <v>1</v>
      </c>
      <c r="BK19" s="374">
        <f t="shared" si="165"/>
        <v>1</v>
      </c>
      <c r="BL19" s="374">
        <f t="shared" si="166"/>
        <v>1</v>
      </c>
      <c r="BM19" s="442">
        <f t="shared" si="167"/>
        <v>1</v>
      </c>
      <c r="BN19" s="371">
        <f t="shared" si="168"/>
        <v>1</v>
      </c>
      <c r="BO19" s="374">
        <f t="shared" si="169"/>
        <v>1</v>
      </c>
      <c r="BP19" s="374">
        <f t="shared" si="170"/>
        <v>1</v>
      </c>
      <c r="BQ19" s="442">
        <f t="shared" si="171"/>
        <v>1</v>
      </c>
      <c r="BR19" s="371">
        <f t="shared" si="172"/>
        <v>1</v>
      </c>
      <c r="BS19" s="374">
        <f t="shared" si="173"/>
        <v>1</v>
      </c>
      <c r="BT19" s="374">
        <f t="shared" si="174"/>
        <v>1</v>
      </c>
      <c r="BU19" s="442">
        <f t="shared" si="175"/>
        <v>1</v>
      </c>
      <c r="BV19" s="371">
        <f t="shared" si="176"/>
        <v>1</v>
      </c>
      <c r="BW19" s="374">
        <f t="shared" si="177"/>
        <v>1</v>
      </c>
      <c r="BX19" s="374">
        <f t="shared" si="178"/>
        <v>1</v>
      </c>
      <c r="BY19" s="442">
        <f t="shared" si="179"/>
        <v>1</v>
      </c>
      <c r="BZ19" s="371">
        <f t="shared" si="180"/>
        <v>1</v>
      </c>
      <c r="CA19" s="374">
        <f t="shared" si="181"/>
        <v>1</v>
      </c>
      <c r="CB19" s="374">
        <f t="shared" si="182"/>
        <v>1</v>
      </c>
      <c r="CC19" s="442">
        <f t="shared" si="183"/>
        <v>1</v>
      </c>
      <c r="CD19" s="371">
        <f t="shared" si="184"/>
        <v>1</v>
      </c>
      <c r="CE19" s="374">
        <f t="shared" si="185"/>
        <v>1</v>
      </c>
      <c r="CF19" s="374">
        <f t="shared" si="186"/>
        <v>1</v>
      </c>
      <c r="CG19" s="442">
        <f t="shared" si="187"/>
        <v>1</v>
      </c>
      <c r="CH19" s="371">
        <f t="shared" si="188"/>
        <v>1</v>
      </c>
      <c r="CI19" s="374">
        <f t="shared" si="189"/>
        <v>1</v>
      </c>
      <c r="CJ19" s="374">
        <f t="shared" si="190"/>
        <v>1</v>
      </c>
      <c r="CK19" s="442">
        <f t="shared" si="191"/>
        <v>1</v>
      </c>
      <c r="CL19" s="371">
        <f t="shared" si="192"/>
        <v>1</v>
      </c>
      <c r="CM19" s="374">
        <f t="shared" si="193"/>
        <v>1</v>
      </c>
      <c r="CN19" s="374">
        <f t="shared" si="194"/>
        <v>1</v>
      </c>
      <c r="CO19" s="442">
        <f t="shared" si="195"/>
        <v>1</v>
      </c>
      <c r="CP19" s="371">
        <f t="shared" si="196"/>
        <v>1</v>
      </c>
      <c r="CQ19" s="374">
        <f t="shared" si="197"/>
        <v>1</v>
      </c>
      <c r="CR19" s="374">
        <f t="shared" si="198"/>
        <v>1</v>
      </c>
      <c r="CS19" s="442">
        <f t="shared" si="199"/>
        <v>1</v>
      </c>
      <c r="CT19" s="371">
        <f t="shared" si="200"/>
        <v>1</v>
      </c>
      <c r="CU19" s="374">
        <f t="shared" si="201"/>
        <v>1</v>
      </c>
      <c r="CV19" s="374">
        <f t="shared" si="202"/>
        <v>1</v>
      </c>
      <c r="CW19" s="442">
        <f t="shared" si="203"/>
        <v>1</v>
      </c>
      <c r="CX19" s="371">
        <f t="shared" si="204"/>
        <v>1</v>
      </c>
      <c r="CY19" s="374">
        <f t="shared" si="205"/>
        <v>1</v>
      </c>
      <c r="CZ19" s="374">
        <f t="shared" si="206"/>
        <v>1</v>
      </c>
      <c r="DA19" s="442">
        <f t="shared" si="207"/>
        <v>1</v>
      </c>
      <c r="DB19" s="371">
        <f t="shared" si="208"/>
        <v>1</v>
      </c>
      <c r="DC19" s="374">
        <f t="shared" si="209"/>
        <v>1</v>
      </c>
      <c r="DD19" s="374">
        <f t="shared" si="210"/>
        <v>1</v>
      </c>
      <c r="DE19" s="442">
        <f t="shared" si="211"/>
        <v>1</v>
      </c>
      <c r="DF19" s="371">
        <f t="shared" si="212"/>
        <v>1</v>
      </c>
      <c r="DG19" s="374">
        <f t="shared" si="213"/>
        <v>1</v>
      </c>
      <c r="DH19" s="374">
        <f t="shared" si="214"/>
        <v>1</v>
      </c>
      <c r="DI19" s="442">
        <f t="shared" si="215"/>
        <v>1</v>
      </c>
      <c r="DJ19" s="371">
        <f t="shared" si="216"/>
        <v>1</v>
      </c>
      <c r="DK19" s="374">
        <f t="shared" si="217"/>
        <v>1</v>
      </c>
      <c r="DL19" s="374">
        <f t="shared" si="218"/>
        <v>1</v>
      </c>
      <c r="DM19" s="442">
        <f t="shared" si="219"/>
        <v>1</v>
      </c>
      <c r="DN19" s="371">
        <f t="shared" si="220"/>
        <v>1</v>
      </c>
      <c r="DO19" s="374">
        <f t="shared" si="221"/>
        <v>1</v>
      </c>
      <c r="DP19" s="374">
        <f t="shared" si="222"/>
        <v>1</v>
      </c>
      <c r="DQ19" s="442">
        <f t="shared" si="223"/>
        <v>1</v>
      </c>
      <c r="DR19" s="371">
        <f t="shared" si="224"/>
        <v>1</v>
      </c>
      <c r="DS19" s="374">
        <f t="shared" si="225"/>
        <v>1</v>
      </c>
      <c r="DT19" s="374">
        <f t="shared" si="226"/>
        <v>1</v>
      </c>
      <c r="DU19" s="442">
        <f t="shared" si="227"/>
        <v>1</v>
      </c>
      <c r="DV19" s="371">
        <f t="shared" si="228"/>
        <v>1</v>
      </c>
      <c r="DW19" s="374">
        <f t="shared" si="229"/>
        <v>1</v>
      </c>
      <c r="DX19" s="374">
        <f t="shared" si="230"/>
        <v>1</v>
      </c>
      <c r="DY19" s="442">
        <f t="shared" si="231"/>
        <v>1</v>
      </c>
      <c r="DZ19" s="371">
        <f t="shared" si="232"/>
        <v>1</v>
      </c>
      <c r="EA19" s="374">
        <f t="shared" si="233"/>
        <v>1</v>
      </c>
      <c r="EB19" s="374">
        <f t="shared" si="234"/>
        <v>1</v>
      </c>
      <c r="EC19" s="442">
        <f t="shared" si="235"/>
        <v>1</v>
      </c>
      <c r="ED19" s="371">
        <f t="shared" si="236"/>
        <v>1</v>
      </c>
      <c r="EE19" s="374">
        <f t="shared" si="237"/>
        <v>1</v>
      </c>
      <c r="EF19" s="374">
        <f t="shared" si="238"/>
        <v>1</v>
      </c>
      <c r="EG19" s="442">
        <f t="shared" si="239"/>
        <v>1</v>
      </c>
      <c r="EH19" s="371">
        <f t="shared" si="240"/>
        <v>1</v>
      </c>
      <c r="EI19" s="374">
        <f t="shared" si="241"/>
        <v>1</v>
      </c>
      <c r="EJ19" s="374">
        <f t="shared" si="242"/>
        <v>1</v>
      </c>
      <c r="EK19" s="442">
        <f t="shared" si="243"/>
        <v>1</v>
      </c>
      <c r="EL19" s="371">
        <f t="shared" si="244"/>
        <v>1</v>
      </c>
      <c r="EM19" s="374">
        <f t="shared" si="245"/>
        <v>1</v>
      </c>
      <c r="EN19" s="374">
        <f t="shared" si="246"/>
        <v>1</v>
      </c>
      <c r="EO19" s="442">
        <f t="shared" si="247"/>
        <v>1</v>
      </c>
      <c r="EP19" s="371">
        <f t="shared" si="248"/>
        <v>1</v>
      </c>
      <c r="EQ19" s="374">
        <f t="shared" si="249"/>
        <v>1</v>
      </c>
      <c r="ER19" s="374">
        <f t="shared" si="250"/>
        <v>1</v>
      </c>
      <c r="ES19" s="442">
        <f t="shared" si="251"/>
        <v>1</v>
      </c>
      <c r="ET19" s="42">
        <f>+schedule_ARAS!EW23</f>
        <v>30</v>
      </c>
      <c r="EU19" s="12">
        <f>+schedule_ARAS!EZ23</f>
        <v>13440</v>
      </c>
      <c r="EV19" s="42">
        <f>+schedule_ARAS!FA23</f>
        <v>7200</v>
      </c>
    </row>
    <row r="20" spans="2:152" s="30" customFormat="1" ht="29.25" customHeight="1">
      <c r="B20" s="44"/>
      <c r="C20" s="384" t="str">
        <f>+schedule_ARAS!C24</f>
        <v>Hadar</v>
      </c>
      <c r="D20" s="310" t="s">
        <v>153</v>
      </c>
      <c r="E20" s="496">
        <f>+schedule_ARAS!E24</f>
        <v>1</v>
      </c>
      <c r="F20" s="371"/>
      <c r="G20" s="374"/>
      <c r="H20" s="374"/>
      <c r="I20" s="442"/>
      <c r="J20" s="371"/>
      <c r="K20" s="374"/>
      <c r="L20" s="374"/>
      <c r="M20" s="442"/>
      <c r="N20" s="371">
        <f t="shared" ref="N20" si="256">+M20</f>
        <v>0</v>
      </c>
      <c r="O20" s="374">
        <f t="shared" ref="O20:O22" si="257">+M20</f>
        <v>0</v>
      </c>
      <c r="P20" s="374">
        <f t="shared" ref="P20:P22" si="258">+M20</f>
        <v>0</v>
      </c>
      <c r="Q20" s="442">
        <f t="shared" ref="Q20:Q22" si="259">+M20</f>
        <v>0</v>
      </c>
      <c r="R20" s="371">
        <f t="shared" si="4"/>
        <v>0</v>
      </c>
      <c r="S20" s="374">
        <f t="shared" si="5"/>
        <v>0</v>
      </c>
      <c r="T20" s="374">
        <f t="shared" si="6"/>
        <v>0</v>
      </c>
      <c r="U20" s="442">
        <f t="shared" si="7"/>
        <v>0</v>
      </c>
      <c r="V20" s="371">
        <f t="shared" si="8"/>
        <v>0</v>
      </c>
      <c r="W20" s="374">
        <f t="shared" si="9"/>
        <v>0</v>
      </c>
      <c r="X20" s="374">
        <f t="shared" si="10"/>
        <v>0</v>
      </c>
      <c r="Y20" s="442">
        <f t="shared" si="11"/>
        <v>0</v>
      </c>
      <c r="Z20" s="371">
        <f t="shared" si="12"/>
        <v>0</v>
      </c>
      <c r="AA20" s="374">
        <f t="shared" si="13"/>
        <v>0</v>
      </c>
      <c r="AB20" s="374">
        <f t="shared" si="14"/>
        <v>0</v>
      </c>
      <c r="AC20" s="442">
        <f t="shared" si="15"/>
        <v>0</v>
      </c>
      <c r="AD20" s="371">
        <f t="shared" si="132"/>
        <v>1</v>
      </c>
      <c r="AE20" s="374">
        <f t="shared" si="133"/>
        <v>1</v>
      </c>
      <c r="AF20" s="374">
        <f t="shared" si="134"/>
        <v>1</v>
      </c>
      <c r="AG20" s="442">
        <f t="shared" si="135"/>
        <v>1</v>
      </c>
      <c r="AH20" s="371">
        <f t="shared" si="136"/>
        <v>1</v>
      </c>
      <c r="AI20" s="374">
        <f t="shared" si="137"/>
        <v>1</v>
      </c>
      <c r="AJ20" s="374">
        <f t="shared" si="138"/>
        <v>1</v>
      </c>
      <c r="AK20" s="442">
        <f t="shared" si="139"/>
        <v>1</v>
      </c>
      <c r="AL20" s="371">
        <f t="shared" si="140"/>
        <v>1</v>
      </c>
      <c r="AM20" s="374">
        <f t="shared" si="141"/>
        <v>1</v>
      </c>
      <c r="AN20" s="374">
        <f t="shared" si="142"/>
        <v>1</v>
      </c>
      <c r="AO20" s="442">
        <f t="shared" si="143"/>
        <v>1</v>
      </c>
      <c r="AP20" s="371">
        <f t="shared" si="144"/>
        <v>1</v>
      </c>
      <c r="AQ20" s="374">
        <f t="shared" si="145"/>
        <v>1</v>
      </c>
      <c r="AR20" s="374">
        <f t="shared" si="146"/>
        <v>1</v>
      </c>
      <c r="AS20" s="442">
        <f t="shared" si="147"/>
        <v>1</v>
      </c>
      <c r="AT20" s="371">
        <f t="shared" si="148"/>
        <v>1</v>
      </c>
      <c r="AU20" s="374">
        <f t="shared" si="149"/>
        <v>1</v>
      </c>
      <c r="AV20" s="374">
        <f t="shared" si="150"/>
        <v>1</v>
      </c>
      <c r="AW20" s="442">
        <f t="shared" si="151"/>
        <v>1</v>
      </c>
      <c r="AX20" s="371">
        <f t="shared" si="152"/>
        <v>1</v>
      </c>
      <c r="AY20" s="374">
        <f t="shared" si="153"/>
        <v>1</v>
      </c>
      <c r="AZ20" s="374">
        <f t="shared" si="154"/>
        <v>1</v>
      </c>
      <c r="BA20" s="442">
        <f t="shared" si="155"/>
        <v>1</v>
      </c>
      <c r="BB20" s="371">
        <f t="shared" si="156"/>
        <v>1</v>
      </c>
      <c r="BC20" s="374">
        <f t="shared" si="157"/>
        <v>1</v>
      </c>
      <c r="BD20" s="374">
        <f t="shared" si="158"/>
        <v>1</v>
      </c>
      <c r="BE20" s="442">
        <f t="shared" si="159"/>
        <v>1</v>
      </c>
      <c r="BF20" s="371">
        <f t="shared" si="160"/>
        <v>1</v>
      </c>
      <c r="BG20" s="374">
        <f t="shared" si="161"/>
        <v>1</v>
      </c>
      <c r="BH20" s="374">
        <f t="shared" si="162"/>
        <v>1</v>
      </c>
      <c r="BI20" s="442">
        <f t="shared" si="163"/>
        <v>1</v>
      </c>
      <c r="BJ20" s="371">
        <f t="shared" si="164"/>
        <v>1</v>
      </c>
      <c r="BK20" s="374">
        <f t="shared" si="165"/>
        <v>1</v>
      </c>
      <c r="BL20" s="374">
        <f t="shared" si="166"/>
        <v>1</v>
      </c>
      <c r="BM20" s="442">
        <f t="shared" si="167"/>
        <v>1</v>
      </c>
      <c r="BN20" s="371">
        <f t="shared" si="168"/>
        <v>1</v>
      </c>
      <c r="BO20" s="374">
        <f t="shared" si="169"/>
        <v>1</v>
      </c>
      <c r="BP20" s="374">
        <f t="shared" si="170"/>
        <v>1</v>
      </c>
      <c r="BQ20" s="442">
        <f t="shared" si="171"/>
        <v>1</v>
      </c>
      <c r="BR20" s="371">
        <f t="shared" si="172"/>
        <v>1</v>
      </c>
      <c r="BS20" s="374">
        <f t="shared" si="173"/>
        <v>1</v>
      </c>
      <c r="BT20" s="374">
        <f t="shared" si="174"/>
        <v>1</v>
      </c>
      <c r="BU20" s="442">
        <f t="shared" si="175"/>
        <v>1</v>
      </c>
      <c r="BV20" s="371">
        <f t="shared" si="176"/>
        <v>1</v>
      </c>
      <c r="BW20" s="374">
        <f t="shared" si="177"/>
        <v>1</v>
      </c>
      <c r="BX20" s="374">
        <f t="shared" si="178"/>
        <v>1</v>
      </c>
      <c r="BY20" s="442">
        <f t="shared" si="179"/>
        <v>1</v>
      </c>
      <c r="BZ20" s="371">
        <f t="shared" si="180"/>
        <v>1</v>
      </c>
      <c r="CA20" s="374">
        <f t="shared" si="181"/>
        <v>1</v>
      </c>
      <c r="CB20" s="374">
        <f t="shared" si="182"/>
        <v>1</v>
      </c>
      <c r="CC20" s="442">
        <f t="shared" si="183"/>
        <v>1</v>
      </c>
      <c r="CD20" s="371">
        <f t="shared" si="184"/>
        <v>1</v>
      </c>
      <c r="CE20" s="374">
        <f t="shared" si="185"/>
        <v>1</v>
      </c>
      <c r="CF20" s="374">
        <f t="shared" si="186"/>
        <v>1</v>
      </c>
      <c r="CG20" s="442">
        <f t="shared" si="187"/>
        <v>1</v>
      </c>
      <c r="CH20" s="371">
        <f t="shared" si="188"/>
        <v>1</v>
      </c>
      <c r="CI20" s="374">
        <f t="shared" si="189"/>
        <v>1</v>
      </c>
      <c r="CJ20" s="374">
        <f t="shared" si="190"/>
        <v>1</v>
      </c>
      <c r="CK20" s="442">
        <f t="shared" si="191"/>
        <v>1</v>
      </c>
      <c r="CL20" s="371">
        <f t="shared" si="192"/>
        <v>1</v>
      </c>
      <c r="CM20" s="374">
        <f t="shared" si="193"/>
        <v>1</v>
      </c>
      <c r="CN20" s="374">
        <f t="shared" si="194"/>
        <v>1</v>
      </c>
      <c r="CO20" s="442">
        <f t="shared" si="195"/>
        <v>1</v>
      </c>
      <c r="CP20" s="371">
        <f t="shared" si="196"/>
        <v>1</v>
      </c>
      <c r="CQ20" s="374">
        <f t="shared" si="197"/>
        <v>1</v>
      </c>
      <c r="CR20" s="374">
        <f t="shared" si="198"/>
        <v>1</v>
      </c>
      <c r="CS20" s="442">
        <f t="shared" si="199"/>
        <v>1</v>
      </c>
      <c r="CT20" s="371">
        <f t="shared" si="200"/>
        <v>1</v>
      </c>
      <c r="CU20" s="374">
        <f t="shared" si="201"/>
        <v>1</v>
      </c>
      <c r="CV20" s="374">
        <f t="shared" si="202"/>
        <v>1</v>
      </c>
      <c r="CW20" s="442">
        <f t="shared" si="203"/>
        <v>1</v>
      </c>
      <c r="CX20" s="371">
        <f t="shared" si="204"/>
        <v>1</v>
      </c>
      <c r="CY20" s="374">
        <f t="shared" si="205"/>
        <v>1</v>
      </c>
      <c r="CZ20" s="374">
        <f t="shared" si="206"/>
        <v>1</v>
      </c>
      <c r="DA20" s="442">
        <f t="shared" si="207"/>
        <v>1</v>
      </c>
      <c r="DB20" s="371">
        <f t="shared" si="208"/>
        <v>1</v>
      </c>
      <c r="DC20" s="374">
        <f t="shared" si="209"/>
        <v>1</v>
      </c>
      <c r="DD20" s="374">
        <f t="shared" si="210"/>
        <v>1</v>
      </c>
      <c r="DE20" s="442">
        <f t="shared" si="211"/>
        <v>1</v>
      </c>
      <c r="DF20" s="371">
        <f t="shared" si="212"/>
        <v>1</v>
      </c>
      <c r="DG20" s="374">
        <f t="shared" si="213"/>
        <v>1</v>
      </c>
      <c r="DH20" s="374">
        <f t="shared" si="214"/>
        <v>1</v>
      </c>
      <c r="DI20" s="442">
        <f t="shared" si="215"/>
        <v>1</v>
      </c>
      <c r="DJ20" s="371">
        <f t="shared" si="216"/>
        <v>1</v>
      </c>
      <c r="DK20" s="374">
        <f t="shared" si="217"/>
        <v>1</v>
      </c>
      <c r="DL20" s="374">
        <f t="shared" si="218"/>
        <v>1</v>
      </c>
      <c r="DM20" s="442">
        <f t="shared" si="219"/>
        <v>1</v>
      </c>
      <c r="DN20" s="371">
        <f t="shared" si="220"/>
        <v>1</v>
      </c>
      <c r="DO20" s="374">
        <f t="shared" si="221"/>
        <v>1</v>
      </c>
      <c r="DP20" s="374">
        <f t="shared" si="222"/>
        <v>1</v>
      </c>
      <c r="DQ20" s="442">
        <f t="shared" si="223"/>
        <v>1</v>
      </c>
      <c r="DR20" s="371">
        <f t="shared" si="224"/>
        <v>1</v>
      </c>
      <c r="DS20" s="374">
        <f t="shared" si="225"/>
        <v>1</v>
      </c>
      <c r="DT20" s="374">
        <f t="shared" si="226"/>
        <v>1</v>
      </c>
      <c r="DU20" s="442">
        <f t="shared" si="227"/>
        <v>1</v>
      </c>
      <c r="DV20" s="371">
        <f t="shared" si="228"/>
        <v>1</v>
      </c>
      <c r="DW20" s="374">
        <f t="shared" si="229"/>
        <v>1</v>
      </c>
      <c r="DX20" s="374">
        <f t="shared" si="230"/>
        <v>1</v>
      </c>
      <c r="DY20" s="442">
        <f t="shared" si="231"/>
        <v>1</v>
      </c>
      <c r="DZ20" s="371">
        <f t="shared" si="232"/>
        <v>1</v>
      </c>
      <c r="EA20" s="374">
        <f t="shared" si="233"/>
        <v>1</v>
      </c>
      <c r="EB20" s="374">
        <f t="shared" si="234"/>
        <v>1</v>
      </c>
      <c r="EC20" s="442">
        <f t="shared" si="235"/>
        <v>1</v>
      </c>
      <c r="ED20" s="371">
        <f t="shared" si="236"/>
        <v>1</v>
      </c>
      <c r="EE20" s="374">
        <f t="shared" si="237"/>
        <v>1</v>
      </c>
      <c r="EF20" s="374">
        <f t="shared" si="238"/>
        <v>1</v>
      </c>
      <c r="EG20" s="442">
        <f t="shared" si="239"/>
        <v>1</v>
      </c>
      <c r="EH20" s="371">
        <f t="shared" si="240"/>
        <v>1</v>
      </c>
      <c r="EI20" s="374">
        <f t="shared" si="241"/>
        <v>1</v>
      </c>
      <c r="EJ20" s="374">
        <f t="shared" si="242"/>
        <v>1</v>
      </c>
      <c r="EK20" s="442">
        <f t="shared" si="243"/>
        <v>1</v>
      </c>
      <c r="EL20" s="371">
        <f t="shared" si="244"/>
        <v>1</v>
      </c>
      <c r="EM20" s="374">
        <f t="shared" si="245"/>
        <v>1</v>
      </c>
      <c r="EN20" s="374">
        <f t="shared" si="246"/>
        <v>1</v>
      </c>
      <c r="EO20" s="442">
        <f t="shared" si="247"/>
        <v>1</v>
      </c>
      <c r="EP20" s="371">
        <f t="shared" si="248"/>
        <v>1</v>
      </c>
      <c r="EQ20" s="374">
        <f t="shared" si="249"/>
        <v>1</v>
      </c>
      <c r="ER20" s="374">
        <f t="shared" si="250"/>
        <v>1</v>
      </c>
      <c r="ES20" s="442">
        <f t="shared" si="251"/>
        <v>1</v>
      </c>
      <c r="ET20" s="42">
        <f>+schedule_ARAS!EW24</f>
        <v>30</v>
      </c>
      <c r="EU20" s="12">
        <f>+schedule_ARAS!EZ24</f>
        <v>13440</v>
      </c>
      <c r="EV20" s="42">
        <f>+schedule_ARAS!FA24</f>
        <v>7200</v>
      </c>
    </row>
    <row r="21" spans="2:152" s="30" customFormat="1" ht="29.25" customHeight="1">
      <c r="B21" s="44"/>
      <c r="C21" s="384" t="str">
        <f>+schedule_ARAS!C25</f>
        <v>Split Barge (x5)</v>
      </c>
      <c r="D21" s="310" t="s">
        <v>153</v>
      </c>
      <c r="E21" s="496">
        <f>+schedule_ARAS!E25</f>
        <v>5</v>
      </c>
      <c r="F21" s="371"/>
      <c r="G21" s="374"/>
      <c r="H21" s="374"/>
      <c r="I21" s="442"/>
      <c r="J21" s="371"/>
      <c r="K21" s="374"/>
      <c r="L21" s="374"/>
      <c r="M21" s="442"/>
      <c r="N21" s="371">
        <f t="shared" ref="N21:N22" si="260">+M21</f>
        <v>0</v>
      </c>
      <c r="O21" s="374">
        <f t="shared" si="257"/>
        <v>0</v>
      </c>
      <c r="P21" s="374">
        <f t="shared" si="258"/>
        <v>0</v>
      </c>
      <c r="Q21" s="442">
        <f t="shared" si="259"/>
        <v>0</v>
      </c>
      <c r="R21" s="371">
        <f t="shared" si="4"/>
        <v>0</v>
      </c>
      <c r="S21" s="374">
        <f t="shared" si="5"/>
        <v>0</v>
      </c>
      <c r="T21" s="374">
        <f t="shared" si="6"/>
        <v>0</v>
      </c>
      <c r="U21" s="442">
        <f t="shared" si="7"/>
        <v>0</v>
      </c>
      <c r="V21" s="371">
        <f t="shared" si="8"/>
        <v>0</v>
      </c>
      <c r="W21" s="374">
        <f t="shared" si="9"/>
        <v>0</v>
      </c>
      <c r="X21" s="374">
        <f t="shared" si="10"/>
        <v>0</v>
      </c>
      <c r="Y21" s="442">
        <f t="shared" si="11"/>
        <v>0</v>
      </c>
      <c r="Z21" s="371">
        <f t="shared" si="12"/>
        <v>0</v>
      </c>
      <c r="AA21" s="374">
        <f t="shared" si="13"/>
        <v>0</v>
      </c>
      <c r="AB21" s="374">
        <f t="shared" si="14"/>
        <v>0</v>
      </c>
      <c r="AC21" s="442">
        <f t="shared" si="15"/>
        <v>0</v>
      </c>
      <c r="AD21" s="371">
        <f t="shared" si="132"/>
        <v>5</v>
      </c>
      <c r="AE21" s="374">
        <f t="shared" si="133"/>
        <v>5</v>
      </c>
      <c r="AF21" s="374">
        <f t="shared" si="134"/>
        <v>5</v>
      </c>
      <c r="AG21" s="442">
        <f t="shared" si="135"/>
        <v>5</v>
      </c>
      <c r="AH21" s="371">
        <f t="shared" si="136"/>
        <v>5</v>
      </c>
      <c r="AI21" s="374">
        <f t="shared" si="137"/>
        <v>5</v>
      </c>
      <c r="AJ21" s="374">
        <f t="shared" si="138"/>
        <v>5</v>
      </c>
      <c r="AK21" s="442">
        <f t="shared" si="139"/>
        <v>5</v>
      </c>
      <c r="AL21" s="371">
        <f t="shared" si="140"/>
        <v>5</v>
      </c>
      <c r="AM21" s="374">
        <f t="shared" si="141"/>
        <v>5</v>
      </c>
      <c r="AN21" s="374">
        <f t="shared" si="142"/>
        <v>5</v>
      </c>
      <c r="AO21" s="442">
        <f t="shared" si="143"/>
        <v>5</v>
      </c>
      <c r="AP21" s="371">
        <f t="shared" si="144"/>
        <v>5</v>
      </c>
      <c r="AQ21" s="374">
        <f t="shared" si="145"/>
        <v>5</v>
      </c>
      <c r="AR21" s="374">
        <f t="shared" si="146"/>
        <v>5</v>
      </c>
      <c r="AS21" s="442">
        <f t="shared" si="147"/>
        <v>5</v>
      </c>
      <c r="AT21" s="371">
        <f t="shared" si="148"/>
        <v>5</v>
      </c>
      <c r="AU21" s="374">
        <f t="shared" si="149"/>
        <v>5</v>
      </c>
      <c r="AV21" s="374">
        <f t="shared" si="150"/>
        <v>5</v>
      </c>
      <c r="AW21" s="442">
        <f t="shared" si="151"/>
        <v>5</v>
      </c>
      <c r="AX21" s="371">
        <f t="shared" si="152"/>
        <v>5</v>
      </c>
      <c r="AY21" s="374">
        <f t="shared" si="153"/>
        <v>5</v>
      </c>
      <c r="AZ21" s="374">
        <f t="shared" si="154"/>
        <v>5</v>
      </c>
      <c r="BA21" s="442">
        <f t="shared" si="155"/>
        <v>5</v>
      </c>
      <c r="BB21" s="371">
        <f t="shared" si="156"/>
        <v>5</v>
      </c>
      <c r="BC21" s="374">
        <f t="shared" si="157"/>
        <v>5</v>
      </c>
      <c r="BD21" s="374">
        <f t="shared" si="158"/>
        <v>5</v>
      </c>
      <c r="BE21" s="442">
        <f t="shared" si="159"/>
        <v>5</v>
      </c>
      <c r="BF21" s="371">
        <f t="shared" si="160"/>
        <v>5</v>
      </c>
      <c r="BG21" s="374">
        <f t="shared" si="161"/>
        <v>5</v>
      </c>
      <c r="BH21" s="374">
        <f t="shared" si="162"/>
        <v>5</v>
      </c>
      <c r="BI21" s="442">
        <f t="shared" si="163"/>
        <v>5</v>
      </c>
      <c r="BJ21" s="371">
        <f t="shared" si="164"/>
        <v>5</v>
      </c>
      <c r="BK21" s="374">
        <f t="shared" si="165"/>
        <v>5</v>
      </c>
      <c r="BL21" s="374">
        <f t="shared" si="166"/>
        <v>5</v>
      </c>
      <c r="BM21" s="442">
        <f t="shared" si="167"/>
        <v>5</v>
      </c>
      <c r="BN21" s="371">
        <f t="shared" si="168"/>
        <v>5</v>
      </c>
      <c r="BO21" s="374">
        <f t="shared" si="169"/>
        <v>5</v>
      </c>
      <c r="BP21" s="374">
        <f t="shared" si="170"/>
        <v>5</v>
      </c>
      <c r="BQ21" s="442">
        <f t="shared" si="171"/>
        <v>5</v>
      </c>
      <c r="BR21" s="371">
        <f t="shared" si="172"/>
        <v>5</v>
      </c>
      <c r="BS21" s="374">
        <f t="shared" si="173"/>
        <v>5</v>
      </c>
      <c r="BT21" s="374">
        <f t="shared" si="174"/>
        <v>5</v>
      </c>
      <c r="BU21" s="442">
        <f t="shared" si="175"/>
        <v>5</v>
      </c>
      <c r="BV21" s="371">
        <f t="shared" si="176"/>
        <v>5</v>
      </c>
      <c r="BW21" s="374">
        <f t="shared" si="177"/>
        <v>5</v>
      </c>
      <c r="BX21" s="374">
        <f t="shared" si="178"/>
        <v>5</v>
      </c>
      <c r="BY21" s="442">
        <f t="shared" si="179"/>
        <v>5</v>
      </c>
      <c r="BZ21" s="371">
        <f t="shared" si="180"/>
        <v>5</v>
      </c>
      <c r="CA21" s="374">
        <f t="shared" si="181"/>
        <v>5</v>
      </c>
      <c r="CB21" s="374">
        <f t="shared" si="182"/>
        <v>5</v>
      </c>
      <c r="CC21" s="442">
        <f t="shared" si="183"/>
        <v>5</v>
      </c>
      <c r="CD21" s="371">
        <f t="shared" si="184"/>
        <v>5</v>
      </c>
      <c r="CE21" s="374">
        <f t="shared" si="185"/>
        <v>5</v>
      </c>
      <c r="CF21" s="374">
        <f t="shared" si="186"/>
        <v>5</v>
      </c>
      <c r="CG21" s="442">
        <f t="shared" si="187"/>
        <v>5</v>
      </c>
      <c r="CH21" s="371">
        <f t="shared" si="188"/>
        <v>5</v>
      </c>
      <c r="CI21" s="374">
        <f t="shared" si="189"/>
        <v>5</v>
      </c>
      <c r="CJ21" s="374">
        <f t="shared" si="190"/>
        <v>5</v>
      </c>
      <c r="CK21" s="442">
        <f t="shared" si="191"/>
        <v>5</v>
      </c>
      <c r="CL21" s="371">
        <f t="shared" si="192"/>
        <v>5</v>
      </c>
      <c r="CM21" s="374">
        <f t="shared" si="193"/>
        <v>5</v>
      </c>
      <c r="CN21" s="374">
        <f t="shared" si="194"/>
        <v>5</v>
      </c>
      <c r="CO21" s="442">
        <f t="shared" si="195"/>
        <v>5</v>
      </c>
      <c r="CP21" s="371">
        <f t="shared" si="196"/>
        <v>5</v>
      </c>
      <c r="CQ21" s="374">
        <f t="shared" si="197"/>
        <v>5</v>
      </c>
      <c r="CR21" s="374">
        <f t="shared" si="198"/>
        <v>5</v>
      </c>
      <c r="CS21" s="442">
        <f t="shared" si="199"/>
        <v>5</v>
      </c>
      <c r="CT21" s="371">
        <f t="shared" si="200"/>
        <v>5</v>
      </c>
      <c r="CU21" s="374">
        <f t="shared" si="201"/>
        <v>5</v>
      </c>
      <c r="CV21" s="374">
        <f t="shared" si="202"/>
        <v>5</v>
      </c>
      <c r="CW21" s="442">
        <f t="shared" si="203"/>
        <v>5</v>
      </c>
      <c r="CX21" s="371">
        <f t="shared" si="204"/>
        <v>5</v>
      </c>
      <c r="CY21" s="374">
        <f t="shared" si="205"/>
        <v>5</v>
      </c>
      <c r="CZ21" s="374">
        <f t="shared" si="206"/>
        <v>5</v>
      </c>
      <c r="DA21" s="442">
        <f t="shared" si="207"/>
        <v>5</v>
      </c>
      <c r="DB21" s="371">
        <f t="shared" si="208"/>
        <v>5</v>
      </c>
      <c r="DC21" s="374">
        <f t="shared" si="209"/>
        <v>5</v>
      </c>
      <c r="DD21" s="374">
        <f t="shared" si="210"/>
        <v>5</v>
      </c>
      <c r="DE21" s="442">
        <f t="shared" si="211"/>
        <v>5</v>
      </c>
      <c r="DF21" s="371">
        <f t="shared" si="212"/>
        <v>5</v>
      </c>
      <c r="DG21" s="374">
        <f t="shared" si="213"/>
        <v>5</v>
      </c>
      <c r="DH21" s="374">
        <f t="shared" si="214"/>
        <v>5</v>
      </c>
      <c r="DI21" s="442">
        <f t="shared" si="215"/>
        <v>5</v>
      </c>
      <c r="DJ21" s="371">
        <f t="shared" si="216"/>
        <v>5</v>
      </c>
      <c r="DK21" s="374">
        <f t="shared" si="217"/>
        <v>5</v>
      </c>
      <c r="DL21" s="374">
        <f t="shared" si="218"/>
        <v>5</v>
      </c>
      <c r="DM21" s="442">
        <f t="shared" si="219"/>
        <v>5</v>
      </c>
      <c r="DN21" s="371">
        <f t="shared" si="220"/>
        <v>5</v>
      </c>
      <c r="DO21" s="374">
        <f t="shared" si="221"/>
        <v>5</v>
      </c>
      <c r="DP21" s="374">
        <f t="shared" si="222"/>
        <v>5</v>
      </c>
      <c r="DQ21" s="442">
        <f t="shared" si="223"/>
        <v>5</v>
      </c>
      <c r="DR21" s="371">
        <f t="shared" si="224"/>
        <v>5</v>
      </c>
      <c r="DS21" s="374">
        <f t="shared" si="225"/>
        <v>5</v>
      </c>
      <c r="DT21" s="374">
        <f t="shared" si="226"/>
        <v>5</v>
      </c>
      <c r="DU21" s="442">
        <f t="shared" si="227"/>
        <v>5</v>
      </c>
      <c r="DV21" s="371">
        <f t="shared" si="228"/>
        <v>5</v>
      </c>
      <c r="DW21" s="374">
        <f t="shared" si="229"/>
        <v>5</v>
      </c>
      <c r="DX21" s="374">
        <f t="shared" si="230"/>
        <v>5</v>
      </c>
      <c r="DY21" s="442">
        <f t="shared" si="231"/>
        <v>5</v>
      </c>
      <c r="DZ21" s="371">
        <f t="shared" si="232"/>
        <v>5</v>
      </c>
      <c r="EA21" s="374">
        <f t="shared" si="233"/>
        <v>5</v>
      </c>
      <c r="EB21" s="374">
        <f t="shared" si="234"/>
        <v>5</v>
      </c>
      <c r="EC21" s="442">
        <f t="shared" si="235"/>
        <v>5</v>
      </c>
      <c r="ED21" s="371">
        <f t="shared" si="236"/>
        <v>5</v>
      </c>
      <c r="EE21" s="374">
        <f t="shared" si="237"/>
        <v>5</v>
      </c>
      <c r="EF21" s="374">
        <f t="shared" si="238"/>
        <v>5</v>
      </c>
      <c r="EG21" s="442">
        <f t="shared" si="239"/>
        <v>5</v>
      </c>
      <c r="EH21" s="371">
        <f t="shared" si="240"/>
        <v>5</v>
      </c>
      <c r="EI21" s="374">
        <f t="shared" si="241"/>
        <v>5</v>
      </c>
      <c r="EJ21" s="374">
        <f t="shared" si="242"/>
        <v>5</v>
      </c>
      <c r="EK21" s="442">
        <f t="shared" si="243"/>
        <v>5</v>
      </c>
      <c r="EL21" s="371">
        <f t="shared" si="244"/>
        <v>5</v>
      </c>
      <c r="EM21" s="374">
        <f t="shared" si="245"/>
        <v>5</v>
      </c>
      <c r="EN21" s="374">
        <f t="shared" si="246"/>
        <v>5</v>
      </c>
      <c r="EO21" s="442">
        <f t="shared" si="247"/>
        <v>5</v>
      </c>
      <c r="EP21" s="371">
        <f t="shared" si="248"/>
        <v>5</v>
      </c>
      <c r="EQ21" s="374">
        <f t="shared" si="249"/>
        <v>5</v>
      </c>
      <c r="ER21" s="374">
        <f t="shared" si="250"/>
        <v>5</v>
      </c>
      <c r="ES21" s="442">
        <f t="shared" si="251"/>
        <v>5</v>
      </c>
      <c r="ET21" s="42">
        <f>+schedule_ARAS!EW25</f>
        <v>150</v>
      </c>
      <c r="EU21" s="12">
        <f>+schedule_ARAS!EZ25</f>
        <v>67200</v>
      </c>
      <c r="EV21" s="42">
        <f>+schedule_ARAS!FA25</f>
        <v>36000</v>
      </c>
    </row>
    <row r="22" spans="2:152" s="30" customFormat="1" ht="29.25" customHeight="1">
      <c r="B22" s="44"/>
      <c r="C22" s="384" t="str">
        <f>+schedule_ARAS!C26</f>
        <v>Bozkurt</v>
      </c>
      <c r="D22" s="310" t="s">
        <v>153</v>
      </c>
      <c r="E22" s="496">
        <f>+schedule_ARAS!E26</f>
        <v>1</v>
      </c>
      <c r="F22" s="371"/>
      <c r="G22" s="374"/>
      <c r="H22" s="374"/>
      <c r="I22" s="442"/>
      <c r="J22" s="371"/>
      <c r="K22" s="374"/>
      <c r="L22" s="374"/>
      <c r="M22" s="442"/>
      <c r="N22" s="371">
        <f t="shared" si="260"/>
        <v>0</v>
      </c>
      <c r="O22" s="374">
        <f t="shared" si="257"/>
        <v>0</v>
      </c>
      <c r="P22" s="374">
        <f t="shared" si="258"/>
        <v>0</v>
      </c>
      <c r="Q22" s="442">
        <f t="shared" si="259"/>
        <v>0</v>
      </c>
      <c r="R22" s="371">
        <f t="shared" ref="R22" si="261">+Q22</f>
        <v>0</v>
      </c>
      <c r="S22" s="374">
        <f t="shared" ref="S22" si="262">+Q22</f>
        <v>0</v>
      </c>
      <c r="T22" s="374">
        <f t="shared" ref="T22" si="263">+Q22</f>
        <v>0</v>
      </c>
      <c r="U22" s="442">
        <f t="shared" ref="U22" si="264">+Q22</f>
        <v>0</v>
      </c>
      <c r="V22" s="371">
        <f t="shared" ref="V22:BA32" si="265">+U22</f>
        <v>0</v>
      </c>
      <c r="W22" s="374">
        <f t="shared" ref="W22:W32" si="266">+U22</f>
        <v>0</v>
      </c>
      <c r="X22" s="374">
        <f t="shared" ref="X22:X32" si="267">+U22</f>
        <v>0</v>
      </c>
      <c r="Y22" s="442">
        <f t="shared" ref="Y22:Y32" si="268">+U22</f>
        <v>0</v>
      </c>
      <c r="Z22" s="371">
        <f t="shared" ref="Z22:Z32" si="269">+Y22</f>
        <v>0</v>
      </c>
      <c r="AA22" s="374">
        <f t="shared" ref="AA22:AA32" si="270">+Y22</f>
        <v>0</v>
      </c>
      <c r="AB22" s="374">
        <f t="shared" ref="AB22:AB32" si="271">+Y22</f>
        <v>0</v>
      </c>
      <c r="AC22" s="442">
        <f t="shared" ref="AC22:AC32" si="272">+Y22</f>
        <v>0</v>
      </c>
      <c r="AD22" s="371">
        <f t="shared" si="132"/>
        <v>1</v>
      </c>
      <c r="AE22" s="374">
        <f t="shared" si="133"/>
        <v>1</v>
      </c>
      <c r="AF22" s="374">
        <f t="shared" si="134"/>
        <v>1</v>
      </c>
      <c r="AG22" s="442">
        <f t="shared" si="135"/>
        <v>1</v>
      </c>
      <c r="AH22" s="371">
        <f t="shared" si="136"/>
        <v>1</v>
      </c>
      <c r="AI22" s="374">
        <f t="shared" si="137"/>
        <v>1</v>
      </c>
      <c r="AJ22" s="374">
        <f t="shared" si="138"/>
        <v>1</v>
      </c>
      <c r="AK22" s="442">
        <f t="shared" si="139"/>
        <v>1</v>
      </c>
      <c r="AL22" s="371">
        <f t="shared" si="140"/>
        <v>1</v>
      </c>
      <c r="AM22" s="374">
        <f t="shared" si="141"/>
        <v>1</v>
      </c>
      <c r="AN22" s="374">
        <f t="shared" si="142"/>
        <v>1</v>
      </c>
      <c r="AO22" s="442">
        <f t="shared" si="143"/>
        <v>1</v>
      </c>
      <c r="AP22" s="371">
        <f t="shared" si="144"/>
        <v>1</v>
      </c>
      <c r="AQ22" s="374">
        <f t="shared" si="145"/>
        <v>1</v>
      </c>
      <c r="AR22" s="374">
        <f t="shared" si="146"/>
        <v>1</v>
      </c>
      <c r="AS22" s="442">
        <f t="shared" si="147"/>
        <v>1</v>
      </c>
      <c r="AT22" s="371">
        <f t="shared" si="148"/>
        <v>1</v>
      </c>
      <c r="AU22" s="374">
        <f t="shared" si="149"/>
        <v>1</v>
      </c>
      <c r="AV22" s="374">
        <f t="shared" si="150"/>
        <v>1</v>
      </c>
      <c r="AW22" s="442">
        <f t="shared" si="151"/>
        <v>1</v>
      </c>
      <c r="AX22" s="371">
        <f t="shared" si="152"/>
        <v>1</v>
      </c>
      <c r="AY22" s="374">
        <f t="shared" si="153"/>
        <v>1</v>
      </c>
      <c r="AZ22" s="374">
        <f t="shared" si="154"/>
        <v>1</v>
      </c>
      <c r="BA22" s="442">
        <f t="shared" si="155"/>
        <v>1</v>
      </c>
      <c r="BB22" s="371">
        <f t="shared" si="156"/>
        <v>1</v>
      </c>
      <c r="BC22" s="374">
        <f t="shared" si="157"/>
        <v>1</v>
      </c>
      <c r="BD22" s="374">
        <f t="shared" si="158"/>
        <v>1</v>
      </c>
      <c r="BE22" s="442">
        <f t="shared" si="159"/>
        <v>1</v>
      </c>
      <c r="BF22" s="371">
        <f t="shared" si="160"/>
        <v>1</v>
      </c>
      <c r="BG22" s="374">
        <f t="shared" si="161"/>
        <v>1</v>
      </c>
      <c r="BH22" s="374">
        <f t="shared" si="162"/>
        <v>1</v>
      </c>
      <c r="BI22" s="442">
        <f t="shared" si="163"/>
        <v>1</v>
      </c>
      <c r="BJ22" s="371">
        <f t="shared" si="164"/>
        <v>1</v>
      </c>
      <c r="BK22" s="374">
        <f t="shared" si="165"/>
        <v>1</v>
      </c>
      <c r="BL22" s="374">
        <f t="shared" si="166"/>
        <v>1</v>
      </c>
      <c r="BM22" s="442">
        <f t="shared" si="167"/>
        <v>1</v>
      </c>
      <c r="BN22" s="371">
        <f t="shared" si="168"/>
        <v>1</v>
      </c>
      <c r="BO22" s="374">
        <f t="shared" si="169"/>
        <v>1</v>
      </c>
      <c r="BP22" s="374">
        <f t="shared" si="170"/>
        <v>1</v>
      </c>
      <c r="BQ22" s="442">
        <f t="shared" si="171"/>
        <v>1</v>
      </c>
      <c r="BR22" s="371">
        <f t="shared" si="172"/>
        <v>1</v>
      </c>
      <c r="BS22" s="374">
        <f t="shared" si="173"/>
        <v>1</v>
      </c>
      <c r="BT22" s="374">
        <f t="shared" si="174"/>
        <v>1</v>
      </c>
      <c r="BU22" s="442">
        <f t="shared" si="175"/>
        <v>1</v>
      </c>
      <c r="BV22" s="371">
        <f t="shared" si="176"/>
        <v>1</v>
      </c>
      <c r="BW22" s="374">
        <f t="shared" si="177"/>
        <v>1</v>
      </c>
      <c r="BX22" s="374">
        <f t="shared" si="178"/>
        <v>1</v>
      </c>
      <c r="BY22" s="442">
        <f t="shared" si="179"/>
        <v>1</v>
      </c>
      <c r="BZ22" s="371">
        <f t="shared" si="180"/>
        <v>1</v>
      </c>
      <c r="CA22" s="374">
        <f t="shared" si="181"/>
        <v>1</v>
      </c>
      <c r="CB22" s="374">
        <f t="shared" si="182"/>
        <v>1</v>
      </c>
      <c r="CC22" s="442">
        <f t="shared" si="183"/>
        <v>1</v>
      </c>
      <c r="CD22" s="371">
        <f t="shared" si="184"/>
        <v>1</v>
      </c>
      <c r="CE22" s="374">
        <f t="shared" si="185"/>
        <v>1</v>
      </c>
      <c r="CF22" s="374">
        <f t="shared" si="186"/>
        <v>1</v>
      </c>
      <c r="CG22" s="442">
        <f t="shared" si="187"/>
        <v>1</v>
      </c>
      <c r="CH22" s="371">
        <f t="shared" si="188"/>
        <v>1</v>
      </c>
      <c r="CI22" s="374">
        <f t="shared" si="189"/>
        <v>1</v>
      </c>
      <c r="CJ22" s="374">
        <f t="shared" si="190"/>
        <v>1</v>
      </c>
      <c r="CK22" s="442">
        <f t="shared" si="191"/>
        <v>1</v>
      </c>
      <c r="CL22" s="371">
        <f t="shared" si="192"/>
        <v>1</v>
      </c>
      <c r="CM22" s="374">
        <f t="shared" si="193"/>
        <v>1</v>
      </c>
      <c r="CN22" s="374">
        <f t="shared" si="194"/>
        <v>1</v>
      </c>
      <c r="CO22" s="442">
        <f t="shared" si="195"/>
        <v>1</v>
      </c>
      <c r="CP22" s="371">
        <f t="shared" si="196"/>
        <v>1</v>
      </c>
      <c r="CQ22" s="374">
        <f t="shared" si="197"/>
        <v>1</v>
      </c>
      <c r="CR22" s="374">
        <f t="shared" si="198"/>
        <v>1</v>
      </c>
      <c r="CS22" s="442">
        <f t="shared" si="199"/>
        <v>1</v>
      </c>
      <c r="CT22" s="371">
        <f t="shared" si="200"/>
        <v>1</v>
      </c>
      <c r="CU22" s="374">
        <f t="shared" si="201"/>
        <v>1</v>
      </c>
      <c r="CV22" s="374">
        <f t="shared" si="202"/>
        <v>1</v>
      </c>
      <c r="CW22" s="442">
        <f t="shared" si="203"/>
        <v>1</v>
      </c>
      <c r="CX22" s="371">
        <f t="shared" si="204"/>
        <v>1</v>
      </c>
      <c r="CY22" s="374">
        <f t="shared" si="205"/>
        <v>1</v>
      </c>
      <c r="CZ22" s="374">
        <f t="shared" si="206"/>
        <v>1</v>
      </c>
      <c r="DA22" s="442">
        <f t="shared" si="207"/>
        <v>1</v>
      </c>
      <c r="DB22" s="371">
        <f t="shared" si="208"/>
        <v>1</v>
      </c>
      <c r="DC22" s="374">
        <f t="shared" si="209"/>
        <v>1</v>
      </c>
      <c r="DD22" s="374">
        <f t="shared" si="210"/>
        <v>1</v>
      </c>
      <c r="DE22" s="442">
        <f t="shared" si="211"/>
        <v>1</v>
      </c>
      <c r="DF22" s="371">
        <f t="shared" si="212"/>
        <v>1</v>
      </c>
      <c r="DG22" s="374">
        <f t="shared" si="213"/>
        <v>1</v>
      </c>
      <c r="DH22" s="374">
        <f t="shared" si="214"/>
        <v>1</v>
      </c>
      <c r="DI22" s="442">
        <f t="shared" si="215"/>
        <v>1</v>
      </c>
      <c r="DJ22" s="371">
        <f t="shared" si="216"/>
        <v>1</v>
      </c>
      <c r="DK22" s="374">
        <f t="shared" si="217"/>
        <v>1</v>
      </c>
      <c r="DL22" s="374">
        <f t="shared" si="218"/>
        <v>1</v>
      </c>
      <c r="DM22" s="442">
        <f t="shared" si="219"/>
        <v>1</v>
      </c>
      <c r="DN22" s="371">
        <f t="shared" si="220"/>
        <v>1</v>
      </c>
      <c r="DO22" s="374">
        <f t="shared" si="221"/>
        <v>1</v>
      </c>
      <c r="DP22" s="374">
        <f t="shared" si="222"/>
        <v>1</v>
      </c>
      <c r="DQ22" s="442">
        <f t="shared" si="223"/>
        <v>1</v>
      </c>
      <c r="DR22" s="371">
        <f t="shared" si="224"/>
        <v>1</v>
      </c>
      <c r="DS22" s="374">
        <f t="shared" si="225"/>
        <v>1</v>
      </c>
      <c r="DT22" s="374">
        <f t="shared" si="226"/>
        <v>1</v>
      </c>
      <c r="DU22" s="442">
        <f t="shared" si="227"/>
        <v>1</v>
      </c>
      <c r="DV22" s="371">
        <f t="shared" si="228"/>
        <v>1</v>
      </c>
      <c r="DW22" s="374">
        <f t="shared" si="229"/>
        <v>1</v>
      </c>
      <c r="DX22" s="374">
        <f t="shared" si="230"/>
        <v>1</v>
      </c>
      <c r="DY22" s="442">
        <f t="shared" si="231"/>
        <v>1</v>
      </c>
      <c r="DZ22" s="371">
        <f t="shared" si="232"/>
        <v>1</v>
      </c>
      <c r="EA22" s="374">
        <f t="shared" si="233"/>
        <v>1</v>
      </c>
      <c r="EB22" s="374">
        <f t="shared" si="234"/>
        <v>1</v>
      </c>
      <c r="EC22" s="442">
        <f t="shared" si="235"/>
        <v>1</v>
      </c>
      <c r="ED22" s="371">
        <f t="shared" si="236"/>
        <v>1</v>
      </c>
      <c r="EE22" s="374">
        <f t="shared" si="237"/>
        <v>1</v>
      </c>
      <c r="EF22" s="374">
        <f t="shared" si="238"/>
        <v>1</v>
      </c>
      <c r="EG22" s="442">
        <f t="shared" si="239"/>
        <v>1</v>
      </c>
      <c r="EH22" s="371">
        <f t="shared" si="240"/>
        <v>1</v>
      </c>
      <c r="EI22" s="374">
        <f t="shared" si="241"/>
        <v>1</v>
      </c>
      <c r="EJ22" s="374">
        <f t="shared" si="242"/>
        <v>1</v>
      </c>
      <c r="EK22" s="442">
        <f t="shared" si="243"/>
        <v>1</v>
      </c>
      <c r="EL22" s="371">
        <f t="shared" si="244"/>
        <v>1</v>
      </c>
      <c r="EM22" s="374">
        <f t="shared" si="245"/>
        <v>1</v>
      </c>
      <c r="EN22" s="374">
        <f t="shared" si="246"/>
        <v>1</v>
      </c>
      <c r="EO22" s="442">
        <f t="shared" si="247"/>
        <v>1</v>
      </c>
      <c r="EP22" s="371">
        <f t="shared" si="248"/>
        <v>1</v>
      </c>
      <c r="EQ22" s="374">
        <f t="shared" si="249"/>
        <v>1</v>
      </c>
      <c r="ER22" s="374">
        <f t="shared" si="250"/>
        <v>1</v>
      </c>
      <c r="ES22" s="442">
        <f t="shared" si="251"/>
        <v>1</v>
      </c>
      <c r="ET22" s="42">
        <f>+schedule_ARAS!EW26</f>
        <v>30</v>
      </c>
      <c r="EU22" s="12">
        <f>+schedule_ARAS!EZ26</f>
        <v>13440</v>
      </c>
      <c r="EV22" s="42">
        <f>+schedule_ARAS!FA26</f>
        <v>7200</v>
      </c>
    </row>
    <row r="23" spans="2:152" s="30" customFormat="1" ht="29.25" customHeight="1">
      <c r="B23" s="44"/>
      <c r="C23" s="384" t="str">
        <f>+schedule_ARAS!C27</f>
        <v>Yozgat</v>
      </c>
      <c r="D23" s="310" t="s">
        <v>153</v>
      </c>
      <c r="E23" s="496">
        <f>+schedule_ARAS!E27</f>
        <v>1</v>
      </c>
      <c r="F23" s="371"/>
      <c r="G23" s="374"/>
      <c r="H23" s="374"/>
      <c r="I23" s="442"/>
      <c r="J23" s="371"/>
      <c r="K23" s="374"/>
      <c r="L23" s="374"/>
      <c r="M23" s="442"/>
      <c r="N23" s="371">
        <f t="shared" ref="N23:N32" si="273">+M23</f>
        <v>0</v>
      </c>
      <c r="O23" s="374">
        <f t="shared" ref="O23:O32" si="274">+M23</f>
        <v>0</v>
      </c>
      <c r="P23" s="374">
        <f t="shared" ref="P23:P32" si="275">+M23</f>
        <v>0</v>
      </c>
      <c r="Q23" s="442">
        <f t="shared" ref="Q23:Q32" si="276">+M23</f>
        <v>0</v>
      </c>
      <c r="R23" s="371">
        <f t="shared" ref="R23" si="277">+Q23</f>
        <v>0</v>
      </c>
      <c r="S23" s="374">
        <f t="shared" ref="S23:S32" si="278">+Q23</f>
        <v>0</v>
      </c>
      <c r="T23" s="374">
        <f t="shared" ref="T23:T32" si="279">+Q23</f>
        <v>0</v>
      </c>
      <c r="U23" s="442">
        <f t="shared" ref="U23:U32" si="280">+Q23</f>
        <v>0</v>
      </c>
      <c r="V23" s="371">
        <f t="shared" si="265"/>
        <v>0</v>
      </c>
      <c r="W23" s="374">
        <f t="shared" si="266"/>
        <v>0</v>
      </c>
      <c r="X23" s="374">
        <f t="shared" si="267"/>
        <v>0</v>
      </c>
      <c r="Y23" s="442">
        <f t="shared" si="268"/>
        <v>0</v>
      </c>
      <c r="Z23" s="371">
        <f t="shared" si="269"/>
        <v>0</v>
      </c>
      <c r="AA23" s="374">
        <f t="shared" si="270"/>
        <v>0</v>
      </c>
      <c r="AB23" s="374">
        <f t="shared" si="271"/>
        <v>0</v>
      </c>
      <c r="AC23" s="442">
        <f t="shared" si="272"/>
        <v>0</v>
      </c>
      <c r="AD23" s="371">
        <f t="shared" si="132"/>
        <v>1</v>
      </c>
      <c r="AE23" s="374">
        <f t="shared" si="133"/>
        <v>1</v>
      </c>
      <c r="AF23" s="374">
        <f t="shared" si="134"/>
        <v>1</v>
      </c>
      <c r="AG23" s="442">
        <f t="shared" si="135"/>
        <v>1</v>
      </c>
      <c r="AH23" s="371">
        <f t="shared" si="136"/>
        <v>1</v>
      </c>
      <c r="AI23" s="374">
        <f t="shared" si="137"/>
        <v>1</v>
      </c>
      <c r="AJ23" s="374">
        <f t="shared" si="138"/>
        <v>1</v>
      </c>
      <c r="AK23" s="442">
        <f t="shared" si="139"/>
        <v>1</v>
      </c>
      <c r="AL23" s="371">
        <f t="shared" si="140"/>
        <v>1</v>
      </c>
      <c r="AM23" s="374">
        <f t="shared" si="141"/>
        <v>1</v>
      </c>
      <c r="AN23" s="374">
        <f t="shared" si="142"/>
        <v>1</v>
      </c>
      <c r="AO23" s="442">
        <f t="shared" si="143"/>
        <v>1</v>
      </c>
      <c r="AP23" s="371">
        <f t="shared" si="144"/>
        <v>1</v>
      </c>
      <c r="AQ23" s="374">
        <f t="shared" si="145"/>
        <v>1</v>
      </c>
      <c r="AR23" s="374">
        <f t="shared" si="146"/>
        <v>1</v>
      </c>
      <c r="AS23" s="442">
        <f t="shared" si="147"/>
        <v>1</v>
      </c>
      <c r="AT23" s="371">
        <f t="shared" si="148"/>
        <v>1</v>
      </c>
      <c r="AU23" s="374">
        <f t="shared" si="149"/>
        <v>1</v>
      </c>
      <c r="AV23" s="374">
        <f t="shared" si="150"/>
        <v>1</v>
      </c>
      <c r="AW23" s="442">
        <f t="shared" si="151"/>
        <v>1</v>
      </c>
      <c r="AX23" s="371">
        <f t="shared" si="152"/>
        <v>1</v>
      </c>
      <c r="AY23" s="374">
        <f t="shared" si="153"/>
        <v>1</v>
      </c>
      <c r="AZ23" s="374">
        <f t="shared" si="154"/>
        <v>1</v>
      </c>
      <c r="BA23" s="442">
        <f t="shared" si="155"/>
        <v>1</v>
      </c>
      <c r="BB23" s="371">
        <f t="shared" si="156"/>
        <v>1</v>
      </c>
      <c r="BC23" s="374">
        <f t="shared" si="157"/>
        <v>1</v>
      </c>
      <c r="BD23" s="374">
        <f t="shared" si="158"/>
        <v>1</v>
      </c>
      <c r="BE23" s="442">
        <f t="shared" si="159"/>
        <v>1</v>
      </c>
      <c r="BF23" s="371">
        <f t="shared" si="160"/>
        <v>1</v>
      </c>
      <c r="BG23" s="374">
        <f t="shared" si="161"/>
        <v>1</v>
      </c>
      <c r="BH23" s="374">
        <f t="shared" si="162"/>
        <v>1</v>
      </c>
      <c r="BI23" s="442">
        <f t="shared" si="163"/>
        <v>1</v>
      </c>
      <c r="BJ23" s="371">
        <f t="shared" si="164"/>
        <v>1</v>
      </c>
      <c r="BK23" s="374">
        <f t="shared" si="165"/>
        <v>1</v>
      </c>
      <c r="BL23" s="374">
        <f t="shared" si="166"/>
        <v>1</v>
      </c>
      <c r="BM23" s="442">
        <f t="shared" si="167"/>
        <v>1</v>
      </c>
      <c r="BN23" s="371">
        <f t="shared" si="168"/>
        <v>1</v>
      </c>
      <c r="BO23" s="374">
        <f t="shared" si="169"/>
        <v>1</v>
      </c>
      <c r="BP23" s="374">
        <f t="shared" si="170"/>
        <v>1</v>
      </c>
      <c r="BQ23" s="442">
        <f t="shared" si="171"/>
        <v>1</v>
      </c>
      <c r="BR23" s="371">
        <f t="shared" si="172"/>
        <v>1</v>
      </c>
      <c r="BS23" s="374">
        <f t="shared" si="173"/>
        <v>1</v>
      </c>
      <c r="BT23" s="374">
        <f t="shared" si="174"/>
        <v>1</v>
      </c>
      <c r="BU23" s="442">
        <f t="shared" si="175"/>
        <v>1</v>
      </c>
      <c r="BV23" s="371">
        <f t="shared" si="176"/>
        <v>1</v>
      </c>
      <c r="BW23" s="374">
        <f t="shared" si="177"/>
        <v>1</v>
      </c>
      <c r="BX23" s="374">
        <f t="shared" si="178"/>
        <v>1</v>
      </c>
      <c r="BY23" s="442">
        <f t="shared" si="179"/>
        <v>1</v>
      </c>
      <c r="BZ23" s="371">
        <f t="shared" si="180"/>
        <v>1</v>
      </c>
      <c r="CA23" s="374">
        <f t="shared" si="181"/>
        <v>1</v>
      </c>
      <c r="CB23" s="374">
        <f t="shared" si="182"/>
        <v>1</v>
      </c>
      <c r="CC23" s="442">
        <f t="shared" si="183"/>
        <v>1</v>
      </c>
      <c r="CD23" s="371">
        <f t="shared" si="184"/>
        <v>1</v>
      </c>
      <c r="CE23" s="374">
        <f t="shared" si="185"/>
        <v>1</v>
      </c>
      <c r="CF23" s="374">
        <f t="shared" si="186"/>
        <v>1</v>
      </c>
      <c r="CG23" s="442">
        <f t="shared" si="187"/>
        <v>1</v>
      </c>
      <c r="CH23" s="371">
        <f t="shared" si="188"/>
        <v>1</v>
      </c>
      <c r="CI23" s="374">
        <f t="shared" si="189"/>
        <v>1</v>
      </c>
      <c r="CJ23" s="374">
        <f t="shared" si="190"/>
        <v>1</v>
      </c>
      <c r="CK23" s="442">
        <f t="shared" si="191"/>
        <v>1</v>
      </c>
      <c r="CL23" s="371">
        <f t="shared" si="192"/>
        <v>1</v>
      </c>
      <c r="CM23" s="374">
        <f t="shared" si="193"/>
        <v>1</v>
      </c>
      <c r="CN23" s="374">
        <f t="shared" si="194"/>
        <v>1</v>
      </c>
      <c r="CO23" s="442">
        <f t="shared" si="195"/>
        <v>1</v>
      </c>
      <c r="CP23" s="371">
        <f t="shared" si="196"/>
        <v>1</v>
      </c>
      <c r="CQ23" s="374">
        <f t="shared" si="197"/>
        <v>1</v>
      </c>
      <c r="CR23" s="374">
        <f t="shared" si="198"/>
        <v>1</v>
      </c>
      <c r="CS23" s="442">
        <f t="shared" si="199"/>
        <v>1</v>
      </c>
      <c r="CT23" s="371">
        <f t="shared" si="200"/>
        <v>1</v>
      </c>
      <c r="CU23" s="374">
        <f t="shared" si="201"/>
        <v>1</v>
      </c>
      <c r="CV23" s="374">
        <f t="shared" si="202"/>
        <v>1</v>
      </c>
      <c r="CW23" s="442">
        <f t="shared" si="203"/>
        <v>1</v>
      </c>
      <c r="CX23" s="371">
        <f t="shared" si="204"/>
        <v>1</v>
      </c>
      <c r="CY23" s="374">
        <f t="shared" si="205"/>
        <v>1</v>
      </c>
      <c r="CZ23" s="374">
        <f t="shared" si="206"/>
        <v>1</v>
      </c>
      <c r="DA23" s="442">
        <f t="shared" si="207"/>
        <v>1</v>
      </c>
      <c r="DB23" s="371">
        <f t="shared" si="208"/>
        <v>1</v>
      </c>
      <c r="DC23" s="374">
        <f t="shared" si="209"/>
        <v>1</v>
      </c>
      <c r="DD23" s="374">
        <f t="shared" si="210"/>
        <v>1</v>
      </c>
      <c r="DE23" s="442">
        <f t="shared" si="211"/>
        <v>1</v>
      </c>
      <c r="DF23" s="371">
        <f t="shared" si="212"/>
        <v>1</v>
      </c>
      <c r="DG23" s="374">
        <f t="shared" si="213"/>
        <v>1</v>
      </c>
      <c r="DH23" s="374">
        <f t="shared" si="214"/>
        <v>1</v>
      </c>
      <c r="DI23" s="442">
        <f t="shared" si="215"/>
        <v>1</v>
      </c>
      <c r="DJ23" s="371">
        <f t="shared" si="216"/>
        <v>1</v>
      </c>
      <c r="DK23" s="374">
        <f t="shared" si="217"/>
        <v>1</v>
      </c>
      <c r="DL23" s="374">
        <f t="shared" si="218"/>
        <v>1</v>
      </c>
      <c r="DM23" s="442">
        <f t="shared" si="219"/>
        <v>1</v>
      </c>
      <c r="DN23" s="371">
        <f t="shared" si="220"/>
        <v>1</v>
      </c>
      <c r="DO23" s="374">
        <f t="shared" si="221"/>
        <v>1</v>
      </c>
      <c r="DP23" s="374">
        <f t="shared" si="222"/>
        <v>1</v>
      </c>
      <c r="DQ23" s="442">
        <f t="shared" si="223"/>
        <v>1</v>
      </c>
      <c r="DR23" s="371">
        <f t="shared" si="224"/>
        <v>1</v>
      </c>
      <c r="DS23" s="374">
        <f t="shared" si="225"/>
        <v>1</v>
      </c>
      <c r="DT23" s="374">
        <f t="shared" si="226"/>
        <v>1</v>
      </c>
      <c r="DU23" s="442">
        <f t="shared" si="227"/>
        <v>1</v>
      </c>
      <c r="DV23" s="371">
        <f t="shared" si="228"/>
        <v>1</v>
      </c>
      <c r="DW23" s="374">
        <f t="shared" si="229"/>
        <v>1</v>
      </c>
      <c r="DX23" s="374">
        <f t="shared" si="230"/>
        <v>1</v>
      </c>
      <c r="DY23" s="442">
        <f t="shared" si="231"/>
        <v>1</v>
      </c>
      <c r="DZ23" s="371">
        <f t="shared" si="232"/>
        <v>1</v>
      </c>
      <c r="EA23" s="374">
        <f t="shared" si="233"/>
        <v>1</v>
      </c>
      <c r="EB23" s="374">
        <f t="shared" si="234"/>
        <v>1</v>
      </c>
      <c r="EC23" s="442">
        <f t="shared" si="235"/>
        <v>1</v>
      </c>
      <c r="ED23" s="371">
        <f t="shared" si="236"/>
        <v>1</v>
      </c>
      <c r="EE23" s="374">
        <f t="shared" si="237"/>
        <v>1</v>
      </c>
      <c r="EF23" s="374">
        <f t="shared" si="238"/>
        <v>1</v>
      </c>
      <c r="EG23" s="442">
        <f t="shared" si="239"/>
        <v>1</v>
      </c>
      <c r="EH23" s="371">
        <f t="shared" si="240"/>
        <v>1</v>
      </c>
      <c r="EI23" s="374">
        <f t="shared" si="241"/>
        <v>1</v>
      </c>
      <c r="EJ23" s="374">
        <f t="shared" si="242"/>
        <v>1</v>
      </c>
      <c r="EK23" s="442">
        <f t="shared" si="243"/>
        <v>1</v>
      </c>
      <c r="EL23" s="371">
        <f t="shared" si="244"/>
        <v>1</v>
      </c>
      <c r="EM23" s="374">
        <f t="shared" si="245"/>
        <v>1</v>
      </c>
      <c r="EN23" s="374">
        <f t="shared" si="246"/>
        <v>1</v>
      </c>
      <c r="EO23" s="442">
        <f t="shared" si="247"/>
        <v>1</v>
      </c>
      <c r="EP23" s="371">
        <f t="shared" si="248"/>
        <v>1</v>
      </c>
      <c r="EQ23" s="374">
        <f t="shared" si="249"/>
        <v>1</v>
      </c>
      <c r="ER23" s="374">
        <f t="shared" si="250"/>
        <v>1</v>
      </c>
      <c r="ES23" s="442">
        <f t="shared" si="251"/>
        <v>1</v>
      </c>
      <c r="ET23" s="42">
        <f>+schedule_ARAS!EW27</f>
        <v>30</v>
      </c>
      <c r="EU23" s="12">
        <f>+schedule_ARAS!EZ27</f>
        <v>13440</v>
      </c>
      <c r="EV23" s="42">
        <f>+schedule_ARAS!FA27</f>
        <v>7200</v>
      </c>
    </row>
    <row r="24" spans="2:152" s="30" customFormat="1" ht="29.25" customHeight="1">
      <c r="B24" s="44"/>
      <c r="C24" s="384" t="str">
        <f>+schedule_ARAS!C28</f>
        <v>Dalgıç</v>
      </c>
      <c r="D24" s="310" t="s">
        <v>153</v>
      </c>
      <c r="E24" s="496">
        <f>+schedule_ARAS!E28</f>
        <v>1</v>
      </c>
      <c r="F24" s="371"/>
      <c r="G24" s="374"/>
      <c r="H24" s="374"/>
      <c r="I24" s="442"/>
      <c r="J24" s="371"/>
      <c r="K24" s="374"/>
      <c r="L24" s="374"/>
      <c r="M24" s="442"/>
      <c r="N24" s="371">
        <f t="shared" si="273"/>
        <v>0</v>
      </c>
      <c r="O24" s="374">
        <f t="shared" si="274"/>
        <v>0</v>
      </c>
      <c r="P24" s="374">
        <f t="shared" si="275"/>
        <v>0</v>
      </c>
      <c r="Q24" s="442">
        <f t="shared" si="276"/>
        <v>0</v>
      </c>
      <c r="R24" s="371">
        <f t="shared" ref="R24" si="281">+Q24</f>
        <v>0</v>
      </c>
      <c r="S24" s="374">
        <f t="shared" si="278"/>
        <v>0</v>
      </c>
      <c r="T24" s="374">
        <f t="shared" si="279"/>
        <v>0</v>
      </c>
      <c r="U24" s="442">
        <f t="shared" si="280"/>
        <v>0</v>
      </c>
      <c r="V24" s="371">
        <f t="shared" si="265"/>
        <v>0</v>
      </c>
      <c r="W24" s="374">
        <f t="shared" si="266"/>
        <v>0</v>
      </c>
      <c r="X24" s="374">
        <f t="shared" si="267"/>
        <v>0</v>
      </c>
      <c r="Y24" s="442">
        <f t="shared" si="268"/>
        <v>0</v>
      </c>
      <c r="Z24" s="371">
        <f t="shared" si="269"/>
        <v>0</v>
      </c>
      <c r="AA24" s="374">
        <f t="shared" si="270"/>
        <v>0</v>
      </c>
      <c r="AB24" s="374">
        <f t="shared" si="271"/>
        <v>0</v>
      </c>
      <c r="AC24" s="442">
        <f t="shared" si="272"/>
        <v>0</v>
      </c>
      <c r="AD24" s="371">
        <f t="shared" si="132"/>
        <v>1</v>
      </c>
      <c r="AE24" s="374">
        <f t="shared" si="133"/>
        <v>1</v>
      </c>
      <c r="AF24" s="374">
        <f t="shared" si="134"/>
        <v>1</v>
      </c>
      <c r="AG24" s="442">
        <f t="shared" si="135"/>
        <v>1</v>
      </c>
      <c r="AH24" s="371">
        <f t="shared" si="136"/>
        <v>1</v>
      </c>
      <c r="AI24" s="374">
        <f t="shared" si="137"/>
        <v>1</v>
      </c>
      <c r="AJ24" s="374">
        <f t="shared" si="138"/>
        <v>1</v>
      </c>
      <c r="AK24" s="442">
        <f t="shared" si="139"/>
        <v>1</v>
      </c>
      <c r="AL24" s="371">
        <f t="shared" si="140"/>
        <v>1</v>
      </c>
      <c r="AM24" s="374">
        <f t="shared" si="141"/>
        <v>1</v>
      </c>
      <c r="AN24" s="374">
        <f t="shared" si="142"/>
        <v>1</v>
      </c>
      <c r="AO24" s="442">
        <f t="shared" si="143"/>
        <v>1</v>
      </c>
      <c r="AP24" s="371">
        <f t="shared" si="144"/>
        <v>1</v>
      </c>
      <c r="AQ24" s="374">
        <f t="shared" si="145"/>
        <v>1</v>
      </c>
      <c r="AR24" s="374">
        <f t="shared" si="146"/>
        <v>1</v>
      </c>
      <c r="AS24" s="442">
        <f t="shared" si="147"/>
        <v>1</v>
      </c>
      <c r="AT24" s="371">
        <f t="shared" si="148"/>
        <v>1</v>
      </c>
      <c r="AU24" s="374">
        <f t="shared" si="149"/>
        <v>1</v>
      </c>
      <c r="AV24" s="374">
        <f t="shared" si="150"/>
        <v>1</v>
      </c>
      <c r="AW24" s="442">
        <f t="shared" si="151"/>
        <v>1</v>
      </c>
      <c r="AX24" s="371">
        <f t="shared" si="152"/>
        <v>1</v>
      </c>
      <c r="AY24" s="374">
        <f t="shared" si="153"/>
        <v>1</v>
      </c>
      <c r="AZ24" s="374">
        <f t="shared" si="154"/>
        <v>1</v>
      </c>
      <c r="BA24" s="442">
        <f t="shared" si="155"/>
        <v>1</v>
      </c>
      <c r="BB24" s="371">
        <f t="shared" si="156"/>
        <v>1</v>
      </c>
      <c r="BC24" s="374">
        <f t="shared" si="157"/>
        <v>1</v>
      </c>
      <c r="BD24" s="374">
        <f t="shared" si="158"/>
        <v>1</v>
      </c>
      <c r="BE24" s="442">
        <f t="shared" si="159"/>
        <v>1</v>
      </c>
      <c r="BF24" s="371">
        <f t="shared" si="160"/>
        <v>1</v>
      </c>
      <c r="BG24" s="374">
        <f t="shared" si="161"/>
        <v>1</v>
      </c>
      <c r="BH24" s="374">
        <f t="shared" si="162"/>
        <v>1</v>
      </c>
      <c r="BI24" s="442">
        <f t="shared" si="163"/>
        <v>1</v>
      </c>
      <c r="BJ24" s="371">
        <f t="shared" si="164"/>
        <v>1</v>
      </c>
      <c r="BK24" s="374">
        <f t="shared" si="165"/>
        <v>1</v>
      </c>
      <c r="BL24" s="374">
        <f t="shared" si="166"/>
        <v>1</v>
      </c>
      <c r="BM24" s="442">
        <f t="shared" si="167"/>
        <v>1</v>
      </c>
      <c r="BN24" s="371">
        <f t="shared" si="168"/>
        <v>1</v>
      </c>
      <c r="BO24" s="374">
        <f t="shared" si="169"/>
        <v>1</v>
      </c>
      <c r="BP24" s="374">
        <f t="shared" si="170"/>
        <v>1</v>
      </c>
      <c r="BQ24" s="442">
        <f t="shared" si="171"/>
        <v>1</v>
      </c>
      <c r="BR24" s="371">
        <f t="shared" si="172"/>
        <v>1</v>
      </c>
      <c r="BS24" s="374">
        <f t="shared" si="173"/>
        <v>1</v>
      </c>
      <c r="BT24" s="374">
        <f t="shared" si="174"/>
        <v>1</v>
      </c>
      <c r="BU24" s="442">
        <f t="shared" si="175"/>
        <v>1</v>
      </c>
      <c r="BV24" s="371">
        <f t="shared" si="176"/>
        <v>1</v>
      </c>
      <c r="BW24" s="374">
        <f t="shared" si="177"/>
        <v>1</v>
      </c>
      <c r="BX24" s="374">
        <f t="shared" si="178"/>
        <v>1</v>
      </c>
      <c r="BY24" s="442">
        <f t="shared" si="179"/>
        <v>1</v>
      </c>
      <c r="BZ24" s="371">
        <f t="shared" si="180"/>
        <v>1</v>
      </c>
      <c r="CA24" s="374">
        <f t="shared" si="181"/>
        <v>1</v>
      </c>
      <c r="CB24" s="374">
        <f t="shared" si="182"/>
        <v>1</v>
      </c>
      <c r="CC24" s="442">
        <f t="shared" si="183"/>
        <v>1</v>
      </c>
      <c r="CD24" s="371">
        <f t="shared" si="184"/>
        <v>1</v>
      </c>
      <c r="CE24" s="374">
        <f t="shared" si="185"/>
        <v>1</v>
      </c>
      <c r="CF24" s="374">
        <f t="shared" si="186"/>
        <v>1</v>
      </c>
      <c r="CG24" s="442">
        <f t="shared" si="187"/>
        <v>1</v>
      </c>
      <c r="CH24" s="371">
        <f t="shared" si="188"/>
        <v>1</v>
      </c>
      <c r="CI24" s="374">
        <f t="shared" si="189"/>
        <v>1</v>
      </c>
      <c r="CJ24" s="374">
        <f t="shared" si="190"/>
        <v>1</v>
      </c>
      <c r="CK24" s="442">
        <f t="shared" si="191"/>
        <v>1</v>
      </c>
      <c r="CL24" s="371">
        <f t="shared" si="192"/>
        <v>1</v>
      </c>
      <c r="CM24" s="374">
        <f t="shared" si="193"/>
        <v>1</v>
      </c>
      <c r="CN24" s="374">
        <f t="shared" si="194"/>
        <v>1</v>
      </c>
      <c r="CO24" s="442">
        <f t="shared" si="195"/>
        <v>1</v>
      </c>
      <c r="CP24" s="371">
        <f t="shared" si="196"/>
        <v>1</v>
      </c>
      <c r="CQ24" s="374">
        <f t="shared" si="197"/>
        <v>1</v>
      </c>
      <c r="CR24" s="374">
        <f t="shared" si="198"/>
        <v>1</v>
      </c>
      <c r="CS24" s="442">
        <f t="shared" si="199"/>
        <v>1</v>
      </c>
      <c r="CT24" s="371">
        <f t="shared" si="200"/>
        <v>1</v>
      </c>
      <c r="CU24" s="374">
        <f t="shared" si="201"/>
        <v>1</v>
      </c>
      <c r="CV24" s="374">
        <f t="shared" si="202"/>
        <v>1</v>
      </c>
      <c r="CW24" s="442">
        <f t="shared" si="203"/>
        <v>1</v>
      </c>
      <c r="CX24" s="371">
        <f t="shared" si="204"/>
        <v>1</v>
      </c>
      <c r="CY24" s="374">
        <f t="shared" si="205"/>
        <v>1</v>
      </c>
      <c r="CZ24" s="374">
        <f t="shared" si="206"/>
        <v>1</v>
      </c>
      <c r="DA24" s="442">
        <f t="shared" si="207"/>
        <v>1</v>
      </c>
      <c r="DB24" s="371">
        <f t="shared" si="208"/>
        <v>1</v>
      </c>
      <c r="DC24" s="374">
        <f t="shared" si="209"/>
        <v>1</v>
      </c>
      <c r="DD24" s="374">
        <f t="shared" si="210"/>
        <v>1</v>
      </c>
      <c r="DE24" s="442">
        <f t="shared" si="211"/>
        <v>1</v>
      </c>
      <c r="DF24" s="371">
        <f t="shared" si="212"/>
        <v>1</v>
      </c>
      <c r="DG24" s="374">
        <f t="shared" si="213"/>
        <v>1</v>
      </c>
      <c r="DH24" s="374">
        <f t="shared" si="214"/>
        <v>1</v>
      </c>
      <c r="DI24" s="442">
        <f t="shared" si="215"/>
        <v>1</v>
      </c>
      <c r="DJ24" s="371">
        <f t="shared" si="216"/>
        <v>1</v>
      </c>
      <c r="DK24" s="374">
        <f t="shared" si="217"/>
        <v>1</v>
      </c>
      <c r="DL24" s="374">
        <f t="shared" si="218"/>
        <v>1</v>
      </c>
      <c r="DM24" s="442">
        <f t="shared" si="219"/>
        <v>1</v>
      </c>
      <c r="DN24" s="371">
        <f t="shared" si="220"/>
        <v>1</v>
      </c>
      <c r="DO24" s="374">
        <f t="shared" si="221"/>
        <v>1</v>
      </c>
      <c r="DP24" s="374">
        <f t="shared" si="222"/>
        <v>1</v>
      </c>
      <c r="DQ24" s="442">
        <f t="shared" si="223"/>
        <v>1</v>
      </c>
      <c r="DR24" s="371">
        <f t="shared" si="224"/>
        <v>1</v>
      </c>
      <c r="DS24" s="374">
        <f t="shared" si="225"/>
        <v>1</v>
      </c>
      <c r="DT24" s="374">
        <f t="shared" si="226"/>
        <v>1</v>
      </c>
      <c r="DU24" s="442">
        <f t="shared" si="227"/>
        <v>1</v>
      </c>
      <c r="DV24" s="371">
        <f t="shared" si="228"/>
        <v>1</v>
      </c>
      <c r="DW24" s="374">
        <f t="shared" si="229"/>
        <v>1</v>
      </c>
      <c r="DX24" s="374">
        <f t="shared" si="230"/>
        <v>1</v>
      </c>
      <c r="DY24" s="442">
        <f t="shared" si="231"/>
        <v>1</v>
      </c>
      <c r="DZ24" s="371">
        <f t="shared" si="232"/>
        <v>1</v>
      </c>
      <c r="EA24" s="374">
        <f t="shared" si="233"/>
        <v>1</v>
      </c>
      <c r="EB24" s="374">
        <f t="shared" si="234"/>
        <v>1</v>
      </c>
      <c r="EC24" s="442">
        <f t="shared" si="235"/>
        <v>1</v>
      </c>
      <c r="ED24" s="371">
        <f t="shared" si="236"/>
        <v>1</v>
      </c>
      <c r="EE24" s="374">
        <f t="shared" si="237"/>
        <v>1</v>
      </c>
      <c r="EF24" s="374">
        <f t="shared" si="238"/>
        <v>1</v>
      </c>
      <c r="EG24" s="442">
        <f t="shared" si="239"/>
        <v>1</v>
      </c>
      <c r="EH24" s="371">
        <f t="shared" si="240"/>
        <v>1</v>
      </c>
      <c r="EI24" s="374">
        <f t="shared" si="241"/>
        <v>1</v>
      </c>
      <c r="EJ24" s="374">
        <f t="shared" si="242"/>
        <v>1</v>
      </c>
      <c r="EK24" s="442">
        <f t="shared" si="243"/>
        <v>1</v>
      </c>
      <c r="EL24" s="371">
        <f t="shared" si="244"/>
        <v>1</v>
      </c>
      <c r="EM24" s="374">
        <f t="shared" si="245"/>
        <v>1</v>
      </c>
      <c r="EN24" s="374">
        <f t="shared" si="246"/>
        <v>1</v>
      </c>
      <c r="EO24" s="442">
        <f t="shared" si="247"/>
        <v>1</v>
      </c>
      <c r="EP24" s="371">
        <f t="shared" si="248"/>
        <v>1</v>
      </c>
      <c r="EQ24" s="374">
        <f t="shared" si="249"/>
        <v>1</v>
      </c>
      <c r="ER24" s="374">
        <f t="shared" si="250"/>
        <v>1</v>
      </c>
      <c r="ES24" s="442">
        <f t="shared" si="251"/>
        <v>1</v>
      </c>
      <c r="ET24" s="42">
        <f>+schedule_ARAS!EW28</f>
        <v>30</v>
      </c>
      <c r="EU24" s="12">
        <f>+schedule_ARAS!EZ28</f>
        <v>13440</v>
      </c>
      <c r="EV24" s="42">
        <f>+schedule_ARAS!FA28</f>
        <v>7200</v>
      </c>
    </row>
    <row r="25" spans="2:152" s="30" customFormat="1" ht="29.25" customHeight="1">
      <c r="B25" s="44"/>
      <c r="C25" s="384" t="str">
        <f>+schedule_ARAS!C29</f>
        <v>Yunus - 6</v>
      </c>
      <c r="D25" s="310" t="s">
        <v>153</v>
      </c>
      <c r="E25" s="496">
        <f>+schedule_ARAS!E29</f>
        <v>1</v>
      </c>
      <c r="F25" s="371"/>
      <c r="G25" s="374"/>
      <c r="H25" s="374"/>
      <c r="I25" s="442"/>
      <c r="J25" s="371"/>
      <c r="K25" s="374"/>
      <c r="L25" s="374"/>
      <c r="M25" s="442"/>
      <c r="N25" s="371">
        <f t="shared" si="273"/>
        <v>0</v>
      </c>
      <c r="O25" s="374">
        <f t="shared" si="274"/>
        <v>0</v>
      </c>
      <c r="P25" s="374">
        <f t="shared" si="275"/>
        <v>0</v>
      </c>
      <c r="Q25" s="442">
        <f t="shared" si="276"/>
        <v>0</v>
      </c>
      <c r="R25" s="371">
        <f t="shared" ref="R25" si="282">+Q25</f>
        <v>0</v>
      </c>
      <c r="S25" s="374">
        <f t="shared" si="278"/>
        <v>0</v>
      </c>
      <c r="T25" s="374">
        <f t="shared" si="279"/>
        <v>0</v>
      </c>
      <c r="U25" s="442">
        <f t="shared" si="280"/>
        <v>0</v>
      </c>
      <c r="V25" s="371">
        <f t="shared" si="265"/>
        <v>0</v>
      </c>
      <c r="W25" s="374">
        <f t="shared" si="266"/>
        <v>0</v>
      </c>
      <c r="X25" s="374">
        <f t="shared" si="267"/>
        <v>0</v>
      </c>
      <c r="Y25" s="442">
        <f t="shared" si="268"/>
        <v>0</v>
      </c>
      <c r="Z25" s="371">
        <f t="shared" si="269"/>
        <v>0</v>
      </c>
      <c r="AA25" s="374">
        <f t="shared" si="270"/>
        <v>0</v>
      </c>
      <c r="AB25" s="374">
        <f t="shared" si="271"/>
        <v>0</v>
      </c>
      <c r="AC25" s="442">
        <f t="shared" si="272"/>
        <v>0</v>
      </c>
      <c r="AD25" s="371">
        <f t="shared" si="132"/>
        <v>1</v>
      </c>
      <c r="AE25" s="374">
        <f t="shared" si="133"/>
        <v>1</v>
      </c>
      <c r="AF25" s="374">
        <f t="shared" si="134"/>
        <v>1</v>
      </c>
      <c r="AG25" s="442">
        <f t="shared" si="135"/>
        <v>1</v>
      </c>
      <c r="AH25" s="371">
        <f t="shared" si="136"/>
        <v>1</v>
      </c>
      <c r="AI25" s="374">
        <f t="shared" si="137"/>
        <v>1</v>
      </c>
      <c r="AJ25" s="374">
        <f t="shared" si="138"/>
        <v>1</v>
      </c>
      <c r="AK25" s="442">
        <f t="shared" si="139"/>
        <v>1</v>
      </c>
      <c r="AL25" s="371">
        <f t="shared" si="140"/>
        <v>1</v>
      </c>
      <c r="AM25" s="374">
        <f t="shared" si="141"/>
        <v>1</v>
      </c>
      <c r="AN25" s="374">
        <f t="shared" si="142"/>
        <v>1</v>
      </c>
      <c r="AO25" s="442">
        <f t="shared" si="143"/>
        <v>1</v>
      </c>
      <c r="AP25" s="371">
        <f t="shared" si="144"/>
        <v>1</v>
      </c>
      <c r="AQ25" s="374">
        <f t="shared" si="145"/>
        <v>1</v>
      </c>
      <c r="AR25" s="374">
        <f t="shared" si="146"/>
        <v>1</v>
      </c>
      <c r="AS25" s="442">
        <f t="shared" si="147"/>
        <v>1</v>
      </c>
      <c r="AT25" s="371">
        <f t="shared" si="148"/>
        <v>1</v>
      </c>
      <c r="AU25" s="374">
        <f t="shared" si="149"/>
        <v>1</v>
      </c>
      <c r="AV25" s="374">
        <f t="shared" si="150"/>
        <v>1</v>
      </c>
      <c r="AW25" s="442">
        <f t="shared" si="151"/>
        <v>1</v>
      </c>
      <c r="AX25" s="371">
        <f t="shared" si="152"/>
        <v>1</v>
      </c>
      <c r="AY25" s="374">
        <f t="shared" si="153"/>
        <v>1</v>
      </c>
      <c r="AZ25" s="374">
        <f t="shared" si="154"/>
        <v>1</v>
      </c>
      <c r="BA25" s="442">
        <f t="shared" si="155"/>
        <v>1</v>
      </c>
      <c r="BB25" s="371">
        <f t="shared" si="156"/>
        <v>1</v>
      </c>
      <c r="BC25" s="374">
        <f t="shared" si="157"/>
        <v>1</v>
      </c>
      <c r="BD25" s="374">
        <f t="shared" si="158"/>
        <v>1</v>
      </c>
      <c r="BE25" s="442">
        <f t="shared" si="159"/>
        <v>1</v>
      </c>
      <c r="BF25" s="371">
        <f t="shared" si="160"/>
        <v>1</v>
      </c>
      <c r="BG25" s="374">
        <f t="shared" si="161"/>
        <v>1</v>
      </c>
      <c r="BH25" s="374">
        <f t="shared" si="162"/>
        <v>1</v>
      </c>
      <c r="BI25" s="442">
        <f t="shared" si="163"/>
        <v>1</v>
      </c>
      <c r="BJ25" s="371">
        <f t="shared" si="164"/>
        <v>1</v>
      </c>
      <c r="BK25" s="374">
        <f t="shared" si="165"/>
        <v>1</v>
      </c>
      <c r="BL25" s="374">
        <f t="shared" si="166"/>
        <v>1</v>
      </c>
      <c r="BM25" s="442">
        <f t="shared" si="167"/>
        <v>1</v>
      </c>
      <c r="BN25" s="371">
        <f t="shared" si="168"/>
        <v>1</v>
      </c>
      <c r="BO25" s="374">
        <f t="shared" si="169"/>
        <v>1</v>
      </c>
      <c r="BP25" s="374">
        <f t="shared" si="170"/>
        <v>1</v>
      </c>
      <c r="BQ25" s="442">
        <f t="shared" si="171"/>
        <v>1</v>
      </c>
      <c r="BR25" s="371">
        <f t="shared" si="172"/>
        <v>1</v>
      </c>
      <c r="BS25" s="374">
        <f t="shared" si="173"/>
        <v>1</v>
      </c>
      <c r="BT25" s="374">
        <f t="shared" si="174"/>
        <v>1</v>
      </c>
      <c r="BU25" s="442">
        <f t="shared" si="175"/>
        <v>1</v>
      </c>
      <c r="BV25" s="371">
        <f t="shared" si="176"/>
        <v>1</v>
      </c>
      <c r="BW25" s="374">
        <f t="shared" si="177"/>
        <v>1</v>
      </c>
      <c r="BX25" s="374">
        <f t="shared" si="178"/>
        <v>1</v>
      </c>
      <c r="BY25" s="442">
        <f t="shared" si="179"/>
        <v>1</v>
      </c>
      <c r="BZ25" s="371">
        <f t="shared" si="180"/>
        <v>1</v>
      </c>
      <c r="CA25" s="374">
        <f t="shared" si="181"/>
        <v>1</v>
      </c>
      <c r="CB25" s="374">
        <f t="shared" si="182"/>
        <v>1</v>
      </c>
      <c r="CC25" s="442">
        <f t="shared" si="183"/>
        <v>1</v>
      </c>
      <c r="CD25" s="371">
        <f t="shared" si="184"/>
        <v>1</v>
      </c>
      <c r="CE25" s="374">
        <f t="shared" si="185"/>
        <v>1</v>
      </c>
      <c r="CF25" s="374">
        <f t="shared" si="186"/>
        <v>1</v>
      </c>
      <c r="CG25" s="442">
        <f t="shared" si="187"/>
        <v>1</v>
      </c>
      <c r="CH25" s="371">
        <f t="shared" si="188"/>
        <v>1</v>
      </c>
      <c r="CI25" s="374">
        <f t="shared" si="189"/>
        <v>1</v>
      </c>
      <c r="CJ25" s="374">
        <f t="shared" si="190"/>
        <v>1</v>
      </c>
      <c r="CK25" s="442">
        <f t="shared" si="191"/>
        <v>1</v>
      </c>
      <c r="CL25" s="371">
        <f t="shared" si="192"/>
        <v>1</v>
      </c>
      <c r="CM25" s="374">
        <f t="shared" si="193"/>
        <v>1</v>
      </c>
      <c r="CN25" s="374">
        <f t="shared" si="194"/>
        <v>1</v>
      </c>
      <c r="CO25" s="442">
        <f t="shared" si="195"/>
        <v>1</v>
      </c>
      <c r="CP25" s="371">
        <f t="shared" si="196"/>
        <v>1</v>
      </c>
      <c r="CQ25" s="374">
        <f t="shared" si="197"/>
        <v>1</v>
      </c>
      <c r="CR25" s="374">
        <f t="shared" si="198"/>
        <v>1</v>
      </c>
      <c r="CS25" s="442">
        <f t="shared" si="199"/>
        <v>1</v>
      </c>
      <c r="CT25" s="371">
        <f t="shared" si="200"/>
        <v>1</v>
      </c>
      <c r="CU25" s="374">
        <f t="shared" si="201"/>
        <v>1</v>
      </c>
      <c r="CV25" s="374">
        <f t="shared" si="202"/>
        <v>1</v>
      </c>
      <c r="CW25" s="442">
        <f t="shared" si="203"/>
        <v>1</v>
      </c>
      <c r="CX25" s="371">
        <f t="shared" si="204"/>
        <v>1</v>
      </c>
      <c r="CY25" s="374">
        <f t="shared" si="205"/>
        <v>1</v>
      </c>
      <c r="CZ25" s="374">
        <f t="shared" si="206"/>
        <v>1</v>
      </c>
      <c r="DA25" s="442">
        <f t="shared" si="207"/>
        <v>1</v>
      </c>
      <c r="DB25" s="371">
        <f t="shared" si="208"/>
        <v>1</v>
      </c>
      <c r="DC25" s="374">
        <f t="shared" si="209"/>
        <v>1</v>
      </c>
      <c r="DD25" s="374">
        <f t="shared" si="210"/>
        <v>1</v>
      </c>
      <c r="DE25" s="442">
        <f t="shared" si="211"/>
        <v>1</v>
      </c>
      <c r="DF25" s="371">
        <f t="shared" si="212"/>
        <v>1</v>
      </c>
      <c r="DG25" s="374">
        <f t="shared" si="213"/>
        <v>1</v>
      </c>
      <c r="DH25" s="374">
        <f t="shared" si="214"/>
        <v>1</v>
      </c>
      <c r="DI25" s="442">
        <f t="shared" si="215"/>
        <v>1</v>
      </c>
      <c r="DJ25" s="371">
        <f t="shared" si="216"/>
        <v>1</v>
      </c>
      <c r="DK25" s="374">
        <f t="shared" si="217"/>
        <v>1</v>
      </c>
      <c r="DL25" s="374">
        <f t="shared" si="218"/>
        <v>1</v>
      </c>
      <c r="DM25" s="442">
        <f t="shared" si="219"/>
        <v>1</v>
      </c>
      <c r="DN25" s="371">
        <f t="shared" si="220"/>
        <v>1</v>
      </c>
      <c r="DO25" s="374">
        <f t="shared" si="221"/>
        <v>1</v>
      </c>
      <c r="DP25" s="374">
        <f t="shared" si="222"/>
        <v>1</v>
      </c>
      <c r="DQ25" s="442">
        <f t="shared" si="223"/>
        <v>1</v>
      </c>
      <c r="DR25" s="371">
        <f t="shared" si="224"/>
        <v>1</v>
      </c>
      <c r="DS25" s="374">
        <f t="shared" si="225"/>
        <v>1</v>
      </c>
      <c r="DT25" s="374">
        <f t="shared" si="226"/>
        <v>1</v>
      </c>
      <c r="DU25" s="442">
        <f t="shared" si="227"/>
        <v>1</v>
      </c>
      <c r="DV25" s="371">
        <f t="shared" si="228"/>
        <v>1</v>
      </c>
      <c r="DW25" s="374">
        <f t="shared" si="229"/>
        <v>1</v>
      </c>
      <c r="DX25" s="374">
        <f t="shared" si="230"/>
        <v>1</v>
      </c>
      <c r="DY25" s="442">
        <f t="shared" si="231"/>
        <v>1</v>
      </c>
      <c r="DZ25" s="371">
        <f t="shared" si="232"/>
        <v>1</v>
      </c>
      <c r="EA25" s="374">
        <f t="shared" si="233"/>
        <v>1</v>
      </c>
      <c r="EB25" s="374">
        <f t="shared" si="234"/>
        <v>1</v>
      </c>
      <c r="EC25" s="442">
        <f t="shared" si="235"/>
        <v>1</v>
      </c>
      <c r="ED25" s="371">
        <f t="shared" si="236"/>
        <v>1</v>
      </c>
      <c r="EE25" s="374">
        <f t="shared" si="237"/>
        <v>1</v>
      </c>
      <c r="EF25" s="374">
        <f t="shared" si="238"/>
        <v>1</v>
      </c>
      <c r="EG25" s="442">
        <f t="shared" si="239"/>
        <v>1</v>
      </c>
      <c r="EH25" s="371">
        <f t="shared" si="240"/>
        <v>1</v>
      </c>
      <c r="EI25" s="374">
        <f t="shared" si="241"/>
        <v>1</v>
      </c>
      <c r="EJ25" s="374">
        <f t="shared" si="242"/>
        <v>1</v>
      </c>
      <c r="EK25" s="442">
        <f t="shared" si="243"/>
        <v>1</v>
      </c>
      <c r="EL25" s="371">
        <f t="shared" si="244"/>
        <v>1</v>
      </c>
      <c r="EM25" s="374">
        <f t="shared" si="245"/>
        <v>1</v>
      </c>
      <c r="EN25" s="374">
        <f t="shared" si="246"/>
        <v>1</v>
      </c>
      <c r="EO25" s="442">
        <f t="shared" si="247"/>
        <v>1</v>
      </c>
      <c r="EP25" s="371">
        <f t="shared" si="248"/>
        <v>1</v>
      </c>
      <c r="EQ25" s="374">
        <f t="shared" si="249"/>
        <v>1</v>
      </c>
      <c r="ER25" s="374">
        <f t="shared" si="250"/>
        <v>1</v>
      </c>
      <c r="ES25" s="442">
        <f t="shared" si="251"/>
        <v>1</v>
      </c>
      <c r="ET25" s="42">
        <f>+schedule_ARAS!EW29</f>
        <v>30</v>
      </c>
      <c r="EU25" s="12">
        <f>+schedule_ARAS!EZ29</f>
        <v>13440</v>
      </c>
      <c r="EV25" s="42">
        <f>+schedule_ARAS!FA29</f>
        <v>7200</v>
      </c>
    </row>
    <row r="26" spans="2:152" s="30" customFormat="1" ht="29.25" customHeight="1">
      <c r="B26" s="44"/>
      <c r="C26" s="384" t="str">
        <f>+schedule_ARAS!C30</f>
        <v>Atmaca</v>
      </c>
      <c r="D26" s="310" t="s">
        <v>153</v>
      </c>
      <c r="E26" s="496">
        <f>+schedule_ARAS!E30</f>
        <v>1</v>
      </c>
      <c r="F26" s="371"/>
      <c r="G26" s="374"/>
      <c r="H26" s="374"/>
      <c r="I26" s="442"/>
      <c r="J26" s="371"/>
      <c r="K26" s="374"/>
      <c r="L26" s="374"/>
      <c r="M26" s="442"/>
      <c r="N26" s="371"/>
      <c r="O26" s="374"/>
      <c r="P26" s="374"/>
      <c r="Q26" s="442"/>
      <c r="R26" s="371"/>
      <c r="S26" s="374"/>
      <c r="T26" s="374"/>
      <c r="U26" s="442"/>
      <c r="V26" s="371"/>
      <c r="W26" s="374"/>
      <c r="X26" s="374"/>
      <c r="Y26" s="442"/>
      <c r="Z26" s="371"/>
      <c r="AA26" s="374"/>
      <c r="AB26" s="374"/>
      <c r="AC26" s="442"/>
      <c r="AD26" s="371">
        <f t="shared" ref="AD26:AD27" si="283">+E26</f>
        <v>1</v>
      </c>
      <c r="AE26" s="374">
        <f t="shared" ref="AE26:AE27" si="284">+E26</f>
        <v>1</v>
      </c>
      <c r="AF26" s="374">
        <f t="shared" ref="AF26:AF27" si="285">+E26</f>
        <v>1</v>
      </c>
      <c r="AG26" s="442">
        <f t="shared" ref="AG26:AG27" si="286">+E26</f>
        <v>1</v>
      </c>
      <c r="AH26" s="371">
        <f t="shared" ref="AH26:AH27" si="287">+AG26</f>
        <v>1</v>
      </c>
      <c r="AI26" s="374">
        <f t="shared" ref="AI26:AI27" si="288">+AG26</f>
        <v>1</v>
      </c>
      <c r="AJ26" s="374">
        <f t="shared" ref="AJ26:AJ27" si="289">+AG26</f>
        <v>1</v>
      </c>
      <c r="AK26" s="442">
        <f t="shared" ref="AK26:AK27" si="290">+AG26</f>
        <v>1</v>
      </c>
      <c r="AL26" s="371">
        <f t="shared" ref="AL26:AL27" si="291">+AK26</f>
        <v>1</v>
      </c>
      <c r="AM26" s="374">
        <f t="shared" ref="AM26:AM27" si="292">+AK26</f>
        <v>1</v>
      </c>
      <c r="AN26" s="374">
        <f t="shared" ref="AN26:AN27" si="293">+AK26</f>
        <v>1</v>
      </c>
      <c r="AO26" s="442">
        <f t="shared" ref="AO26:AO27" si="294">+AK26</f>
        <v>1</v>
      </c>
      <c r="AP26" s="371">
        <f t="shared" ref="AP26:AP27" si="295">+AO26</f>
        <v>1</v>
      </c>
      <c r="AQ26" s="374">
        <f t="shared" ref="AQ26:AQ27" si="296">+AO26</f>
        <v>1</v>
      </c>
      <c r="AR26" s="374">
        <f t="shared" ref="AR26:AR27" si="297">+AO26</f>
        <v>1</v>
      </c>
      <c r="AS26" s="442">
        <f t="shared" ref="AS26:AS27" si="298">+AO26</f>
        <v>1</v>
      </c>
      <c r="AT26" s="371">
        <f t="shared" ref="AT26:AT27" si="299">+AS26</f>
        <v>1</v>
      </c>
      <c r="AU26" s="374">
        <f t="shared" ref="AU26:AU27" si="300">+AS26</f>
        <v>1</v>
      </c>
      <c r="AV26" s="374">
        <f t="shared" ref="AV26:AV27" si="301">+AS26</f>
        <v>1</v>
      </c>
      <c r="AW26" s="442">
        <f t="shared" ref="AW26:AW27" si="302">+AS26</f>
        <v>1</v>
      </c>
      <c r="AX26" s="371">
        <f t="shared" ref="AX26:AX27" si="303">+AW26</f>
        <v>1</v>
      </c>
      <c r="AY26" s="374">
        <f t="shared" ref="AY26:AY27" si="304">+AW26</f>
        <v>1</v>
      </c>
      <c r="AZ26" s="374">
        <f t="shared" ref="AZ26:AZ27" si="305">+AW26</f>
        <v>1</v>
      </c>
      <c r="BA26" s="442">
        <f t="shared" ref="BA26:BA27" si="306">+AW26</f>
        <v>1</v>
      </c>
      <c r="BB26" s="371">
        <f t="shared" ref="BB26:BB27" si="307">+BA26</f>
        <v>1</v>
      </c>
      <c r="BC26" s="374">
        <f t="shared" ref="BC26:BC27" si="308">+BA26</f>
        <v>1</v>
      </c>
      <c r="BD26" s="374">
        <f t="shared" ref="BD26:BD27" si="309">+BA26</f>
        <v>1</v>
      </c>
      <c r="BE26" s="442">
        <f t="shared" ref="BE26:BE27" si="310">+BA26</f>
        <v>1</v>
      </c>
      <c r="BF26" s="371">
        <f t="shared" ref="BF26:BF27" si="311">+BE26</f>
        <v>1</v>
      </c>
      <c r="BG26" s="374">
        <f t="shared" ref="BG26:BG27" si="312">+BE26</f>
        <v>1</v>
      </c>
      <c r="BH26" s="374">
        <f t="shared" ref="BH26:BH27" si="313">+BE26</f>
        <v>1</v>
      </c>
      <c r="BI26" s="442">
        <f t="shared" ref="BI26:BI27" si="314">+BE26</f>
        <v>1</v>
      </c>
      <c r="BJ26" s="371">
        <f t="shared" ref="BJ26:BJ27" si="315">+BI26</f>
        <v>1</v>
      </c>
      <c r="BK26" s="374">
        <f t="shared" ref="BK26:BK27" si="316">+BI26</f>
        <v>1</v>
      </c>
      <c r="BL26" s="374">
        <f t="shared" ref="BL26:BL27" si="317">+BI26</f>
        <v>1</v>
      </c>
      <c r="BM26" s="442">
        <f t="shared" ref="BM26:BM27" si="318">+BI26</f>
        <v>1</v>
      </c>
      <c r="BN26" s="371">
        <f t="shared" ref="BN26:BN27" si="319">+BM26</f>
        <v>1</v>
      </c>
      <c r="BO26" s="374">
        <f t="shared" ref="BO26:BO27" si="320">+BM26</f>
        <v>1</v>
      </c>
      <c r="BP26" s="374">
        <f t="shared" ref="BP26:BP27" si="321">+BM26</f>
        <v>1</v>
      </c>
      <c r="BQ26" s="442">
        <f t="shared" ref="BQ26:BQ27" si="322">+BM26</f>
        <v>1</v>
      </c>
      <c r="BR26" s="371">
        <f t="shared" ref="BR26:BR27" si="323">+BQ26</f>
        <v>1</v>
      </c>
      <c r="BS26" s="374">
        <f t="shared" ref="BS26:BS27" si="324">+BQ26</f>
        <v>1</v>
      </c>
      <c r="BT26" s="374">
        <f t="shared" ref="BT26:BT27" si="325">+BQ26</f>
        <v>1</v>
      </c>
      <c r="BU26" s="442">
        <f t="shared" ref="BU26:BU27" si="326">+BQ26</f>
        <v>1</v>
      </c>
      <c r="BV26" s="371">
        <f t="shared" ref="BV26:BV27" si="327">+BU26</f>
        <v>1</v>
      </c>
      <c r="BW26" s="374">
        <f t="shared" ref="BW26:BW27" si="328">+BU26</f>
        <v>1</v>
      </c>
      <c r="BX26" s="374">
        <f t="shared" ref="BX26:BX27" si="329">+BU26</f>
        <v>1</v>
      </c>
      <c r="BY26" s="442">
        <f t="shared" ref="BY26:BY27" si="330">+BU26</f>
        <v>1</v>
      </c>
      <c r="BZ26" s="371">
        <f t="shared" ref="BZ26:BZ27" si="331">+BY26</f>
        <v>1</v>
      </c>
      <c r="CA26" s="374">
        <f t="shared" ref="CA26:CA27" si="332">+BY26</f>
        <v>1</v>
      </c>
      <c r="CB26" s="374">
        <f t="shared" ref="CB26:CB27" si="333">+BY26</f>
        <v>1</v>
      </c>
      <c r="CC26" s="442">
        <f t="shared" ref="CC26:CC27" si="334">+BY26</f>
        <v>1</v>
      </c>
      <c r="CD26" s="371">
        <f t="shared" ref="CD26:CD27" si="335">+CC26</f>
        <v>1</v>
      </c>
      <c r="CE26" s="374">
        <f t="shared" ref="CE26:CE27" si="336">+CC26</f>
        <v>1</v>
      </c>
      <c r="CF26" s="374">
        <f t="shared" ref="CF26:CF27" si="337">+CC26</f>
        <v>1</v>
      </c>
      <c r="CG26" s="442">
        <f t="shared" ref="CG26:CG27" si="338">+CC26</f>
        <v>1</v>
      </c>
      <c r="CH26" s="371">
        <f t="shared" ref="CH26:CH27" si="339">+CG26</f>
        <v>1</v>
      </c>
      <c r="CI26" s="374">
        <f t="shared" ref="CI26:CI27" si="340">+CG26</f>
        <v>1</v>
      </c>
      <c r="CJ26" s="374">
        <f t="shared" ref="CJ26:CJ27" si="341">+CG26</f>
        <v>1</v>
      </c>
      <c r="CK26" s="442">
        <f t="shared" ref="CK26:CK27" si="342">+CG26</f>
        <v>1</v>
      </c>
      <c r="CL26" s="371">
        <f t="shared" ref="CL26:CL27" si="343">+CK26</f>
        <v>1</v>
      </c>
      <c r="CM26" s="374">
        <f t="shared" ref="CM26:CM27" si="344">+CK26</f>
        <v>1</v>
      </c>
      <c r="CN26" s="374">
        <f t="shared" ref="CN26:CN27" si="345">+CK26</f>
        <v>1</v>
      </c>
      <c r="CO26" s="442">
        <f t="shared" ref="CO26:CO27" si="346">+CK26</f>
        <v>1</v>
      </c>
      <c r="CP26" s="371">
        <f t="shared" ref="CP26:CP27" si="347">+CO26</f>
        <v>1</v>
      </c>
      <c r="CQ26" s="374">
        <f t="shared" ref="CQ26:CQ27" si="348">+CO26</f>
        <v>1</v>
      </c>
      <c r="CR26" s="374">
        <f t="shared" ref="CR26:CR27" si="349">+CO26</f>
        <v>1</v>
      </c>
      <c r="CS26" s="442">
        <f t="shared" ref="CS26:CS27" si="350">+CO26</f>
        <v>1</v>
      </c>
      <c r="CT26" s="371">
        <f t="shared" ref="CT26:CT27" si="351">+CS26</f>
        <v>1</v>
      </c>
      <c r="CU26" s="374">
        <f t="shared" ref="CU26:CU27" si="352">+CS26</f>
        <v>1</v>
      </c>
      <c r="CV26" s="374">
        <f t="shared" ref="CV26:CV27" si="353">+CS26</f>
        <v>1</v>
      </c>
      <c r="CW26" s="442">
        <f t="shared" ref="CW26:CW27" si="354">+CS26</f>
        <v>1</v>
      </c>
      <c r="CX26" s="371">
        <f t="shared" ref="CX26:CX27" si="355">+CW26</f>
        <v>1</v>
      </c>
      <c r="CY26" s="374">
        <f t="shared" ref="CY26:CY27" si="356">+CW26</f>
        <v>1</v>
      </c>
      <c r="CZ26" s="374">
        <f t="shared" ref="CZ26:CZ27" si="357">+CW26</f>
        <v>1</v>
      </c>
      <c r="DA26" s="442">
        <f t="shared" ref="DA26:DA27" si="358">+CW26</f>
        <v>1</v>
      </c>
      <c r="DB26" s="371">
        <f t="shared" ref="DB26:DB27" si="359">+DA26</f>
        <v>1</v>
      </c>
      <c r="DC26" s="374">
        <f t="shared" ref="DC26:DC27" si="360">+DA26</f>
        <v>1</v>
      </c>
      <c r="DD26" s="374">
        <f t="shared" ref="DD26:DD27" si="361">+DA26</f>
        <v>1</v>
      </c>
      <c r="DE26" s="442">
        <f t="shared" ref="DE26:DE27" si="362">+DA26</f>
        <v>1</v>
      </c>
      <c r="DF26" s="371">
        <f t="shared" ref="DF26:DF27" si="363">+DE26</f>
        <v>1</v>
      </c>
      <c r="DG26" s="374">
        <f t="shared" ref="DG26:DG27" si="364">+DE26</f>
        <v>1</v>
      </c>
      <c r="DH26" s="374">
        <f t="shared" ref="DH26:DH27" si="365">+DE26</f>
        <v>1</v>
      </c>
      <c r="DI26" s="442">
        <f t="shared" ref="DI26:DI27" si="366">+DE26</f>
        <v>1</v>
      </c>
      <c r="DJ26" s="371">
        <f t="shared" ref="DJ26:DJ27" si="367">+DI26</f>
        <v>1</v>
      </c>
      <c r="DK26" s="374">
        <f t="shared" ref="DK26:DK27" si="368">+DI26</f>
        <v>1</v>
      </c>
      <c r="DL26" s="374">
        <f t="shared" ref="DL26:DL27" si="369">+DI26</f>
        <v>1</v>
      </c>
      <c r="DM26" s="442">
        <f t="shared" ref="DM26:DM27" si="370">+DI26</f>
        <v>1</v>
      </c>
      <c r="DN26" s="371">
        <f t="shared" ref="DN26:DN27" si="371">+DM26</f>
        <v>1</v>
      </c>
      <c r="DO26" s="374">
        <f t="shared" ref="DO26:DO27" si="372">+DM26</f>
        <v>1</v>
      </c>
      <c r="DP26" s="374">
        <f t="shared" ref="DP26:DP27" si="373">+DM26</f>
        <v>1</v>
      </c>
      <c r="DQ26" s="442">
        <f t="shared" ref="DQ26:DQ27" si="374">+DM26</f>
        <v>1</v>
      </c>
      <c r="DR26" s="371">
        <f t="shared" ref="DR26:DR27" si="375">+DQ26</f>
        <v>1</v>
      </c>
      <c r="DS26" s="374">
        <f t="shared" ref="DS26:DS27" si="376">+DQ26</f>
        <v>1</v>
      </c>
      <c r="DT26" s="374">
        <f t="shared" ref="DT26:DT27" si="377">+DQ26</f>
        <v>1</v>
      </c>
      <c r="DU26" s="442">
        <f t="shared" ref="DU26:DU27" si="378">+DQ26</f>
        <v>1</v>
      </c>
      <c r="DV26" s="371">
        <f t="shared" ref="DV26:DV27" si="379">+DU26</f>
        <v>1</v>
      </c>
      <c r="DW26" s="374">
        <f t="shared" ref="DW26:DW27" si="380">+DU26</f>
        <v>1</v>
      </c>
      <c r="DX26" s="374">
        <f t="shared" ref="DX26:DX27" si="381">+DU26</f>
        <v>1</v>
      </c>
      <c r="DY26" s="442">
        <f t="shared" ref="DY26:DY27" si="382">+DU26</f>
        <v>1</v>
      </c>
      <c r="DZ26" s="371">
        <f t="shared" ref="DZ26:DZ27" si="383">+DY26</f>
        <v>1</v>
      </c>
      <c r="EA26" s="374">
        <f t="shared" ref="EA26:EA27" si="384">+DY26</f>
        <v>1</v>
      </c>
      <c r="EB26" s="374">
        <f t="shared" ref="EB26:EB27" si="385">+DY26</f>
        <v>1</v>
      </c>
      <c r="EC26" s="442">
        <f t="shared" ref="EC26:EC27" si="386">+DY26</f>
        <v>1</v>
      </c>
      <c r="ED26" s="371">
        <f t="shared" ref="ED26:ED27" si="387">+EC26</f>
        <v>1</v>
      </c>
      <c r="EE26" s="374">
        <f t="shared" ref="EE26:EE27" si="388">+EC26</f>
        <v>1</v>
      </c>
      <c r="EF26" s="374">
        <f t="shared" ref="EF26:EF27" si="389">+EC26</f>
        <v>1</v>
      </c>
      <c r="EG26" s="442">
        <f t="shared" ref="EG26:EG27" si="390">+EC26</f>
        <v>1</v>
      </c>
      <c r="EH26" s="371">
        <f t="shared" ref="EH26:EH27" si="391">+EG26</f>
        <v>1</v>
      </c>
      <c r="EI26" s="374">
        <f t="shared" ref="EI26:EI27" si="392">+EG26</f>
        <v>1</v>
      </c>
      <c r="EJ26" s="374">
        <f t="shared" ref="EJ26:EJ27" si="393">+EG26</f>
        <v>1</v>
      </c>
      <c r="EK26" s="442">
        <f t="shared" ref="EK26:EK27" si="394">+EG26</f>
        <v>1</v>
      </c>
      <c r="EL26" s="371">
        <f t="shared" ref="EL26:EL27" si="395">+EK26</f>
        <v>1</v>
      </c>
      <c r="EM26" s="374">
        <f t="shared" ref="EM26:EM27" si="396">+EK26</f>
        <v>1</v>
      </c>
      <c r="EN26" s="374">
        <f t="shared" ref="EN26:EN27" si="397">+EK26</f>
        <v>1</v>
      </c>
      <c r="EO26" s="442">
        <f t="shared" ref="EO26:EO27" si="398">+EK26</f>
        <v>1</v>
      </c>
      <c r="EP26" s="371">
        <f t="shared" ref="EP26:EP27" si="399">+EO26</f>
        <v>1</v>
      </c>
      <c r="EQ26" s="374">
        <f t="shared" ref="EQ26:EQ27" si="400">+EO26</f>
        <v>1</v>
      </c>
      <c r="ER26" s="374">
        <f t="shared" ref="ER26:ER27" si="401">+EO26</f>
        <v>1</v>
      </c>
      <c r="ES26" s="442">
        <f t="shared" ref="ES26:ES27" si="402">+EO26</f>
        <v>1</v>
      </c>
      <c r="ET26" s="42">
        <f>+schedule_ARAS!EW30</f>
        <v>30</v>
      </c>
      <c r="EU26" s="12">
        <f>+schedule_ARAS!EZ30</f>
        <v>13440</v>
      </c>
      <c r="EV26" s="42">
        <f>+schedule_ARAS!FA30</f>
        <v>7200</v>
      </c>
    </row>
    <row r="27" spans="2:152" s="30" customFormat="1" ht="29.25" customHeight="1">
      <c r="B27" s="44"/>
      <c r="C27" s="384" t="str">
        <f>+schedule_ARAS!C31</f>
        <v>Tayfun</v>
      </c>
      <c r="D27" s="310" t="s">
        <v>153</v>
      </c>
      <c r="E27" s="496">
        <f>+schedule_ARAS!E31</f>
        <v>1</v>
      </c>
      <c r="F27" s="371"/>
      <c r="G27" s="374"/>
      <c r="H27" s="374"/>
      <c r="I27" s="442"/>
      <c r="J27" s="371"/>
      <c r="K27" s="374"/>
      <c r="L27" s="374"/>
      <c r="M27" s="442"/>
      <c r="N27" s="371"/>
      <c r="O27" s="374"/>
      <c r="P27" s="374"/>
      <c r="Q27" s="442"/>
      <c r="R27" s="371"/>
      <c r="S27" s="374"/>
      <c r="T27" s="374"/>
      <c r="U27" s="442"/>
      <c r="V27" s="371"/>
      <c r="W27" s="374"/>
      <c r="X27" s="374"/>
      <c r="Y27" s="442"/>
      <c r="Z27" s="371"/>
      <c r="AA27" s="374"/>
      <c r="AB27" s="374"/>
      <c r="AC27" s="442"/>
      <c r="AD27" s="371">
        <f t="shared" si="283"/>
        <v>1</v>
      </c>
      <c r="AE27" s="374">
        <f t="shared" si="284"/>
        <v>1</v>
      </c>
      <c r="AF27" s="374">
        <f t="shared" si="285"/>
        <v>1</v>
      </c>
      <c r="AG27" s="442">
        <f t="shared" si="286"/>
        <v>1</v>
      </c>
      <c r="AH27" s="371">
        <f t="shared" si="287"/>
        <v>1</v>
      </c>
      <c r="AI27" s="374">
        <f t="shared" si="288"/>
        <v>1</v>
      </c>
      <c r="AJ27" s="374">
        <f t="shared" si="289"/>
        <v>1</v>
      </c>
      <c r="AK27" s="442">
        <f t="shared" si="290"/>
        <v>1</v>
      </c>
      <c r="AL27" s="371">
        <f t="shared" si="291"/>
        <v>1</v>
      </c>
      <c r="AM27" s="374">
        <f t="shared" si="292"/>
        <v>1</v>
      </c>
      <c r="AN27" s="374">
        <f t="shared" si="293"/>
        <v>1</v>
      </c>
      <c r="AO27" s="442">
        <f t="shared" si="294"/>
        <v>1</v>
      </c>
      <c r="AP27" s="371">
        <f t="shared" si="295"/>
        <v>1</v>
      </c>
      <c r="AQ27" s="374">
        <f t="shared" si="296"/>
        <v>1</v>
      </c>
      <c r="AR27" s="374">
        <f t="shared" si="297"/>
        <v>1</v>
      </c>
      <c r="AS27" s="442">
        <f t="shared" si="298"/>
        <v>1</v>
      </c>
      <c r="AT27" s="371">
        <f t="shared" si="299"/>
        <v>1</v>
      </c>
      <c r="AU27" s="374">
        <f t="shared" si="300"/>
        <v>1</v>
      </c>
      <c r="AV27" s="374">
        <f t="shared" si="301"/>
        <v>1</v>
      </c>
      <c r="AW27" s="442">
        <f t="shared" si="302"/>
        <v>1</v>
      </c>
      <c r="AX27" s="371">
        <f t="shared" si="303"/>
        <v>1</v>
      </c>
      <c r="AY27" s="374">
        <f t="shared" si="304"/>
        <v>1</v>
      </c>
      <c r="AZ27" s="374">
        <f t="shared" si="305"/>
        <v>1</v>
      </c>
      <c r="BA27" s="442">
        <f t="shared" si="306"/>
        <v>1</v>
      </c>
      <c r="BB27" s="371">
        <f t="shared" si="307"/>
        <v>1</v>
      </c>
      <c r="BC27" s="374">
        <f t="shared" si="308"/>
        <v>1</v>
      </c>
      <c r="BD27" s="374">
        <f t="shared" si="309"/>
        <v>1</v>
      </c>
      <c r="BE27" s="442">
        <f t="shared" si="310"/>
        <v>1</v>
      </c>
      <c r="BF27" s="371">
        <f t="shared" si="311"/>
        <v>1</v>
      </c>
      <c r="BG27" s="374">
        <f t="shared" si="312"/>
        <v>1</v>
      </c>
      <c r="BH27" s="374">
        <f t="shared" si="313"/>
        <v>1</v>
      </c>
      <c r="BI27" s="442">
        <f t="shared" si="314"/>
        <v>1</v>
      </c>
      <c r="BJ27" s="371">
        <f t="shared" si="315"/>
        <v>1</v>
      </c>
      <c r="BK27" s="374">
        <f t="shared" si="316"/>
        <v>1</v>
      </c>
      <c r="BL27" s="374">
        <f t="shared" si="317"/>
        <v>1</v>
      </c>
      <c r="BM27" s="442">
        <f t="shared" si="318"/>
        <v>1</v>
      </c>
      <c r="BN27" s="371">
        <f t="shared" si="319"/>
        <v>1</v>
      </c>
      <c r="BO27" s="374">
        <f t="shared" si="320"/>
        <v>1</v>
      </c>
      <c r="BP27" s="374">
        <f t="shared" si="321"/>
        <v>1</v>
      </c>
      <c r="BQ27" s="442">
        <f t="shared" si="322"/>
        <v>1</v>
      </c>
      <c r="BR27" s="371">
        <f t="shared" si="323"/>
        <v>1</v>
      </c>
      <c r="BS27" s="374">
        <f t="shared" si="324"/>
        <v>1</v>
      </c>
      <c r="BT27" s="374">
        <f t="shared" si="325"/>
        <v>1</v>
      </c>
      <c r="BU27" s="442">
        <f t="shared" si="326"/>
        <v>1</v>
      </c>
      <c r="BV27" s="371">
        <f t="shared" si="327"/>
        <v>1</v>
      </c>
      <c r="BW27" s="374">
        <f t="shared" si="328"/>
        <v>1</v>
      </c>
      <c r="BX27" s="374">
        <f t="shared" si="329"/>
        <v>1</v>
      </c>
      <c r="BY27" s="442">
        <f t="shared" si="330"/>
        <v>1</v>
      </c>
      <c r="BZ27" s="371">
        <f t="shared" si="331"/>
        <v>1</v>
      </c>
      <c r="CA27" s="374">
        <f t="shared" si="332"/>
        <v>1</v>
      </c>
      <c r="CB27" s="374">
        <f t="shared" si="333"/>
        <v>1</v>
      </c>
      <c r="CC27" s="442">
        <f t="shared" si="334"/>
        <v>1</v>
      </c>
      <c r="CD27" s="371">
        <f t="shared" si="335"/>
        <v>1</v>
      </c>
      <c r="CE27" s="374">
        <f t="shared" si="336"/>
        <v>1</v>
      </c>
      <c r="CF27" s="374">
        <f t="shared" si="337"/>
        <v>1</v>
      </c>
      <c r="CG27" s="442">
        <f t="shared" si="338"/>
        <v>1</v>
      </c>
      <c r="CH27" s="371">
        <f t="shared" si="339"/>
        <v>1</v>
      </c>
      <c r="CI27" s="374">
        <f t="shared" si="340"/>
        <v>1</v>
      </c>
      <c r="CJ27" s="374">
        <f t="shared" si="341"/>
        <v>1</v>
      </c>
      <c r="CK27" s="442">
        <f t="shared" si="342"/>
        <v>1</v>
      </c>
      <c r="CL27" s="371">
        <f t="shared" si="343"/>
        <v>1</v>
      </c>
      <c r="CM27" s="374">
        <f t="shared" si="344"/>
        <v>1</v>
      </c>
      <c r="CN27" s="374">
        <f t="shared" si="345"/>
        <v>1</v>
      </c>
      <c r="CO27" s="442">
        <f t="shared" si="346"/>
        <v>1</v>
      </c>
      <c r="CP27" s="371">
        <f t="shared" si="347"/>
        <v>1</v>
      </c>
      <c r="CQ27" s="374">
        <f t="shared" si="348"/>
        <v>1</v>
      </c>
      <c r="CR27" s="374">
        <f t="shared" si="349"/>
        <v>1</v>
      </c>
      <c r="CS27" s="442">
        <f t="shared" si="350"/>
        <v>1</v>
      </c>
      <c r="CT27" s="371">
        <f t="shared" si="351"/>
        <v>1</v>
      </c>
      <c r="CU27" s="374">
        <f t="shared" si="352"/>
        <v>1</v>
      </c>
      <c r="CV27" s="374">
        <f t="shared" si="353"/>
        <v>1</v>
      </c>
      <c r="CW27" s="442">
        <f t="shared" si="354"/>
        <v>1</v>
      </c>
      <c r="CX27" s="371">
        <f t="shared" si="355"/>
        <v>1</v>
      </c>
      <c r="CY27" s="374">
        <f t="shared" si="356"/>
        <v>1</v>
      </c>
      <c r="CZ27" s="374">
        <f t="shared" si="357"/>
        <v>1</v>
      </c>
      <c r="DA27" s="442">
        <f t="shared" si="358"/>
        <v>1</v>
      </c>
      <c r="DB27" s="371">
        <f t="shared" si="359"/>
        <v>1</v>
      </c>
      <c r="DC27" s="374">
        <f t="shared" si="360"/>
        <v>1</v>
      </c>
      <c r="DD27" s="374">
        <f t="shared" si="361"/>
        <v>1</v>
      </c>
      <c r="DE27" s="442">
        <f t="shared" si="362"/>
        <v>1</v>
      </c>
      <c r="DF27" s="371">
        <f t="shared" si="363"/>
        <v>1</v>
      </c>
      <c r="DG27" s="374">
        <f t="shared" si="364"/>
        <v>1</v>
      </c>
      <c r="DH27" s="374">
        <f t="shared" si="365"/>
        <v>1</v>
      </c>
      <c r="DI27" s="442">
        <f t="shared" si="366"/>
        <v>1</v>
      </c>
      <c r="DJ27" s="371">
        <f t="shared" si="367"/>
        <v>1</v>
      </c>
      <c r="DK27" s="374">
        <f t="shared" si="368"/>
        <v>1</v>
      </c>
      <c r="DL27" s="374">
        <f t="shared" si="369"/>
        <v>1</v>
      </c>
      <c r="DM27" s="442">
        <f t="shared" si="370"/>
        <v>1</v>
      </c>
      <c r="DN27" s="371">
        <f t="shared" si="371"/>
        <v>1</v>
      </c>
      <c r="DO27" s="374">
        <f t="shared" si="372"/>
        <v>1</v>
      </c>
      <c r="DP27" s="374">
        <f t="shared" si="373"/>
        <v>1</v>
      </c>
      <c r="DQ27" s="442">
        <f t="shared" si="374"/>
        <v>1</v>
      </c>
      <c r="DR27" s="371">
        <f t="shared" si="375"/>
        <v>1</v>
      </c>
      <c r="DS27" s="374">
        <f t="shared" si="376"/>
        <v>1</v>
      </c>
      <c r="DT27" s="374">
        <f t="shared" si="377"/>
        <v>1</v>
      </c>
      <c r="DU27" s="442">
        <f t="shared" si="378"/>
        <v>1</v>
      </c>
      <c r="DV27" s="371">
        <f t="shared" si="379"/>
        <v>1</v>
      </c>
      <c r="DW27" s="374">
        <f t="shared" si="380"/>
        <v>1</v>
      </c>
      <c r="DX27" s="374">
        <f t="shared" si="381"/>
        <v>1</v>
      </c>
      <c r="DY27" s="442">
        <f t="shared" si="382"/>
        <v>1</v>
      </c>
      <c r="DZ27" s="371">
        <f t="shared" si="383"/>
        <v>1</v>
      </c>
      <c r="EA27" s="374">
        <f t="shared" si="384"/>
        <v>1</v>
      </c>
      <c r="EB27" s="374">
        <f t="shared" si="385"/>
        <v>1</v>
      </c>
      <c r="EC27" s="442">
        <f t="shared" si="386"/>
        <v>1</v>
      </c>
      <c r="ED27" s="371">
        <f t="shared" si="387"/>
        <v>1</v>
      </c>
      <c r="EE27" s="374">
        <f t="shared" si="388"/>
        <v>1</v>
      </c>
      <c r="EF27" s="374">
        <f t="shared" si="389"/>
        <v>1</v>
      </c>
      <c r="EG27" s="442">
        <f t="shared" si="390"/>
        <v>1</v>
      </c>
      <c r="EH27" s="371">
        <f t="shared" si="391"/>
        <v>1</v>
      </c>
      <c r="EI27" s="374">
        <f t="shared" si="392"/>
        <v>1</v>
      </c>
      <c r="EJ27" s="374">
        <f t="shared" si="393"/>
        <v>1</v>
      </c>
      <c r="EK27" s="442">
        <f t="shared" si="394"/>
        <v>1</v>
      </c>
      <c r="EL27" s="371">
        <f t="shared" si="395"/>
        <v>1</v>
      </c>
      <c r="EM27" s="374">
        <f t="shared" si="396"/>
        <v>1</v>
      </c>
      <c r="EN27" s="374">
        <f t="shared" si="397"/>
        <v>1</v>
      </c>
      <c r="EO27" s="442">
        <f t="shared" si="398"/>
        <v>1</v>
      </c>
      <c r="EP27" s="371">
        <f t="shared" si="399"/>
        <v>1</v>
      </c>
      <c r="EQ27" s="374">
        <f t="shared" si="400"/>
        <v>1</v>
      </c>
      <c r="ER27" s="374">
        <f t="shared" si="401"/>
        <v>1</v>
      </c>
      <c r="ES27" s="442">
        <f t="shared" si="402"/>
        <v>1</v>
      </c>
      <c r="ET27" s="42">
        <f>+schedule_ARAS!EW31</f>
        <v>30</v>
      </c>
      <c r="EU27" s="12">
        <f>+schedule_ARAS!EZ31</f>
        <v>13440</v>
      </c>
      <c r="EV27" s="42">
        <f>+schedule_ARAS!FA31</f>
        <v>7200</v>
      </c>
    </row>
    <row r="28" spans="2:152" s="30" customFormat="1" ht="29.25" customHeight="1">
      <c r="B28" s="44"/>
      <c r="C28" s="384" t="str">
        <f>+schedule_ARAS!C32</f>
        <v>Crawler Crane (x5)</v>
      </c>
      <c r="D28" s="310" t="s">
        <v>153</v>
      </c>
      <c r="E28" s="496">
        <f>+schedule_ARAS!E32</f>
        <v>5</v>
      </c>
      <c r="F28" s="371"/>
      <c r="G28" s="374"/>
      <c r="H28" s="374"/>
      <c r="I28" s="442"/>
      <c r="J28" s="371"/>
      <c r="K28" s="374"/>
      <c r="L28" s="374"/>
      <c r="M28" s="442"/>
      <c r="N28" s="371">
        <f t="shared" si="273"/>
        <v>0</v>
      </c>
      <c r="O28" s="374">
        <f t="shared" si="274"/>
        <v>0</v>
      </c>
      <c r="P28" s="374">
        <f t="shared" si="275"/>
        <v>0</v>
      </c>
      <c r="Q28" s="442">
        <f t="shared" si="276"/>
        <v>0</v>
      </c>
      <c r="R28" s="371">
        <f t="shared" ref="R28" si="403">+Q28</f>
        <v>0</v>
      </c>
      <c r="S28" s="374">
        <f t="shared" si="278"/>
        <v>0</v>
      </c>
      <c r="T28" s="374">
        <f t="shared" si="279"/>
        <v>0</v>
      </c>
      <c r="U28" s="442">
        <f t="shared" si="280"/>
        <v>0</v>
      </c>
      <c r="V28" s="371">
        <f t="shared" si="265"/>
        <v>0</v>
      </c>
      <c r="W28" s="374">
        <f t="shared" si="266"/>
        <v>0</v>
      </c>
      <c r="X28" s="374">
        <f t="shared" si="267"/>
        <v>0</v>
      </c>
      <c r="Y28" s="442">
        <f t="shared" si="268"/>
        <v>0</v>
      </c>
      <c r="Z28" s="371">
        <f t="shared" si="269"/>
        <v>0</v>
      </c>
      <c r="AA28" s="374">
        <f t="shared" si="270"/>
        <v>0</v>
      </c>
      <c r="AB28" s="374">
        <f t="shared" si="271"/>
        <v>0</v>
      </c>
      <c r="AC28" s="442">
        <f t="shared" si="272"/>
        <v>0</v>
      </c>
      <c r="AD28" s="371">
        <f t="shared" si="132"/>
        <v>5</v>
      </c>
      <c r="AE28" s="374">
        <f t="shared" si="133"/>
        <v>5</v>
      </c>
      <c r="AF28" s="374">
        <f t="shared" si="134"/>
        <v>5</v>
      </c>
      <c r="AG28" s="442">
        <f t="shared" si="135"/>
        <v>5</v>
      </c>
      <c r="AH28" s="371">
        <f t="shared" si="136"/>
        <v>5</v>
      </c>
      <c r="AI28" s="374">
        <f t="shared" si="137"/>
        <v>5</v>
      </c>
      <c r="AJ28" s="374">
        <f t="shared" si="138"/>
        <v>5</v>
      </c>
      <c r="AK28" s="442">
        <f t="shared" si="139"/>
        <v>5</v>
      </c>
      <c r="AL28" s="371">
        <f t="shared" si="140"/>
        <v>5</v>
      </c>
      <c r="AM28" s="374">
        <f t="shared" si="141"/>
        <v>5</v>
      </c>
      <c r="AN28" s="374">
        <f t="shared" si="142"/>
        <v>5</v>
      </c>
      <c r="AO28" s="442">
        <f t="shared" si="143"/>
        <v>5</v>
      </c>
      <c r="AP28" s="371">
        <f t="shared" si="144"/>
        <v>5</v>
      </c>
      <c r="AQ28" s="374">
        <f t="shared" si="145"/>
        <v>5</v>
      </c>
      <c r="AR28" s="374">
        <f t="shared" si="146"/>
        <v>5</v>
      </c>
      <c r="AS28" s="442">
        <f t="shared" si="147"/>
        <v>5</v>
      </c>
      <c r="AT28" s="371">
        <f t="shared" si="148"/>
        <v>5</v>
      </c>
      <c r="AU28" s="374">
        <f t="shared" si="149"/>
        <v>5</v>
      </c>
      <c r="AV28" s="374">
        <f t="shared" si="150"/>
        <v>5</v>
      </c>
      <c r="AW28" s="442">
        <f t="shared" si="151"/>
        <v>5</v>
      </c>
      <c r="AX28" s="371">
        <f t="shared" si="152"/>
        <v>5</v>
      </c>
      <c r="AY28" s="374">
        <f t="shared" si="153"/>
        <v>5</v>
      </c>
      <c r="AZ28" s="374">
        <f t="shared" si="154"/>
        <v>5</v>
      </c>
      <c r="BA28" s="442">
        <f t="shared" si="155"/>
        <v>5</v>
      </c>
      <c r="BB28" s="371">
        <f t="shared" si="156"/>
        <v>5</v>
      </c>
      <c r="BC28" s="374">
        <f t="shared" si="157"/>
        <v>5</v>
      </c>
      <c r="BD28" s="374">
        <f t="shared" si="158"/>
        <v>5</v>
      </c>
      <c r="BE28" s="442">
        <f t="shared" si="159"/>
        <v>5</v>
      </c>
      <c r="BF28" s="371">
        <f t="shared" si="160"/>
        <v>5</v>
      </c>
      <c r="BG28" s="374">
        <f t="shared" si="161"/>
        <v>5</v>
      </c>
      <c r="BH28" s="374">
        <f t="shared" si="162"/>
        <v>5</v>
      </c>
      <c r="BI28" s="442">
        <f t="shared" si="163"/>
        <v>5</v>
      </c>
      <c r="BJ28" s="371">
        <f t="shared" si="164"/>
        <v>5</v>
      </c>
      <c r="BK28" s="374">
        <f t="shared" si="165"/>
        <v>5</v>
      </c>
      <c r="BL28" s="374">
        <f t="shared" si="166"/>
        <v>5</v>
      </c>
      <c r="BM28" s="442">
        <f t="shared" si="167"/>
        <v>5</v>
      </c>
      <c r="BN28" s="371">
        <f t="shared" si="168"/>
        <v>5</v>
      </c>
      <c r="BO28" s="374">
        <f t="shared" si="169"/>
        <v>5</v>
      </c>
      <c r="BP28" s="374">
        <f t="shared" si="170"/>
        <v>5</v>
      </c>
      <c r="BQ28" s="442">
        <f t="shared" si="171"/>
        <v>5</v>
      </c>
      <c r="BR28" s="371">
        <f t="shared" si="172"/>
        <v>5</v>
      </c>
      <c r="BS28" s="374">
        <f t="shared" si="173"/>
        <v>5</v>
      </c>
      <c r="BT28" s="374">
        <f t="shared" si="174"/>
        <v>5</v>
      </c>
      <c r="BU28" s="442">
        <f t="shared" si="175"/>
        <v>5</v>
      </c>
      <c r="BV28" s="371">
        <f t="shared" si="176"/>
        <v>5</v>
      </c>
      <c r="BW28" s="374">
        <f t="shared" si="177"/>
        <v>5</v>
      </c>
      <c r="BX28" s="374">
        <f t="shared" si="178"/>
        <v>5</v>
      </c>
      <c r="BY28" s="442">
        <f t="shared" si="179"/>
        <v>5</v>
      </c>
      <c r="BZ28" s="371">
        <f t="shared" si="180"/>
        <v>5</v>
      </c>
      <c r="CA28" s="374">
        <f t="shared" si="181"/>
        <v>5</v>
      </c>
      <c r="CB28" s="374">
        <f t="shared" si="182"/>
        <v>5</v>
      </c>
      <c r="CC28" s="442">
        <f t="shared" si="183"/>
        <v>5</v>
      </c>
      <c r="CD28" s="371">
        <f t="shared" si="184"/>
        <v>5</v>
      </c>
      <c r="CE28" s="374">
        <f t="shared" si="185"/>
        <v>5</v>
      </c>
      <c r="CF28" s="374">
        <f t="shared" si="186"/>
        <v>5</v>
      </c>
      <c r="CG28" s="442">
        <f t="shared" si="187"/>
        <v>5</v>
      </c>
      <c r="CH28" s="371">
        <f t="shared" si="188"/>
        <v>5</v>
      </c>
      <c r="CI28" s="374">
        <f t="shared" si="189"/>
        <v>5</v>
      </c>
      <c r="CJ28" s="374">
        <f t="shared" si="190"/>
        <v>5</v>
      </c>
      <c r="CK28" s="442">
        <f t="shared" si="191"/>
        <v>5</v>
      </c>
      <c r="CL28" s="371">
        <f t="shared" si="192"/>
        <v>5</v>
      </c>
      <c r="CM28" s="374">
        <f t="shared" si="193"/>
        <v>5</v>
      </c>
      <c r="CN28" s="374">
        <f t="shared" si="194"/>
        <v>5</v>
      </c>
      <c r="CO28" s="442">
        <f t="shared" si="195"/>
        <v>5</v>
      </c>
      <c r="CP28" s="371">
        <f t="shared" si="196"/>
        <v>5</v>
      </c>
      <c r="CQ28" s="374">
        <f t="shared" si="197"/>
        <v>5</v>
      </c>
      <c r="CR28" s="374">
        <f t="shared" si="198"/>
        <v>5</v>
      </c>
      <c r="CS28" s="442">
        <f t="shared" si="199"/>
        <v>5</v>
      </c>
      <c r="CT28" s="371">
        <f t="shared" si="200"/>
        <v>5</v>
      </c>
      <c r="CU28" s="374">
        <f t="shared" si="201"/>
        <v>5</v>
      </c>
      <c r="CV28" s="374">
        <f t="shared" si="202"/>
        <v>5</v>
      </c>
      <c r="CW28" s="442">
        <f t="shared" si="203"/>
        <v>5</v>
      </c>
      <c r="CX28" s="371">
        <f t="shared" si="204"/>
        <v>5</v>
      </c>
      <c r="CY28" s="374">
        <f t="shared" si="205"/>
        <v>5</v>
      </c>
      <c r="CZ28" s="374">
        <f t="shared" si="206"/>
        <v>5</v>
      </c>
      <c r="DA28" s="442">
        <f t="shared" si="207"/>
        <v>5</v>
      </c>
      <c r="DB28" s="371">
        <f t="shared" si="208"/>
        <v>5</v>
      </c>
      <c r="DC28" s="374">
        <f t="shared" si="209"/>
        <v>5</v>
      </c>
      <c r="DD28" s="374">
        <f t="shared" si="210"/>
        <v>5</v>
      </c>
      <c r="DE28" s="442">
        <f t="shared" si="211"/>
        <v>5</v>
      </c>
      <c r="DF28" s="371">
        <f t="shared" si="212"/>
        <v>5</v>
      </c>
      <c r="DG28" s="374">
        <f t="shared" si="213"/>
        <v>5</v>
      </c>
      <c r="DH28" s="374">
        <f t="shared" si="214"/>
        <v>5</v>
      </c>
      <c r="DI28" s="442">
        <f t="shared" si="215"/>
        <v>5</v>
      </c>
      <c r="DJ28" s="371">
        <f t="shared" si="216"/>
        <v>5</v>
      </c>
      <c r="DK28" s="374">
        <f t="shared" si="217"/>
        <v>5</v>
      </c>
      <c r="DL28" s="374">
        <f t="shared" si="218"/>
        <v>5</v>
      </c>
      <c r="DM28" s="442">
        <f t="shared" si="219"/>
        <v>5</v>
      </c>
      <c r="DN28" s="371">
        <f t="shared" si="220"/>
        <v>5</v>
      </c>
      <c r="DO28" s="374">
        <f t="shared" si="221"/>
        <v>5</v>
      </c>
      <c r="DP28" s="374">
        <f t="shared" si="222"/>
        <v>5</v>
      </c>
      <c r="DQ28" s="442">
        <f t="shared" si="223"/>
        <v>5</v>
      </c>
      <c r="DR28" s="371">
        <f t="shared" si="224"/>
        <v>5</v>
      </c>
      <c r="DS28" s="374">
        <f t="shared" si="225"/>
        <v>5</v>
      </c>
      <c r="DT28" s="374">
        <f t="shared" si="226"/>
        <v>5</v>
      </c>
      <c r="DU28" s="442">
        <f t="shared" si="227"/>
        <v>5</v>
      </c>
      <c r="DV28" s="371">
        <f t="shared" si="228"/>
        <v>5</v>
      </c>
      <c r="DW28" s="374">
        <f t="shared" si="229"/>
        <v>5</v>
      </c>
      <c r="DX28" s="374">
        <f t="shared" si="230"/>
        <v>5</v>
      </c>
      <c r="DY28" s="442">
        <f t="shared" si="231"/>
        <v>5</v>
      </c>
      <c r="DZ28" s="371">
        <f t="shared" si="232"/>
        <v>5</v>
      </c>
      <c r="EA28" s="374">
        <f t="shared" si="233"/>
        <v>5</v>
      </c>
      <c r="EB28" s="374">
        <f t="shared" si="234"/>
        <v>5</v>
      </c>
      <c r="EC28" s="442">
        <f t="shared" si="235"/>
        <v>5</v>
      </c>
      <c r="ED28" s="371">
        <f t="shared" si="236"/>
        <v>5</v>
      </c>
      <c r="EE28" s="374">
        <f t="shared" si="237"/>
        <v>5</v>
      </c>
      <c r="EF28" s="374">
        <f t="shared" si="238"/>
        <v>5</v>
      </c>
      <c r="EG28" s="442">
        <f t="shared" si="239"/>
        <v>5</v>
      </c>
      <c r="EH28" s="371">
        <f t="shared" si="240"/>
        <v>5</v>
      </c>
      <c r="EI28" s="374">
        <f t="shared" si="241"/>
        <v>5</v>
      </c>
      <c r="EJ28" s="374">
        <f t="shared" si="242"/>
        <v>5</v>
      </c>
      <c r="EK28" s="442">
        <f t="shared" si="243"/>
        <v>5</v>
      </c>
      <c r="EL28" s="371">
        <f t="shared" si="244"/>
        <v>5</v>
      </c>
      <c r="EM28" s="374">
        <f t="shared" si="245"/>
        <v>5</v>
      </c>
      <c r="EN28" s="374">
        <f t="shared" si="246"/>
        <v>5</v>
      </c>
      <c r="EO28" s="442">
        <f t="shared" si="247"/>
        <v>5</v>
      </c>
      <c r="EP28" s="371">
        <f t="shared" si="248"/>
        <v>5</v>
      </c>
      <c r="EQ28" s="374">
        <f t="shared" si="249"/>
        <v>5</v>
      </c>
      <c r="ER28" s="374">
        <f t="shared" si="250"/>
        <v>5</v>
      </c>
      <c r="ES28" s="442">
        <f t="shared" si="251"/>
        <v>5</v>
      </c>
      <c r="ET28" s="42">
        <f>+schedule_ARAS!EW32</f>
        <v>150</v>
      </c>
      <c r="EU28" s="12">
        <f>+schedule_ARAS!EZ32</f>
        <v>67200</v>
      </c>
      <c r="EV28" s="42">
        <f>+schedule_ARAS!FA32</f>
        <v>36000</v>
      </c>
    </row>
    <row r="29" spans="2:152" s="30" customFormat="1" ht="29.25" customHeight="1">
      <c r="B29" s="44"/>
      <c r="C29" s="384" t="str">
        <f>+schedule_ARAS!C33</f>
        <v>Excavator (x5)</v>
      </c>
      <c r="D29" s="310" t="s">
        <v>153</v>
      </c>
      <c r="E29" s="496">
        <f>+schedule_ARAS!E33</f>
        <v>5</v>
      </c>
      <c r="F29" s="371"/>
      <c r="G29" s="374"/>
      <c r="H29" s="374"/>
      <c r="I29" s="442"/>
      <c r="J29" s="371"/>
      <c r="K29" s="374"/>
      <c r="L29" s="374"/>
      <c r="M29" s="442"/>
      <c r="N29" s="371">
        <f t="shared" si="273"/>
        <v>0</v>
      </c>
      <c r="O29" s="374">
        <f t="shared" si="274"/>
        <v>0</v>
      </c>
      <c r="P29" s="374">
        <f t="shared" si="275"/>
        <v>0</v>
      </c>
      <c r="Q29" s="442">
        <f t="shared" si="276"/>
        <v>0</v>
      </c>
      <c r="R29" s="371">
        <f t="shared" ref="R29" si="404">+Q29</f>
        <v>0</v>
      </c>
      <c r="S29" s="374">
        <f t="shared" si="278"/>
        <v>0</v>
      </c>
      <c r="T29" s="374">
        <f t="shared" si="279"/>
        <v>0</v>
      </c>
      <c r="U29" s="442">
        <f t="shared" si="280"/>
        <v>0</v>
      </c>
      <c r="V29" s="371">
        <f t="shared" si="265"/>
        <v>0</v>
      </c>
      <c r="W29" s="374">
        <f t="shared" si="266"/>
        <v>0</v>
      </c>
      <c r="X29" s="374">
        <f t="shared" si="267"/>
        <v>0</v>
      </c>
      <c r="Y29" s="442">
        <f t="shared" si="268"/>
        <v>0</v>
      </c>
      <c r="Z29" s="371">
        <f t="shared" si="269"/>
        <v>0</v>
      </c>
      <c r="AA29" s="374">
        <f t="shared" si="270"/>
        <v>0</v>
      </c>
      <c r="AB29" s="374">
        <f t="shared" si="271"/>
        <v>0</v>
      </c>
      <c r="AC29" s="442">
        <f t="shared" si="272"/>
        <v>0</v>
      </c>
      <c r="AD29" s="371">
        <f t="shared" si="132"/>
        <v>5</v>
      </c>
      <c r="AE29" s="374">
        <f t="shared" si="133"/>
        <v>5</v>
      </c>
      <c r="AF29" s="374">
        <f t="shared" si="134"/>
        <v>5</v>
      </c>
      <c r="AG29" s="442">
        <f t="shared" si="135"/>
        <v>5</v>
      </c>
      <c r="AH29" s="371">
        <f t="shared" si="136"/>
        <v>5</v>
      </c>
      <c r="AI29" s="374">
        <f t="shared" si="137"/>
        <v>5</v>
      </c>
      <c r="AJ29" s="374">
        <f t="shared" si="138"/>
        <v>5</v>
      </c>
      <c r="AK29" s="442">
        <f t="shared" si="139"/>
        <v>5</v>
      </c>
      <c r="AL29" s="371">
        <f t="shared" si="140"/>
        <v>5</v>
      </c>
      <c r="AM29" s="374">
        <f t="shared" si="141"/>
        <v>5</v>
      </c>
      <c r="AN29" s="374">
        <f t="shared" si="142"/>
        <v>5</v>
      </c>
      <c r="AO29" s="442">
        <f t="shared" si="143"/>
        <v>5</v>
      </c>
      <c r="AP29" s="371">
        <f t="shared" si="144"/>
        <v>5</v>
      </c>
      <c r="AQ29" s="374">
        <f t="shared" si="145"/>
        <v>5</v>
      </c>
      <c r="AR29" s="374">
        <f t="shared" si="146"/>
        <v>5</v>
      </c>
      <c r="AS29" s="442">
        <f t="shared" si="147"/>
        <v>5</v>
      </c>
      <c r="AT29" s="371">
        <f t="shared" si="148"/>
        <v>5</v>
      </c>
      <c r="AU29" s="374">
        <f t="shared" si="149"/>
        <v>5</v>
      </c>
      <c r="AV29" s="374">
        <f t="shared" si="150"/>
        <v>5</v>
      </c>
      <c r="AW29" s="442">
        <f t="shared" si="151"/>
        <v>5</v>
      </c>
      <c r="AX29" s="371">
        <f t="shared" si="152"/>
        <v>5</v>
      </c>
      <c r="AY29" s="374">
        <f t="shared" si="153"/>
        <v>5</v>
      </c>
      <c r="AZ29" s="374">
        <f t="shared" si="154"/>
        <v>5</v>
      </c>
      <c r="BA29" s="442">
        <f t="shared" si="155"/>
        <v>5</v>
      </c>
      <c r="BB29" s="371">
        <f t="shared" si="156"/>
        <v>5</v>
      </c>
      <c r="BC29" s="374">
        <f t="shared" si="157"/>
        <v>5</v>
      </c>
      <c r="BD29" s="374">
        <f t="shared" si="158"/>
        <v>5</v>
      </c>
      <c r="BE29" s="442">
        <f t="shared" si="159"/>
        <v>5</v>
      </c>
      <c r="BF29" s="371">
        <f t="shared" si="160"/>
        <v>5</v>
      </c>
      <c r="BG29" s="374">
        <f t="shared" si="161"/>
        <v>5</v>
      </c>
      <c r="BH29" s="374">
        <f t="shared" si="162"/>
        <v>5</v>
      </c>
      <c r="BI29" s="442">
        <f t="shared" si="163"/>
        <v>5</v>
      </c>
      <c r="BJ29" s="371">
        <f t="shared" si="164"/>
        <v>5</v>
      </c>
      <c r="BK29" s="374">
        <f t="shared" si="165"/>
        <v>5</v>
      </c>
      <c r="BL29" s="374">
        <f t="shared" si="166"/>
        <v>5</v>
      </c>
      <c r="BM29" s="442">
        <f t="shared" si="167"/>
        <v>5</v>
      </c>
      <c r="BN29" s="371">
        <f t="shared" si="168"/>
        <v>5</v>
      </c>
      <c r="BO29" s="374">
        <f t="shared" si="169"/>
        <v>5</v>
      </c>
      <c r="BP29" s="374">
        <f t="shared" si="170"/>
        <v>5</v>
      </c>
      <c r="BQ29" s="442">
        <f t="shared" si="171"/>
        <v>5</v>
      </c>
      <c r="BR29" s="371">
        <f t="shared" si="172"/>
        <v>5</v>
      </c>
      <c r="BS29" s="374">
        <f t="shared" si="173"/>
        <v>5</v>
      </c>
      <c r="BT29" s="374">
        <f t="shared" si="174"/>
        <v>5</v>
      </c>
      <c r="BU29" s="442">
        <f t="shared" si="175"/>
        <v>5</v>
      </c>
      <c r="BV29" s="371">
        <f t="shared" si="176"/>
        <v>5</v>
      </c>
      <c r="BW29" s="374">
        <f t="shared" si="177"/>
        <v>5</v>
      </c>
      <c r="BX29" s="374">
        <f t="shared" si="178"/>
        <v>5</v>
      </c>
      <c r="BY29" s="442">
        <f t="shared" si="179"/>
        <v>5</v>
      </c>
      <c r="BZ29" s="371">
        <f t="shared" si="180"/>
        <v>5</v>
      </c>
      <c r="CA29" s="374">
        <f t="shared" si="181"/>
        <v>5</v>
      </c>
      <c r="CB29" s="374">
        <f t="shared" si="182"/>
        <v>5</v>
      </c>
      <c r="CC29" s="442">
        <f t="shared" si="183"/>
        <v>5</v>
      </c>
      <c r="CD29" s="371">
        <f t="shared" si="184"/>
        <v>5</v>
      </c>
      <c r="CE29" s="374">
        <f t="shared" si="185"/>
        <v>5</v>
      </c>
      <c r="CF29" s="374">
        <f t="shared" si="186"/>
        <v>5</v>
      </c>
      <c r="CG29" s="442">
        <f t="shared" si="187"/>
        <v>5</v>
      </c>
      <c r="CH29" s="371">
        <f t="shared" si="188"/>
        <v>5</v>
      </c>
      <c r="CI29" s="374">
        <f t="shared" si="189"/>
        <v>5</v>
      </c>
      <c r="CJ29" s="374">
        <f t="shared" si="190"/>
        <v>5</v>
      </c>
      <c r="CK29" s="442">
        <f t="shared" si="191"/>
        <v>5</v>
      </c>
      <c r="CL29" s="371">
        <f t="shared" si="192"/>
        <v>5</v>
      </c>
      <c r="CM29" s="374">
        <f t="shared" si="193"/>
        <v>5</v>
      </c>
      <c r="CN29" s="374">
        <f t="shared" si="194"/>
        <v>5</v>
      </c>
      <c r="CO29" s="442">
        <f t="shared" si="195"/>
        <v>5</v>
      </c>
      <c r="CP29" s="371">
        <f t="shared" si="196"/>
        <v>5</v>
      </c>
      <c r="CQ29" s="374">
        <f t="shared" si="197"/>
        <v>5</v>
      </c>
      <c r="CR29" s="374">
        <f t="shared" si="198"/>
        <v>5</v>
      </c>
      <c r="CS29" s="442">
        <f t="shared" si="199"/>
        <v>5</v>
      </c>
      <c r="CT29" s="371">
        <f t="shared" si="200"/>
        <v>5</v>
      </c>
      <c r="CU29" s="374">
        <f t="shared" si="201"/>
        <v>5</v>
      </c>
      <c r="CV29" s="374">
        <f t="shared" si="202"/>
        <v>5</v>
      </c>
      <c r="CW29" s="442">
        <f t="shared" si="203"/>
        <v>5</v>
      </c>
      <c r="CX29" s="371">
        <f t="shared" si="204"/>
        <v>5</v>
      </c>
      <c r="CY29" s="374">
        <f t="shared" si="205"/>
        <v>5</v>
      </c>
      <c r="CZ29" s="374">
        <f t="shared" si="206"/>
        <v>5</v>
      </c>
      <c r="DA29" s="442">
        <f t="shared" si="207"/>
        <v>5</v>
      </c>
      <c r="DB29" s="371">
        <f t="shared" si="208"/>
        <v>5</v>
      </c>
      <c r="DC29" s="374">
        <f t="shared" si="209"/>
        <v>5</v>
      </c>
      <c r="DD29" s="374">
        <f t="shared" si="210"/>
        <v>5</v>
      </c>
      <c r="DE29" s="442">
        <f t="shared" si="211"/>
        <v>5</v>
      </c>
      <c r="DF29" s="371">
        <f t="shared" si="212"/>
        <v>5</v>
      </c>
      <c r="DG29" s="374">
        <f t="shared" si="213"/>
        <v>5</v>
      </c>
      <c r="DH29" s="374">
        <f t="shared" si="214"/>
        <v>5</v>
      </c>
      <c r="DI29" s="442">
        <f t="shared" si="215"/>
        <v>5</v>
      </c>
      <c r="DJ29" s="371">
        <f t="shared" si="216"/>
        <v>5</v>
      </c>
      <c r="DK29" s="374">
        <f t="shared" si="217"/>
        <v>5</v>
      </c>
      <c r="DL29" s="374">
        <f t="shared" si="218"/>
        <v>5</v>
      </c>
      <c r="DM29" s="442">
        <f t="shared" si="219"/>
        <v>5</v>
      </c>
      <c r="DN29" s="371">
        <f t="shared" si="220"/>
        <v>5</v>
      </c>
      <c r="DO29" s="374">
        <f t="shared" si="221"/>
        <v>5</v>
      </c>
      <c r="DP29" s="374">
        <f t="shared" si="222"/>
        <v>5</v>
      </c>
      <c r="DQ29" s="442">
        <f t="shared" si="223"/>
        <v>5</v>
      </c>
      <c r="DR29" s="371">
        <f t="shared" si="224"/>
        <v>5</v>
      </c>
      <c r="DS29" s="374">
        <f t="shared" si="225"/>
        <v>5</v>
      </c>
      <c r="DT29" s="374">
        <f t="shared" si="226"/>
        <v>5</v>
      </c>
      <c r="DU29" s="442">
        <f t="shared" si="227"/>
        <v>5</v>
      </c>
      <c r="DV29" s="371">
        <f t="shared" si="228"/>
        <v>5</v>
      </c>
      <c r="DW29" s="374">
        <f t="shared" si="229"/>
        <v>5</v>
      </c>
      <c r="DX29" s="374">
        <f t="shared" si="230"/>
        <v>5</v>
      </c>
      <c r="DY29" s="442">
        <f t="shared" si="231"/>
        <v>5</v>
      </c>
      <c r="DZ29" s="371">
        <f t="shared" si="232"/>
        <v>5</v>
      </c>
      <c r="EA29" s="374">
        <f t="shared" si="233"/>
        <v>5</v>
      </c>
      <c r="EB29" s="374">
        <f t="shared" si="234"/>
        <v>5</v>
      </c>
      <c r="EC29" s="442">
        <f t="shared" si="235"/>
        <v>5</v>
      </c>
      <c r="ED29" s="371">
        <f t="shared" si="236"/>
        <v>5</v>
      </c>
      <c r="EE29" s="374">
        <f t="shared" si="237"/>
        <v>5</v>
      </c>
      <c r="EF29" s="374">
        <f t="shared" si="238"/>
        <v>5</v>
      </c>
      <c r="EG29" s="442">
        <f t="shared" si="239"/>
        <v>5</v>
      </c>
      <c r="EH29" s="371">
        <f t="shared" si="240"/>
        <v>5</v>
      </c>
      <c r="EI29" s="374">
        <f t="shared" si="241"/>
        <v>5</v>
      </c>
      <c r="EJ29" s="374">
        <f t="shared" si="242"/>
        <v>5</v>
      </c>
      <c r="EK29" s="442">
        <f t="shared" si="243"/>
        <v>5</v>
      </c>
      <c r="EL29" s="371">
        <f t="shared" si="244"/>
        <v>5</v>
      </c>
      <c r="EM29" s="374">
        <f t="shared" si="245"/>
        <v>5</v>
      </c>
      <c r="EN29" s="374">
        <f t="shared" si="246"/>
        <v>5</v>
      </c>
      <c r="EO29" s="442">
        <f t="shared" si="247"/>
        <v>5</v>
      </c>
      <c r="EP29" s="371">
        <f t="shared" si="248"/>
        <v>5</v>
      </c>
      <c r="EQ29" s="374">
        <f t="shared" si="249"/>
        <v>5</v>
      </c>
      <c r="ER29" s="374">
        <f t="shared" si="250"/>
        <v>5</v>
      </c>
      <c r="ES29" s="442">
        <f t="shared" si="251"/>
        <v>5</v>
      </c>
      <c r="ET29" s="42">
        <f>+schedule_ARAS!EW33</f>
        <v>150</v>
      </c>
      <c r="EU29" s="12">
        <f>+schedule_ARAS!EZ33</f>
        <v>67200</v>
      </c>
      <c r="EV29" s="42">
        <f>+schedule_ARAS!FA33</f>
        <v>36000</v>
      </c>
    </row>
    <row r="30" spans="2:152" s="30" customFormat="1" ht="29.25" customHeight="1">
      <c r="B30" s="44"/>
      <c r="C30" s="384" t="str">
        <f>+schedule_ARAS!C34</f>
        <v>Loader (x3)</v>
      </c>
      <c r="D30" s="310" t="s">
        <v>153</v>
      </c>
      <c r="E30" s="496">
        <f>+schedule_ARAS!E34</f>
        <v>3</v>
      </c>
      <c r="F30" s="371"/>
      <c r="G30" s="374"/>
      <c r="H30" s="374"/>
      <c r="I30" s="442"/>
      <c r="J30" s="371"/>
      <c r="K30" s="374"/>
      <c r="L30" s="374"/>
      <c r="M30" s="442"/>
      <c r="N30" s="371">
        <f t="shared" si="273"/>
        <v>0</v>
      </c>
      <c r="O30" s="374">
        <f t="shared" si="274"/>
        <v>0</v>
      </c>
      <c r="P30" s="374">
        <f t="shared" si="275"/>
        <v>0</v>
      </c>
      <c r="Q30" s="442">
        <f t="shared" si="276"/>
        <v>0</v>
      </c>
      <c r="R30" s="371">
        <f t="shared" ref="R30" si="405">+Q30</f>
        <v>0</v>
      </c>
      <c r="S30" s="374">
        <f t="shared" si="278"/>
        <v>0</v>
      </c>
      <c r="T30" s="374">
        <f t="shared" si="279"/>
        <v>0</v>
      </c>
      <c r="U30" s="442">
        <f t="shared" si="280"/>
        <v>0</v>
      </c>
      <c r="V30" s="371">
        <f t="shared" si="265"/>
        <v>0</v>
      </c>
      <c r="W30" s="374">
        <f t="shared" si="266"/>
        <v>0</v>
      </c>
      <c r="X30" s="374">
        <f t="shared" si="267"/>
        <v>0</v>
      </c>
      <c r="Y30" s="442">
        <f t="shared" si="268"/>
        <v>0</v>
      </c>
      <c r="Z30" s="371">
        <f t="shared" si="269"/>
        <v>0</v>
      </c>
      <c r="AA30" s="374">
        <f t="shared" si="270"/>
        <v>0</v>
      </c>
      <c r="AB30" s="374">
        <f t="shared" si="271"/>
        <v>0</v>
      </c>
      <c r="AC30" s="442">
        <f t="shared" si="272"/>
        <v>0</v>
      </c>
      <c r="AD30" s="371">
        <f t="shared" si="132"/>
        <v>3</v>
      </c>
      <c r="AE30" s="374">
        <f t="shared" si="133"/>
        <v>3</v>
      </c>
      <c r="AF30" s="374">
        <f t="shared" si="134"/>
        <v>3</v>
      </c>
      <c r="AG30" s="442">
        <f t="shared" si="135"/>
        <v>3</v>
      </c>
      <c r="AH30" s="371">
        <f t="shared" si="136"/>
        <v>3</v>
      </c>
      <c r="AI30" s="374">
        <f t="shared" si="137"/>
        <v>3</v>
      </c>
      <c r="AJ30" s="374">
        <f t="shared" si="138"/>
        <v>3</v>
      </c>
      <c r="AK30" s="442">
        <f t="shared" si="139"/>
        <v>3</v>
      </c>
      <c r="AL30" s="371">
        <f t="shared" si="140"/>
        <v>3</v>
      </c>
      <c r="AM30" s="374">
        <f t="shared" si="141"/>
        <v>3</v>
      </c>
      <c r="AN30" s="374">
        <f t="shared" si="142"/>
        <v>3</v>
      </c>
      <c r="AO30" s="442">
        <f t="shared" si="143"/>
        <v>3</v>
      </c>
      <c r="AP30" s="371">
        <f t="shared" si="144"/>
        <v>3</v>
      </c>
      <c r="AQ30" s="374">
        <f t="shared" si="145"/>
        <v>3</v>
      </c>
      <c r="AR30" s="374">
        <f t="shared" si="146"/>
        <v>3</v>
      </c>
      <c r="AS30" s="442">
        <f t="shared" si="147"/>
        <v>3</v>
      </c>
      <c r="AT30" s="371">
        <f t="shared" si="148"/>
        <v>3</v>
      </c>
      <c r="AU30" s="374">
        <f t="shared" si="149"/>
        <v>3</v>
      </c>
      <c r="AV30" s="374">
        <f t="shared" si="150"/>
        <v>3</v>
      </c>
      <c r="AW30" s="442">
        <f t="shared" si="151"/>
        <v>3</v>
      </c>
      <c r="AX30" s="371">
        <f t="shared" si="152"/>
        <v>3</v>
      </c>
      <c r="AY30" s="374">
        <f t="shared" si="153"/>
        <v>3</v>
      </c>
      <c r="AZ30" s="374">
        <f t="shared" si="154"/>
        <v>3</v>
      </c>
      <c r="BA30" s="442">
        <f t="shared" si="155"/>
        <v>3</v>
      </c>
      <c r="BB30" s="371">
        <f t="shared" si="156"/>
        <v>3</v>
      </c>
      <c r="BC30" s="374">
        <f t="shared" si="157"/>
        <v>3</v>
      </c>
      <c r="BD30" s="374">
        <f t="shared" si="158"/>
        <v>3</v>
      </c>
      <c r="BE30" s="442">
        <f t="shared" si="159"/>
        <v>3</v>
      </c>
      <c r="BF30" s="371">
        <f t="shared" si="160"/>
        <v>3</v>
      </c>
      <c r="BG30" s="374">
        <f t="shared" si="161"/>
        <v>3</v>
      </c>
      <c r="BH30" s="374">
        <f t="shared" si="162"/>
        <v>3</v>
      </c>
      <c r="BI30" s="442">
        <f t="shared" si="163"/>
        <v>3</v>
      </c>
      <c r="BJ30" s="371">
        <f t="shared" si="164"/>
        <v>3</v>
      </c>
      <c r="BK30" s="374">
        <f t="shared" si="165"/>
        <v>3</v>
      </c>
      <c r="BL30" s="374">
        <f t="shared" si="166"/>
        <v>3</v>
      </c>
      <c r="BM30" s="442">
        <f t="shared" si="167"/>
        <v>3</v>
      </c>
      <c r="BN30" s="371">
        <f t="shared" si="168"/>
        <v>3</v>
      </c>
      <c r="BO30" s="374">
        <f t="shared" si="169"/>
        <v>3</v>
      </c>
      <c r="BP30" s="374">
        <f t="shared" si="170"/>
        <v>3</v>
      </c>
      <c r="BQ30" s="442">
        <f t="shared" si="171"/>
        <v>3</v>
      </c>
      <c r="BR30" s="371">
        <f t="shared" si="172"/>
        <v>3</v>
      </c>
      <c r="BS30" s="374">
        <f t="shared" si="173"/>
        <v>3</v>
      </c>
      <c r="BT30" s="374">
        <f t="shared" si="174"/>
        <v>3</v>
      </c>
      <c r="BU30" s="442">
        <f t="shared" si="175"/>
        <v>3</v>
      </c>
      <c r="BV30" s="371">
        <f t="shared" si="176"/>
        <v>3</v>
      </c>
      <c r="BW30" s="374">
        <f t="shared" si="177"/>
        <v>3</v>
      </c>
      <c r="BX30" s="374">
        <f t="shared" si="178"/>
        <v>3</v>
      </c>
      <c r="BY30" s="442">
        <f t="shared" si="179"/>
        <v>3</v>
      </c>
      <c r="BZ30" s="371">
        <f t="shared" si="180"/>
        <v>3</v>
      </c>
      <c r="CA30" s="374">
        <f t="shared" si="181"/>
        <v>3</v>
      </c>
      <c r="CB30" s="374">
        <f t="shared" si="182"/>
        <v>3</v>
      </c>
      <c r="CC30" s="442">
        <f t="shared" si="183"/>
        <v>3</v>
      </c>
      <c r="CD30" s="371">
        <f t="shared" si="184"/>
        <v>3</v>
      </c>
      <c r="CE30" s="374">
        <f t="shared" si="185"/>
        <v>3</v>
      </c>
      <c r="CF30" s="374">
        <f t="shared" si="186"/>
        <v>3</v>
      </c>
      <c r="CG30" s="442">
        <f t="shared" si="187"/>
        <v>3</v>
      </c>
      <c r="CH30" s="371">
        <f t="shared" si="188"/>
        <v>3</v>
      </c>
      <c r="CI30" s="374">
        <f t="shared" si="189"/>
        <v>3</v>
      </c>
      <c r="CJ30" s="374">
        <f t="shared" si="190"/>
        <v>3</v>
      </c>
      <c r="CK30" s="442">
        <f t="shared" si="191"/>
        <v>3</v>
      </c>
      <c r="CL30" s="371">
        <f t="shared" si="192"/>
        <v>3</v>
      </c>
      <c r="CM30" s="374">
        <f t="shared" si="193"/>
        <v>3</v>
      </c>
      <c r="CN30" s="374">
        <f t="shared" si="194"/>
        <v>3</v>
      </c>
      <c r="CO30" s="442">
        <f t="shared" si="195"/>
        <v>3</v>
      </c>
      <c r="CP30" s="371">
        <f t="shared" si="196"/>
        <v>3</v>
      </c>
      <c r="CQ30" s="374">
        <f t="shared" si="197"/>
        <v>3</v>
      </c>
      <c r="CR30" s="374">
        <f t="shared" si="198"/>
        <v>3</v>
      </c>
      <c r="CS30" s="442">
        <f t="shared" si="199"/>
        <v>3</v>
      </c>
      <c r="CT30" s="371">
        <f t="shared" si="200"/>
        <v>3</v>
      </c>
      <c r="CU30" s="374">
        <f t="shared" si="201"/>
        <v>3</v>
      </c>
      <c r="CV30" s="374">
        <f t="shared" si="202"/>
        <v>3</v>
      </c>
      <c r="CW30" s="442">
        <f t="shared" si="203"/>
        <v>3</v>
      </c>
      <c r="CX30" s="371">
        <f t="shared" si="204"/>
        <v>3</v>
      </c>
      <c r="CY30" s="374">
        <f t="shared" si="205"/>
        <v>3</v>
      </c>
      <c r="CZ30" s="374">
        <f t="shared" si="206"/>
        <v>3</v>
      </c>
      <c r="DA30" s="442">
        <f t="shared" si="207"/>
        <v>3</v>
      </c>
      <c r="DB30" s="371">
        <f t="shared" si="208"/>
        <v>3</v>
      </c>
      <c r="DC30" s="374">
        <f t="shared" si="209"/>
        <v>3</v>
      </c>
      <c r="DD30" s="374">
        <f t="shared" si="210"/>
        <v>3</v>
      </c>
      <c r="DE30" s="442">
        <f t="shared" si="211"/>
        <v>3</v>
      </c>
      <c r="DF30" s="371">
        <f t="shared" si="212"/>
        <v>3</v>
      </c>
      <c r="DG30" s="374">
        <f t="shared" si="213"/>
        <v>3</v>
      </c>
      <c r="DH30" s="374">
        <f t="shared" si="214"/>
        <v>3</v>
      </c>
      <c r="DI30" s="442">
        <f t="shared" si="215"/>
        <v>3</v>
      </c>
      <c r="DJ30" s="371">
        <f t="shared" si="216"/>
        <v>3</v>
      </c>
      <c r="DK30" s="374">
        <f t="shared" si="217"/>
        <v>3</v>
      </c>
      <c r="DL30" s="374">
        <f t="shared" si="218"/>
        <v>3</v>
      </c>
      <c r="DM30" s="442">
        <f t="shared" si="219"/>
        <v>3</v>
      </c>
      <c r="DN30" s="371">
        <f t="shared" si="220"/>
        <v>3</v>
      </c>
      <c r="DO30" s="374">
        <f t="shared" si="221"/>
        <v>3</v>
      </c>
      <c r="DP30" s="374">
        <f t="shared" si="222"/>
        <v>3</v>
      </c>
      <c r="DQ30" s="442">
        <f t="shared" si="223"/>
        <v>3</v>
      </c>
      <c r="DR30" s="371">
        <f t="shared" si="224"/>
        <v>3</v>
      </c>
      <c r="DS30" s="374">
        <f t="shared" si="225"/>
        <v>3</v>
      </c>
      <c r="DT30" s="374">
        <f t="shared" si="226"/>
        <v>3</v>
      </c>
      <c r="DU30" s="442">
        <f t="shared" si="227"/>
        <v>3</v>
      </c>
      <c r="DV30" s="371">
        <f t="shared" si="228"/>
        <v>3</v>
      </c>
      <c r="DW30" s="374">
        <f t="shared" si="229"/>
        <v>3</v>
      </c>
      <c r="DX30" s="374">
        <f t="shared" si="230"/>
        <v>3</v>
      </c>
      <c r="DY30" s="442">
        <f t="shared" si="231"/>
        <v>3</v>
      </c>
      <c r="DZ30" s="371">
        <f t="shared" si="232"/>
        <v>3</v>
      </c>
      <c r="EA30" s="374">
        <f t="shared" si="233"/>
        <v>3</v>
      </c>
      <c r="EB30" s="374">
        <f t="shared" si="234"/>
        <v>3</v>
      </c>
      <c r="EC30" s="442">
        <f t="shared" si="235"/>
        <v>3</v>
      </c>
      <c r="ED30" s="371">
        <f t="shared" si="236"/>
        <v>3</v>
      </c>
      <c r="EE30" s="374">
        <f t="shared" si="237"/>
        <v>3</v>
      </c>
      <c r="EF30" s="374">
        <f t="shared" si="238"/>
        <v>3</v>
      </c>
      <c r="EG30" s="442">
        <f t="shared" si="239"/>
        <v>3</v>
      </c>
      <c r="EH30" s="371">
        <f t="shared" si="240"/>
        <v>3</v>
      </c>
      <c r="EI30" s="374">
        <f t="shared" si="241"/>
        <v>3</v>
      </c>
      <c r="EJ30" s="374">
        <f t="shared" si="242"/>
        <v>3</v>
      </c>
      <c r="EK30" s="442">
        <f t="shared" si="243"/>
        <v>3</v>
      </c>
      <c r="EL30" s="371">
        <f t="shared" si="244"/>
        <v>3</v>
      </c>
      <c r="EM30" s="374">
        <f t="shared" si="245"/>
        <v>3</v>
      </c>
      <c r="EN30" s="374">
        <f t="shared" si="246"/>
        <v>3</v>
      </c>
      <c r="EO30" s="442">
        <f t="shared" si="247"/>
        <v>3</v>
      </c>
      <c r="EP30" s="371">
        <f t="shared" si="248"/>
        <v>3</v>
      </c>
      <c r="EQ30" s="374">
        <f t="shared" si="249"/>
        <v>3</v>
      </c>
      <c r="ER30" s="374">
        <f t="shared" si="250"/>
        <v>3</v>
      </c>
      <c r="ES30" s="442">
        <f t="shared" si="251"/>
        <v>3</v>
      </c>
      <c r="ET30" s="42">
        <f>+schedule_ARAS!EW34</f>
        <v>90</v>
      </c>
      <c r="EU30" s="12">
        <f>+schedule_ARAS!EZ34</f>
        <v>40320</v>
      </c>
      <c r="EV30" s="42">
        <f>+schedule_ARAS!FA34</f>
        <v>21600</v>
      </c>
    </row>
    <row r="31" spans="2:152" s="30" customFormat="1" ht="29.25" customHeight="1">
      <c r="B31" s="44"/>
      <c r="C31" s="384" t="str">
        <f>+schedule_ARAS!C35</f>
        <v>Cylinder (x2)</v>
      </c>
      <c r="D31" s="310" t="s">
        <v>153</v>
      </c>
      <c r="E31" s="496">
        <f>+schedule_ARAS!E35</f>
        <v>2</v>
      </c>
      <c r="F31" s="371"/>
      <c r="G31" s="374"/>
      <c r="H31" s="374"/>
      <c r="I31" s="442"/>
      <c r="J31" s="371"/>
      <c r="K31" s="374"/>
      <c r="L31" s="374"/>
      <c r="M31" s="442"/>
      <c r="N31" s="371">
        <f t="shared" si="273"/>
        <v>0</v>
      </c>
      <c r="O31" s="374">
        <f t="shared" si="274"/>
        <v>0</v>
      </c>
      <c r="P31" s="374">
        <f t="shared" si="275"/>
        <v>0</v>
      </c>
      <c r="Q31" s="442">
        <f t="shared" si="276"/>
        <v>0</v>
      </c>
      <c r="R31" s="371">
        <f t="shared" ref="R31" si="406">+Q31</f>
        <v>0</v>
      </c>
      <c r="S31" s="374">
        <f t="shared" si="278"/>
        <v>0</v>
      </c>
      <c r="T31" s="374">
        <f t="shared" si="279"/>
        <v>0</v>
      </c>
      <c r="U31" s="442">
        <f t="shared" si="280"/>
        <v>0</v>
      </c>
      <c r="V31" s="371">
        <f t="shared" si="265"/>
        <v>0</v>
      </c>
      <c r="W31" s="374">
        <f t="shared" si="266"/>
        <v>0</v>
      </c>
      <c r="X31" s="374">
        <f t="shared" si="267"/>
        <v>0</v>
      </c>
      <c r="Y31" s="442">
        <f t="shared" si="268"/>
        <v>0</v>
      </c>
      <c r="Z31" s="371">
        <f t="shared" si="269"/>
        <v>0</v>
      </c>
      <c r="AA31" s="374">
        <f t="shared" si="270"/>
        <v>0</v>
      </c>
      <c r="AB31" s="374">
        <f t="shared" si="271"/>
        <v>0</v>
      </c>
      <c r="AC31" s="442">
        <f t="shared" si="272"/>
        <v>0</v>
      </c>
      <c r="AD31" s="371">
        <f t="shared" si="132"/>
        <v>2</v>
      </c>
      <c r="AE31" s="374">
        <f t="shared" si="133"/>
        <v>2</v>
      </c>
      <c r="AF31" s="374">
        <f t="shared" si="134"/>
        <v>2</v>
      </c>
      <c r="AG31" s="442">
        <f t="shared" si="135"/>
        <v>2</v>
      </c>
      <c r="AH31" s="371">
        <f t="shared" si="136"/>
        <v>2</v>
      </c>
      <c r="AI31" s="374">
        <f t="shared" si="137"/>
        <v>2</v>
      </c>
      <c r="AJ31" s="374">
        <f t="shared" si="138"/>
        <v>2</v>
      </c>
      <c r="AK31" s="442">
        <f t="shared" si="139"/>
        <v>2</v>
      </c>
      <c r="AL31" s="371">
        <f t="shared" si="140"/>
        <v>2</v>
      </c>
      <c r="AM31" s="374">
        <f t="shared" si="141"/>
        <v>2</v>
      </c>
      <c r="AN31" s="374">
        <f t="shared" si="142"/>
        <v>2</v>
      </c>
      <c r="AO31" s="442">
        <f t="shared" si="143"/>
        <v>2</v>
      </c>
      <c r="AP31" s="371">
        <f t="shared" si="144"/>
        <v>2</v>
      </c>
      <c r="AQ31" s="374">
        <f t="shared" si="145"/>
        <v>2</v>
      </c>
      <c r="AR31" s="374">
        <f t="shared" si="146"/>
        <v>2</v>
      </c>
      <c r="AS31" s="442">
        <f t="shared" si="147"/>
        <v>2</v>
      </c>
      <c r="AT31" s="371">
        <f t="shared" si="148"/>
        <v>2</v>
      </c>
      <c r="AU31" s="374">
        <f t="shared" si="149"/>
        <v>2</v>
      </c>
      <c r="AV31" s="374">
        <f t="shared" si="150"/>
        <v>2</v>
      </c>
      <c r="AW31" s="442">
        <f t="shared" si="151"/>
        <v>2</v>
      </c>
      <c r="AX31" s="371">
        <f t="shared" si="152"/>
        <v>2</v>
      </c>
      <c r="AY31" s="374">
        <f t="shared" si="153"/>
        <v>2</v>
      </c>
      <c r="AZ31" s="374">
        <f t="shared" si="154"/>
        <v>2</v>
      </c>
      <c r="BA31" s="442">
        <f t="shared" si="155"/>
        <v>2</v>
      </c>
      <c r="BB31" s="371">
        <f t="shared" si="156"/>
        <v>2</v>
      </c>
      <c r="BC31" s="374">
        <f t="shared" si="157"/>
        <v>2</v>
      </c>
      <c r="BD31" s="374">
        <f t="shared" si="158"/>
        <v>2</v>
      </c>
      <c r="BE31" s="442">
        <f t="shared" si="159"/>
        <v>2</v>
      </c>
      <c r="BF31" s="371">
        <f t="shared" si="160"/>
        <v>2</v>
      </c>
      <c r="BG31" s="374">
        <f t="shared" si="161"/>
        <v>2</v>
      </c>
      <c r="BH31" s="374">
        <f t="shared" si="162"/>
        <v>2</v>
      </c>
      <c r="BI31" s="442">
        <f t="shared" si="163"/>
        <v>2</v>
      </c>
      <c r="BJ31" s="371">
        <f t="shared" si="164"/>
        <v>2</v>
      </c>
      <c r="BK31" s="374">
        <f t="shared" si="165"/>
        <v>2</v>
      </c>
      <c r="BL31" s="374">
        <f t="shared" si="166"/>
        <v>2</v>
      </c>
      <c r="BM31" s="442">
        <f t="shared" si="167"/>
        <v>2</v>
      </c>
      <c r="BN31" s="371">
        <f t="shared" si="168"/>
        <v>2</v>
      </c>
      <c r="BO31" s="374">
        <f t="shared" si="169"/>
        <v>2</v>
      </c>
      <c r="BP31" s="374">
        <f t="shared" si="170"/>
        <v>2</v>
      </c>
      <c r="BQ31" s="442">
        <f t="shared" si="171"/>
        <v>2</v>
      </c>
      <c r="BR31" s="371">
        <f t="shared" si="172"/>
        <v>2</v>
      </c>
      <c r="BS31" s="374">
        <f t="shared" si="173"/>
        <v>2</v>
      </c>
      <c r="BT31" s="374">
        <f t="shared" si="174"/>
        <v>2</v>
      </c>
      <c r="BU31" s="442">
        <f t="shared" si="175"/>
        <v>2</v>
      </c>
      <c r="BV31" s="371">
        <f t="shared" si="176"/>
        <v>2</v>
      </c>
      <c r="BW31" s="374">
        <f t="shared" si="177"/>
        <v>2</v>
      </c>
      <c r="BX31" s="374">
        <f t="shared" si="178"/>
        <v>2</v>
      </c>
      <c r="BY31" s="442">
        <f t="shared" si="179"/>
        <v>2</v>
      </c>
      <c r="BZ31" s="371">
        <f t="shared" si="180"/>
        <v>2</v>
      </c>
      <c r="CA31" s="374">
        <f t="shared" si="181"/>
        <v>2</v>
      </c>
      <c r="CB31" s="374">
        <f t="shared" si="182"/>
        <v>2</v>
      </c>
      <c r="CC31" s="442">
        <f t="shared" si="183"/>
        <v>2</v>
      </c>
      <c r="CD31" s="371">
        <f t="shared" si="184"/>
        <v>2</v>
      </c>
      <c r="CE31" s="374">
        <f t="shared" si="185"/>
        <v>2</v>
      </c>
      <c r="CF31" s="374">
        <f t="shared" si="186"/>
        <v>2</v>
      </c>
      <c r="CG31" s="442">
        <f t="shared" si="187"/>
        <v>2</v>
      </c>
      <c r="CH31" s="371">
        <f t="shared" si="188"/>
        <v>2</v>
      </c>
      <c r="CI31" s="374">
        <f t="shared" si="189"/>
        <v>2</v>
      </c>
      <c r="CJ31" s="374">
        <f t="shared" si="190"/>
        <v>2</v>
      </c>
      <c r="CK31" s="442">
        <f t="shared" si="191"/>
        <v>2</v>
      </c>
      <c r="CL31" s="371">
        <f t="shared" si="192"/>
        <v>2</v>
      </c>
      <c r="CM31" s="374">
        <f t="shared" si="193"/>
        <v>2</v>
      </c>
      <c r="CN31" s="374">
        <f t="shared" si="194"/>
        <v>2</v>
      </c>
      <c r="CO31" s="442">
        <f t="shared" si="195"/>
        <v>2</v>
      </c>
      <c r="CP31" s="371">
        <f t="shared" si="196"/>
        <v>2</v>
      </c>
      <c r="CQ31" s="374">
        <f t="shared" si="197"/>
        <v>2</v>
      </c>
      <c r="CR31" s="374">
        <f t="shared" si="198"/>
        <v>2</v>
      </c>
      <c r="CS31" s="442">
        <f t="shared" si="199"/>
        <v>2</v>
      </c>
      <c r="CT31" s="371">
        <f t="shared" si="200"/>
        <v>2</v>
      </c>
      <c r="CU31" s="374">
        <f t="shared" si="201"/>
        <v>2</v>
      </c>
      <c r="CV31" s="374">
        <f t="shared" si="202"/>
        <v>2</v>
      </c>
      <c r="CW31" s="442">
        <f t="shared" si="203"/>
        <v>2</v>
      </c>
      <c r="CX31" s="371">
        <f t="shared" si="204"/>
        <v>2</v>
      </c>
      <c r="CY31" s="374">
        <f t="shared" si="205"/>
        <v>2</v>
      </c>
      <c r="CZ31" s="374">
        <f t="shared" si="206"/>
        <v>2</v>
      </c>
      <c r="DA31" s="442">
        <f t="shared" si="207"/>
        <v>2</v>
      </c>
      <c r="DB31" s="371">
        <f t="shared" si="208"/>
        <v>2</v>
      </c>
      <c r="DC31" s="374">
        <f t="shared" si="209"/>
        <v>2</v>
      </c>
      <c r="DD31" s="374">
        <f t="shared" si="210"/>
        <v>2</v>
      </c>
      <c r="DE31" s="442">
        <f t="shared" si="211"/>
        <v>2</v>
      </c>
      <c r="DF31" s="371">
        <f t="shared" si="212"/>
        <v>2</v>
      </c>
      <c r="DG31" s="374">
        <f t="shared" si="213"/>
        <v>2</v>
      </c>
      <c r="DH31" s="374">
        <f t="shared" si="214"/>
        <v>2</v>
      </c>
      <c r="DI31" s="442">
        <f t="shared" si="215"/>
        <v>2</v>
      </c>
      <c r="DJ31" s="371">
        <f t="shared" si="216"/>
        <v>2</v>
      </c>
      <c r="DK31" s="374">
        <f t="shared" si="217"/>
        <v>2</v>
      </c>
      <c r="DL31" s="374">
        <f t="shared" si="218"/>
        <v>2</v>
      </c>
      <c r="DM31" s="442">
        <f t="shared" si="219"/>
        <v>2</v>
      </c>
      <c r="DN31" s="371">
        <f t="shared" si="220"/>
        <v>2</v>
      </c>
      <c r="DO31" s="374">
        <f t="shared" si="221"/>
        <v>2</v>
      </c>
      <c r="DP31" s="374">
        <f t="shared" si="222"/>
        <v>2</v>
      </c>
      <c r="DQ31" s="442">
        <f t="shared" si="223"/>
        <v>2</v>
      </c>
      <c r="DR31" s="371">
        <f t="shared" si="224"/>
        <v>2</v>
      </c>
      <c r="DS31" s="374">
        <f t="shared" si="225"/>
        <v>2</v>
      </c>
      <c r="DT31" s="374">
        <f t="shared" si="226"/>
        <v>2</v>
      </c>
      <c r="DU31" s="442">
        <f t="shared" si="227"/>
        <v>2</v>
      </c>
      <c r="DV31" s="371">
        <f t="shared" si="228"/>
        <v>2</v>
      </c>
      <c r="DW31" s="374">
        <f t="shared" si="229"/>
        <v>2</v>
      </c>
      <c r="DX31" s="374">
        <f t="shared" si="230"/>
        <v>2</v>
      </c>
      <c r="DY31" s="442">
        <f t="shared" si="231"/>
        <v>2</v>
      </c>
      <c r="DZ31" s="371">
        <f t="shared" si="232"/>
        <v>2</v>
      </c>
      <c r="EA31" s="374">
        <f t="shared" si="233"/>
        <v>2</v>
      </c>
      <c r="EB31" s="374">
        <f t="shared" si="234"/>
        <v>2</v>
      </c>
      <c r="EC31" s="442">
        <f t="shared" si="235"/>
        <v>2</v>
      </c>
      <c r="ED31" s="371">
        <f t="shared" si="236"/>
        <v>2</v>
      </c>
      <c r="EE31" s="374">
        <f t="shared" si="237"/>
        <v>2</v>
      </c>
      <c r="EF31" s="374">
        <f t="shared" si="238"/>
        <v>2</v>
      </c>
      <c r="EG31" s="442">
        <f t="shared" si="239"/>
        <v>2</v>
      </c>
      <c r="EH31" s="371">
        <f t="shared" si="240"/>
        <v>2</v>
      </c>
      <c r="EI31" s="374">
        <f t="shared" si="241"/>
        <v>2</v>
      </c>
      <c r="EJ31" s="374">
        <f t="shared" si="242"/>
        <v>2</v>
      </c>
      <c r="EK31" s="442">
        <f t="shared" si="243"/>
        <v>2</v>
      </c>
      <c r="EL31" s="371">
        <f t="shared" si="244"/>
        <v>2</v>
      </c>
      <c r="EM31" s="374">
        <f t="shared" si="245"/>
        <v>2</v>
      </c>
      <c r="EN31" s="374">
        <f t="shared" si="246"/>
        <v>2</v>
      </c>
      <c r="EO31" s="442">
        <f t="shared" si="247"/>
        <v>2</v>
      </c>
      <c r="EP31" s="371">
        <f t="shared" si="248"/>
        <v>2</v>
      </c>
      <c r="EQ31" s="374">
        <f t="shared" si="249"/>
        <v>2</v>
      </c>
      <c r="ER31" s="374">
        <f t="shared" si="250"/>
        <v>2</v>
      </c>
      <c r="ES31" s="442">
        <f t="shared" si="251"/>
        <v>2</v>
      </c>
      <c r="ET31" s="42">
        <f>+schedule_ARAS!EW35</f>
        <v>60</v>
      </c>
      <c r="EU31" s="12">
        <f>+schedule_ARAS!EZ35</f>
        <v>26880</v>
      </c>
      <c r="EV31" s="42">
        <f>+schedule_ARAS!FA35</f>
        <v>14400</v>
      </c>
    </row>
    <row r="32" spans="2:152" s="30" customFormat="1" ht="29.25" customHeight="1">
      <c r="B32" s="44"/>
      <c r="C32" s="384" t="str">
        <f>+schedule_ARAS!C36</f>
        <v>Dump Truck (x20)</v>
      </c>
      <c r="D32" s="310" t="s">
        <v>153</v>
      </c>
      <c r="E32" s="496">
        <f>+schedule_ARAS!E36</f>
        <v>20</v>
      </c>
      <c r="F32" s="371"/>
      <c r="G32" s="374"/>
      <c r="H32" s="374"/>
      <c r="I32" s="442"/>
      <c r="J32" s="371"/>
      <c r="K32" s="374"/>
      <c r="L32" s="374"/>
      <c r="M32" s="442"/>
      <c r="N32" s="371">
        <f t="shared" si="273"/>
        <v>0</v>
      </c>
      <c r="O32" s="374">
        <f t="shared" si="274"/>
        <v>0</v>
      </c>
      <c r="P32" s="374">
        <f t="shared" si="275"/>
        <v>0</v>
      </c>
      <c r="Q32" s="442">
        <f t="shared" si="276"/>
        <v>0</v>
      </c>
      <c r="R32" s="371">
        <f t="shared" ref="R32" si="407">+Q32</f>
        <v>0</v>
      </c>
      <c r="S32" s="374">
        <f t="shared" si="278"/>
        <v>0</v>
      </c>
      <c r="T32" s="374">
        <f t="shared" si="279"/>
        <v>0</v>
      </c>
      <c r="U32" s="442">
        <f t="shared" si="280"/>
        <v>0</v>
      </c>
      <c r="V32" s="371">
        <f t="shared" si="265"/>
        <v>0</v>
      </c>
      <c r="W32" s="374">
        <f t="shared" si="266"/>
        <v>0</v>
      </c>
      <c r="X32" s="374">
        <f t="shared" si="267"/>
        <v>0</v>
      </c>
      <c r="Y32" s="442">
        <f t="shared" si="268"/>
        <v>0</v>
      </c>
      <c r="Z32" s="371">
        <f t="shared" si="269"/>
        <v>0</v>
      </c>
      <c r="AA32" s="374">
        <f t="shared" si="270"/>
        <v>0</v>
      </c>
      <c r="AB32" s="374">
        <f t="shared" si="271"/>
        <v>0</v>
      </c>
      <c r="AC32" s="442">
        <f t="shared" si="272"/>
        <v>0</v>
      </c>
      <c r="AD32" s="371">
        <f t="shared" si="132"/>
        <v>20</v>
      </c>
      <c r="AE32" s="374">
        <f t="shared" si="133"/>
        <v>20</v>
      </c>
      <c r="AF32" s="374">
        <f t="shared" si="134"/>
        <v>20</v>
      </c>
      <c r="AG32" s="442">
        <f t="shared" si="135"/>
        <v>20</v>
      </c>
      <c r="AH32" s="371">
        <f t="shared" si="136"/>
        <v>20</v>
      </c>
      <c r="AI32" s="374">
        <f t="shared" si="137"/>
        <v>20</v>
      </c>
      <c r="AJ32" s="374">
        <f t="shared" si="138"/>
        <v>20</v>
      </c>
      <c r="AK32" s="442">
        <f t="shared" si="139"/>
        <v>20</v>
      </c>
      <c r="AL32" s="371">
        <f t="shared" si="140"/>
        <v>20</v>
      </c>
      <c r="AM32" s="374">
        <f t="shared" si="141"/>
        <v>20</v>
      </c>
      <c r="AN32" s="374">
        <f t="shared" si="142"/>
        <v>20</v>
      </c>
      <c r="AO32" s="442">
        <f t="shared" si="143"/>
        <v>20</v>
      </c>
      <c r="AP32" s="371">
        <f t="shared" si="144"/>
        <v>20</v>
      </c>
      <c r="AQ32" s="374">
        <f t="shared" si="145"/>
        <v>20</v>
      </c>
      <c r="AR32" s="374">
        <f t="shared" si="146"/>
        <v>20</v>
      </c>
      <c r="AS32" s="442">
        <f t="shared" si="147"/>
        <v>20</v>
      </c>
      <c r="AT32" s="371">
        <f t="shared" si="148"/>
        <v>20</v>
      </c>
      <c r="AU32" s="374">
        <f t="shared" si="149"/>
        <v>20</v>
      </c>
      <c r="AV32" s="374">
        <f t="shared" si="150"/>
        <v>20</v>
      </c>
      <c r="AW32" s="442">
        <f t="shared" si="151"/>
        <v>20</v>
      </c>
      <c r="AX32" s="371">
        <f t="shared" si="152"/>
        <v>20</v>
      </c>
      <c r="AY32" s="374">
        <f t="shared" si="153"/>
        <v>20</v>
      </c>
      <c r="AZ32" s="374">
        <f t="shared" si="154"/>
        <v>20</v>
      </c>
      <c r="BA32" s="442">
        <f t="shared" si="155"/>
        <v>20</v>
      </c>
      <c r="BB32" s="371">
        <f t="shared" si="156"/>
        <v>20</v>
      </c>
      <c r="BC32" s="374">
        <f t="shared" si="157"/>
        <v>20</v>
      </c>
      <c r="BD32" s="374">
        <f t="shared" si="158"/>
        <v>20</v>
      </c>
      <c r="BE32" s="442">
        <f t="shared" si="159"/>
        <v>20</v>
      </c>
      <c r="BF32" s="371">
        <f t="shared" si="160"/>
        <v>20</v>
      </c>
      <c r="BG32" s="374">
        <f t="shared" si="161"/>
        <v>20</v>
      </c>
      <c r="BH32" s="374">
        <f t="shared" si="162"/>
        <v>20</v>
      </c>
      <c r="BI32" s="442">
        <f t="shared" si="163"/>
        <v>20</v>
      </c>
      <c r="BJ32" s="371">
        <f t="shared" si="164"/>
        <v>20</v>
      </c>
      <c r="BK32" s="374">
        <f t="shared" si="165"/>
        <v>20</v>
      </c>
      <c r="BL32" s="374">
        <f t="shared" si="166"/>
        <v>20</v>
      </c>
      <c r="BM32" s="442">
        <f t="shared" si="167"/>
        <v>20</v>
      </c>
      <c r="BN32" s="371">
        <f t="shared" si="168"/>
        <v>20</v>
      </c>
      <c r="BO32" s="374">
        <f t="shared" si="169"/>
        <v>20</v>
      </c>
      <c r="BP32" s="374">
        <f t="shared" si="170"/>
        <v>20</v>
      </c>
      <c r="BQ32" s="442">
        <f t="shared" si="171"/>
        <v>20</v>
      </c>
      <c r="BR32" s="371">
        <f t="shared" si="172"/>
        <v>20</v>
      </c>
      <c r="BS32" s="374">
        <f t="shared" si="173"/>
        <v>20</v>
      </c>
      <c r="BT32" s="374">
        <f t="shared" si="174"/>
        <v>20</v>
      </c>
      <c r="BU32" s="442">
        <f t="shared" si="175"/>
        <v>20</v>
      </c>
      <c r="BV32" s="371">
        <f t="shared" si="176"/>
        <v>20</v>
      </c>
      <c r="BW32" s="374">
        <f t="shared" si="177"/>
        <v>20</v>
      </c>
      <c r="BX32" s="374">
        <f t="shared" si="178"/>
        <v>20</v>
      </c>
      <c r="BY32" s="442">
        <f t="shared" si="179"/>
        <v>20</v>
      </c>
      <c r="BZ32" s="371">
        <f t="shared" si="180"/>
        <v>20</v>
      </c>
      <c r="CA32" s="374">
        <f t="shared" si="181"/>
        <v>20</v>
      </c>
      <c r="CB32" s="374">
        <f t="shared" si="182"/>
        <v>20</v>
      </c>
      <c r="CC32" s="442">
        <f t="shared" si="183"/>
        <v>20</v>
      </c>
      <c r="CD32" s="371">
        <f t="shared" si="184"/>
        <v>20</v>
      </c>
      <c r="CE32" s="374">
        <f t="shared" si="185"/>
        <v>20</v>
      </c>
      <c r="CF32" s="374">
        <f t="shared" si="186"/>
        <v>20</v>
      </c>
      <c r="CG32" s="442">
        <f t="shared" si="187"/>
        <v>20</v>
      </c>
      <c r="CH32" s="371">
        <f t="shared" si="188"/>
        <v>20</v>
      </c>
      <c r="CI32" s="374">
        <f t="shared" si="189"/>
        <v>20</v>
      </c>
      <c r="CJ32" s="374">
        <f t="shared" si="190"/>
        <v>20</v>
      </c>
      <c r="CK32" s="442">
        <f t="shared" si="191"/>
        <v>20</v>
      </c>
      <c r="CL32" s="371">
        <f t="shared" si="192"/>
        <v>20</v>
      </c>
      <c r="CM32" s="374">
        <f t="shared" si="193"/>
        <v>20</v>
      </c>
      <c r="CN32" s="374">
        <f t="shared" si="194"/>
        <v>20</v>
      </c>
      <c r="CO32" s="442">
        <f t="shared" si="195"/>
        <v>20</v>
      </c>
      <c r="CP32" s="371">
        <f t="shared" si="196"/>
        <v>20</v>
      </c>
      <c r="CQ32" s="374">
        <f t="shared" si="197"/>
        <v>20</v>
      </c>
      <c r="CR32" s="374">
        <f t="shared" si="198"/>
        <v>20</v>
      </c>
      <c r="CS32" s="442">
        <f t="shared" si="199"/>
        <v>20</v>
      </c>
      <c r="CT32" s="371">
        <f t="shared" si="200"/>
        <v>20</v>
      </c>
      <c r="CU32" s="374">
        <f t="shared" si="201"/>
        <v>20</v>
      </c>
      <c r="CV32" s="374">
        <f t="shared" si="202"/>
        <v>20</v>
      </c>
      <c r="CW32" s="442">
        <f t="shared" si="203"/>
        <v>20</v>
      </c>
      <c r="CX32" s="371">
        <f t="shared" si="204"/>
        <v>20</v>
      </c>
      <c r="CY32" s="374">
        <f t="shared" si="205"/>
        <v>20</v>
      </c>
      <c r="CZ32" s="374">
        <f t="shared" si="206"/>
        <v>20</v>
      </c>
      <c r="DA32" s="442">
        <f t="shared" si="207"/>
        <v>20</v>
      </c>
      <c r="DB32" s="371">
        <f t="shared" si="208"/>
        <v>20</v>
      </c>
      <c r="DC32" s="374">
        <f t="shared" si="209"/>
        <v>20</v>
      </c>
      <c r="DD32" s="374">
        <f t="shared" si="210"/>
        <v>20</v>
      </c>
      <c r="DE32" s="442">
        <f t="shared" si="211"/>
        <v>20</v>
      </c>
      <c r="DF32" s="371">
        <f t="shared" si="212"/>
        <v>20</v>
      </c>
      <c r="DG32" s="374">
        <f t="shared" si="213"/>
        <v>20</v>
      </c>
      <c r="DH32" s="374">
        <f t="shared" si="214"/>
        <v>20</v>
      </c>
      <c r="DI32" s="442">
        <f t="shared" si="215"/>
        <v>20</v>
      </c>
      <c r="DJ32" s="371">
        <f t="shared" si="216"/>
        <v>20</v>
      </c>
      <c r="DK32" s="374">
        <f t="shared" si="217"/>
        <v>20</v>
      </c>
      <c r="DL32" s="374">
        <f t="shared" si="218"/>
        <v>20</v>
      </c>
      <c r="DM32" s="442">
        <f t="shared" si="219"/>
        <v>20</v>
      </c>
      <c r="DN32" s="371">
        <f t="shared" si="220"/>
        <v>20</v>
      </c>
      <c r="DO32" s="374">
        <f t="shared" si="221"/>
        <v>20</v>
      </c>
      <c r="DP32" s="374">
        <f t="shared" si="222"/>
        <v>20</v>
      </c>
      <c r="DQ32" s="442">
        <f t="shared" si="223"/>
        <v>20</v>
      </c>
      <c r="DR32" s="371">
        <f t="shared" si="224"/>
        <v>20</v>
      </c>
      <c r="DS32" s="374">
        <f t="shared" si="225"/>
        <v>20</v>
      </c>
      <c r="DT32" s="374">
        <f t="shared" si="226"/>
        <v>20</v>
      </c>
      <c r="DU32" s="442">
        <f t="shared" si="227"/>
        <v>20</v>
      </c>
      <c r="DV32" s="371">
        <f t="shared" si="228"/>
        <v>20</v>
      </c>
      <c r="DW32" s="374">
        <f t="shared" si="229"/>
        <v>20</v>
      </c>
      <c r="DX32" s="374">
        <f t="shared" si="230"/>
        <v>20</v>
      </c>
      <c r="DY32" s="442">
        <f t="shared" si="231"/>
        <v>20</v>
      </c>
      <c r="DZ32" s="371">
        <f t="shared" si="232"/>
        <v>20</v>
      </c>
      <c r="EA32" s="374">
        <f t="shared" si="233"/>
        <v>20</v>
      </c>
      <c r="EB32" s="374">
        <f t="shared" si="234"/>
        <v>20</v>
      </c>
      <c r="EC32" s="442">
        <f t="shared" si="235"/>
        <v>20</v>
      </c>
      <c r="ED32" s="371">
        <f t="shared" si="236"/>
        <v>20</v>
      </c>
      <c r="EE32" s="374">
        <f t="shared" si="237"/>
        <v>20</v>
      </c>
      <c r="EF32" s="374">
        <f t="shared" si="238"/>
        <v>20</v>
      </c>
      <c r="EG32" s="442">
        <f t="shared" si="239"/>
        <v>20</v>
      </c>
      <c r="EH32" s="371">
        <f t="shared" si="240"/>
        <v>20</v>
      </c>
      <c r="EI32" s="374">
        <f t="shared" si="241"/>
        <v>20</v>
      </c>
      <c r="EJ32" s="374">
        <f t="shared" si="242"/>
        <v>20</v>
      </c>
      <c r="EK32" s="442">
        <f t="shared" si="243"/>
        <v>20</v>
      </c>
      <c r="EL32" s="371">
        <f t="shared" si="244"/>
        <v>20</v>
      </c>
      <c r="EM32" s="374">
        <f t="shared" si="245"/>
        <v>20</v>
      </c>
      <c r="EN32" s="374">
        <f t="shared" si="246"/>
        <v>20</v>
      </c>
      <c r="EO32" s="442">
        <f t="shared" si="247"/>
        <v>20</v>
      </c>
      <c r="EP32" s="371">
        <f t="shared" si="248"/>
        <v>20</v>
      </c>
      <c r="EQ32" s="374">
        <f t="shared" si="249"/>
        <v>20</v>
      </c>
      <c r="ER32" s="374">
        <f t="shared" si="250"/>
        <v>20</v>
      </c>
      <c r="ES32" s="442">
        <f t="shared" si="251"/>
        <v>20</v>
      </c>
      <c r="ET32" s="42">
        <f>+schedule_ARAS!EW36</f>
        <v>600</v>
      </c>
      <c r="EU32" s="12">
        <f>+schedule_ARAS!EZ36</f>
        <v>268800</v>
      </c>
      <c r="EV32" s="42">
        <f>+schedule_ARAS!FA36</f>
        <v>144000</v>
      </c>
    </row>
    <row r="33" spans="1:155" s="30" customFormat="1" ht="29.25" customHeight="1">
      <c r="B33" s="44"/>
      <c r="C33" s="385"/>
      <c r="D33" s="310"/>
      <c r="E33" s="329"/>
      <c r="F33" s="371"/>
      <c r="G33" s="374"/>
      <c r="H33" s="312"/>
      <c r="I33" s="313"/>
      <c r="J33" s="371"/>
      <c r="K33" s="312"/>
      <c r="L33" s="312"/>
      <c r="M33" s="313"/>
      <c r="N33" s="311"/>
      <c r="O33" s="312"/>
      <c r="P33" s="312"/>
      <c r="Q33" s="313"/>
      <c r="R33" s="311"/>
      <c r="S33" s="312"/>
      <c r="T33" s="312"/>
      <c r="U33" s="313"/>
      <c r="V33" s="311"/>
      <c r="W33" s="312"/>
      <c r="X33" s="312"/>
      <c r="Y33" s="313"/>
      <c r="Z33" s="311"/>
      <c r="AA33" s="312"/>
      <c r="AB33" s="312"/>
      <c r="AC33" s="313"/>
      <c r="AD33" s="311"/>
      <c r="AE33" s="312"/>
      <c r="AF33" s="312"/>
      <c r="AG33" s="313"/>
      <c r="AH33" s="311"/>
      <c r="AI33" s="312"/>
      <c r="AJ33" s="312"/>
      <c r="AK33" s="313"/>
      <c r="AL33" s="311"/>
      <c r="AM33" s="312"/>
      <c r="AN33" s="312"/>
      <c r="AO33" s="313"/>
      <c r="AP33" s="311"/>
      <c r="AQ33" s="312"/>
      <c r="AR33" s="312"/>
      <c r="AS33" s="313"/>
      <c r="AT33" s="311"/>
      <c r="AU33" s="312"/>
      <c r="AV33" s="312"/>
      <c r="AW33" s="313"/>
      <c r="AX33" s="311"/>
      <c r="AY33" s="312"/>
      <c r="AZ33" s="312"/>
      <c r="BA33" s="313"/>
      <c r="BB33" s="311"/>
      <c r="BC33" s="312"/>
      <c r="BD33" s="312"/>
      <c r="BE33" s="313"/>
      <c r="BF33" s="311"/>
      <c r="BG33" s="312"/>
      <c r="BH33" s="312"/>
      <c r="BI33" s="313"/>
      <c r="BJ33" s="311"/>
      <c r="BK33" s="312"/>
      <c r="BL33" s="312"/>
      <c r="BM33" s="313"/>
      <c r="BN33" s="311"/>
      <c r="BO33" s="312"/>
      <c r="BP33" s="312"/>
      <c r="BQ33" s="313"/>
      <c r="BR33" s="311"/>
      <c r="BS33" s="312"/>
      <c r="BT33" s="312"/>
      <c r="BU33" s="313"/>
      <c r="BV33" s="311"/>
      <c r="BW33" s="312"/>
      <c r="BX33" s="312"/>
      <c r="BY33" s="313"/>
      <c r="BZ33" s="311"/>
      <c r="CA33" s="312"/>
      <c r="CB33" s="312"/>
      <c r="CC33" s="313"/>
      <c r="CD33" s="311"/>
      <c r="CE33" s="312"/>
      <c r="CF33" s="312"/>
      <c r="CG33" s="313"/>
      <c r="CH33" s="311"/>
      <c r="CI33" s="312"/>
      <c r="CJ33" s="312"/>
      <c r="CK33" s="313"/>
      <c r="CL33" s="311"/>
      <c r="CM33" s="312"/>
      <c r="CN33" s="312"/>
      <c r="CO33" s="313"/>
      <c r="CP33" s="311"/>
      <c r="CQ33" s="312"/>
      <c r="CR33" s="312"/>
      <c r="CS33" s="313"/>
      <c r="CT33" s="311"/>
      <c r="CU33" s="312"/>
      <c r="CV33" s="312"/>
      <c r="CW33" s="313"/>
      <c r="CX33" s="311"/>
      <c r="CY33" s="312"/>
      <c r="CZ33" s="312"/>
      <c r="DA33" s="313"/>
      <c r="DB33" s="311"/>
      <c r="DC33" s="312"/>
      <c r="DD33" s="312"/>
      <c r="DE33" s="313"/>
      <c r="DF33" s="311"/>
      <c r="DG33" s="312"/>
      <c r="DH33" s="312"/>
      <c r="DI33" s="313"/>
      <c r="DJ33" s="311"/>
      <c r="DK33" s="312"/>
      <c r="DL33" s="312"/>
      <c r="DM33" s="313"/>
      <c r="DN33" s="311"/>
      <c r="DO33" s="312"/>
      <c r="DP33" s="312"/>
      <c r="DQ33" s="313"/>
      <c r="DR33" s="311"/>
      <c r="DS33" s="312"/>
      <c r="DT33" s="312"/>
      <c r="DU33" s="313"/>
      <c r="DV33" s="311"/>
      <c r="DW33" s="312"/>
      <c r="DX33" s="312"/>
      <c r="DY33" s="313"/>
      <c r="DZ33" s="311"/>
      <c r="EA33" s="312"/>
      <c r="EB33" s="312"/>
      <c r="EC33" s="313"/>
      <c r="ED33" s="311"/>
      <c r="EE33" s="312"/>
      <c r="EF33" s="312"/>
      <c r="EG33" s="313"/>
      <c r="EH33" s="311"/>
      <c r="EI33" s="312"/>
      <c r="EJ33" s="312"/>
      <c r="EK33" s="313"/>
      <c r="EL33" s="311"/>
      <c r="EM33" s="312"/>
      <c r="EN33" s="312"/>
      <c r="EO33" s="313"/>
      <c r="EP33" s="311"/>
      <c r="EQ33" s="312"/>
      <c r="ER33" s="312"/>
      <c r="ES33" s="313"/>
      <c r="ET33" s="45"/>
      <c r="EU33" s="18"/>
      <c r="EV33" s="18"/>
    </row>
    <row r="34" spans="1:155" s="30" customFormat="1" ht="29.25" customHeight="1">
      <c r="B34" s="44"/>
      <c r="C34" s="385"/>
      <c r="D34" s="310"/>
      <c r="E34" s="329"/>
      <c r="F34" s="371"/>
      <c r="G34" s="374"/>
      <c r="H34" s="312"/>
      <c r="I34" s="313"/>
      <c r="J34" s="371"/>
      <c r="K34" s="312"/>
      <c r="L34" s="312"/>
      <c r="M34" s="313"/>
      <c r="N34" s="311"/>
      <c r="O34" s="312"/>
      <c r="P34" s="312"/>
      <c r="Q34" s="313"/>
      <c r="R34" s="311"/>
      <c r="S34" s="312"/>
      <c r="T34" s="312"/>
      <c r="U34" s="313"/>
      <c r="V34" s="311"/>
      <c r="W34" s="312"/>
      <c r="X34" s="312"/>
      <c r="Y34" s="313"/>
      <c r="Z34" s="311"/>
      <c r="AA34" s="312"/>
      <c r="AB34" s="312"/>
      <c r="AC34" s="313"/>
      <c r="AD34" s="311"/>
      <c r="AE34" s="312"/>
      <c r="AF34" s="312"/>
      <c r="AG34" s="313"/>
      <c r="AH34" s="311"/>
      <c r="AI34" s="312"/>
      <c r="AJ34" s="312"/>
      <c r="AK34" s="313"/>
      <c r="AL34" s="311"/>
      <c r="AM34" s="312"/>
      <c r="AN34" s="312"/>
      <c r="AO34" s="313"/>
      <c r="AP34" s="311"/>
      <c r="AQ34" s="312"/>
      <c r="AR34" s="312"/>
      <c r="AS34" s="313"/>
      <c r="AT34" s="311"/>
      <c r="AU34" s="312"/>
      <c r="AV34" s="312"/>
      <c r="AW34" s="313"/>
      <c r="AX34" s="311"/>
      <c r="AY34" s="312"/>
      <c r="AZ34" s="312"/>
      <c r="BA34" s="313"/>
      <c r="BB34" s="311"/>
      <c r="BC34" s="312"/>
      <c r="BD34" s="312"/>
      <c r="BE34" s="313"/>
      <c r="BF34" s="311"/>
      <c r="BG34" s="312"/>
      <c r="BH34" s="312"/>
      <c r="BI34" s="313"/>
      <c r="BJ34" s="311"/>
      <c r="BK34" s="312"/>
      <c r="BL34" s="312"/>
      <c r="BM34" s="313"/>
      <c r="BN34" s="311"/>
      <c r="BO34" s="312"/>
      <c r="BP34" s="312"/>
      <c r="BQ34" s="313"/>
      <c r="BR34" s="311"/>
      <c r="BS34" s="312"/>
      <c r="BT34" s="312"/>
      <c r="BU34" s="313"/>
      <c r="BV34" s="311"/>
      <c r="BW34" s="312"/>
      <c r="BX34" s="312"/>
      <c r="BY34" s="313"/>
      <c r="BZ34" s="311"/>
      <c r="CA34" s="312"/>
      <c r="CB34" s="312"/>
      <c r="CC34" s="313"/>
      <c r="CD34" s="311"/>
      <c r="CE34" s="312"/>
      <c r="CF34" s="312"/>
      <c r="CG34" s="313"/>
      <c r="CH34" s="311"/>
      <c r="CI34" s="312"/>
      <c r="CJ34" s="312"/>
      <c r="CK34" s="313"/>
      <c r="CL34" s="311"/>
      <c r="CM34" s="312"/>
      <c r="CN34" s="312"/>
      <c r="CO34" s="313"/>
      <c r="CP34" s="311"/>
      <c r="CQ34" s="312"/>
      <c r="CR34" s="312"/>
      <c r="CS34" s="313"/>
      <c r="CT34" s="311"/>
      <c r="CU34" s="312"/>
      <c r="CV34" s="312"/>
      <c r="CW34" s="313"/>
      <c r="CX34" s="311"/>
      <c r="CY34" s="312"/>
      <c r="CZ34" s="312"/>
      <c r="DA34" s="313"/>
      <c r="DB34" s="311"/>
      <c r="DC34" s="312"/>
      <c r="DD34" s="312"/>
      <c r="DE34" s="313"/>
      <c r="DF34" s="311"/>
      <c r="DG34" s="312"/>
      <c r="DH34" s="312"/>
      <c r="DI34" s="313"/>
      <c r="DJ34" s="311"/>
      <c r="DK34" s="312"/>
      <c r="DL34" s="312"/>
      <c r="DM34" s="313"/>
      <c r="DN34" s="311"/>
      <c r="DO34" s="312"/>
      <c r="DP34" s="312"/>
      <c r="DQ34" s="313"/>
      <c r="DR34" s="311"/>
      <c r="DS34" s="312"/>
      <c r="DT34" s="312"/>
      <c r="DU34" s="313"/>
      <c r="DV34" s="311"/>
      <c r="DW34" s="312"/>
      <c r="DX34" s="312"/>
      <c r="DY34" s="313"/>
      <c r="DZ34" s="311"/>
      <c r="EA34" s="312"/>
      <c r="EB34" s="312"/>
      <c r="EC34" s="313"/>
      <c r="ED34" s="311"/>
      <c r="EE34" s="312"/>
      <c r="EF34" s="312"/>
      <c r="EG34" s="313"/>
      <c r="EH34" s="311"/>
      <c r="EI34" s="312"/>
      <c r="EJ34" s="312"/>
      <c r="EK34" s="313"/>
      <c r="EL34" s="311"/>
      <c r="EM34" s="312"/>
      <c r="EN34" s="312"/>
      <c r="EO34" s="313"/>
      <c r="EP34" s="311"/>
      <c r="EQ34" s="312"/>
      <c r="ER34" s="312"/>
      <c r="ES34" s="313"/>
      <c r="ET34" s="45"/>
      <c r="EU34" s="18"/>
      <c r="EV34" s="18"/>
    </row>
    <row r="35" spans="1:155" s="30" customFormat="1" ht="29.25" customHeight="1">
      <c r="B35" s="44"/>
      <c r="C35" s="385"/>
      <c r="D35" s="310"/>
      <c r="E35" s="329"/>
      <c r="F35" s="371"/>
      <c r="G35" s="374"/>
      <c r="H35" s="312"/>
      <c r="I35" s="313"/>
      <c r="J35" s="371"/>
      <c r="K35" s="312"/>
      <c r="L35" s="312"/>
      <c r="M35" s="313"/>
      <c r="N35" s="311"/>
      <c r="O35" s="312"/>
      <c r="P35" s="312"/>
      <c r="Q35" s="313"/>
      <c r="R35" s="311"/>
      <c r="S35" s="312"/>
      <c r="T35" s="312"/>
      <c r="U35" s="313"/>
      <c r="V35" s="311"/>
      <c r="W35" s="312"/>
      <c r="X35" s="312"/>
      <c r="Y35" s="313"/>
      <c r="Z35" s="311"/>
      <c r="AA35" s="312"/>
      <c r="AB35" s="312"/>
      <c r="AC35" s="313"/>
      <c r="AD35" s="311"/>
      <c r="AE35" s="312"/>
      <c r="AF35" s="312"/>
      <c r="AG35" s="313"/>
      <c r="AH35" s="311"/>
      <c r="AI35" s="312"/>
      <c r="AJ35" s="312"/>
      <c r="AK35" s="313"/>
      <c r="AL35" s="311"/>
      <c r="AM35" s="312"/>
      <c r="AN35" s="312"/>
      <c r="AO35" s="313"/>
      <c r="AP35" s="311"/>
      <c r="AQ35" s="312"/>
      <c r="AR35" s="312"/>
      <c r="AS35" s="313"/>
      <c r="AT35" s="311"/>
      <c r="AU35" s="312"/>
      <c r="AV35" s="312"/>
      <c r="AW35" s="313"/>
      <c r="AX35" s="311"/>
      <c r="AY35" s="312"/>
      <c r="AZ35" s="312"/>
      <c r="BA35" s="313"/>
      <c r="BB35" s="311"/>
      <c r="BC35" s="312"/>
      <c r="BD35" s="312"/>
      <c r="BE35" s="313"/>
      <c r="BF35" s="311"/>
      <c r="BG35" s="312"/>
      <c r="BH35" s="312"/>
      <c r="BI35" s="313"/>
      <c r="BJ35" s="311"/>
      <c r="BK35" s="312"/>
      <c r="BL35" s="312"/>
      <c r="BM35" s="313"/>
      <c r="BN35" s="311"/>
      <c r="BO35" s="312"/>
      <c r="BP35" s="312"/>
      <c r="BQ35" s="313"/>
      <c r="BR35" s="311"/>
      <c r="BS35" s="312"/>
      <c r="BT35" s="312"/>
      <c r="BU35" s="313"/>
      <c r="BV35" s="311"/>
      <c r="BW35" s="312"/>
      <c r="BX35" s="312"/>
      <c r="BY35" s="313"/>
      <c r="BZ35" s="311"/>
      <c r="CA35" s="312"/>
      <c r="CB35" s="312"/>
      <c r="CC35" s="313"/>
      <c r="CD35" s="311"/>
      <c r="CE35" s="312"/>
      <c r="CF35" s="312"/>
      <c r="CG35" s="313"/>
      <c r="CH35" s="311"/>
      <c r="CI35" s="312"/>
      <c r="CJ35" s="312"/>
      <c r="CK35" s="313"/>
      <c r="CL35" s="311"/>
      <c r="CM35" s="312"/>
      <c r="CN35" s="312"/>
      <c r="CO35" s="313"/>
      <c r="CP35" s="311"/>
      <c r="CQ35" s="312"/>
      <c r="CR35" s="312"/>
      <c r="CS35" s="313"/>
      <c r="CT35" s="311"/>
      <c r="CU35" s="312"/>
      <c r="CV35" s="312"/>
      <c r="CW35" s="313"/>
      <c r="CX35" s="311"/>
      <c r="CY35" s="312"/>
      <c r="CZ35" s="312"/>
      <c r="DA35" s="313"/>
      <c r="DB35" s="311"/>
      <c r="DC35" s="312"/>
      <c r="DD35" s="312"/>
      <c r="DE35" s="313"/>
      <c r="DF35" s="311"/>
      <c r="DG35" s="312"/>
      <c r="DH35" s="312"/>
      <c r="DI35" s="313"/>
      <c r="DJ35" s="311"/>
      <c r="DK35" s="312"/>
      <c r="DL35" s="312"/>
      <c r="DM35" s="313"/>
      <c r="DN35" s="311"/>
      <c r="DO35" s="312"/>
      <c r="DP35" s="312"/>
      <c r="DQ35" s="313"/>
      <c r="DR35" s="311"/>
      <c r="DS35" s="312"/>
      <c r="DT35" s="312"/>
      <c r="DU35" s="313"/>
      <c r="DV35" s="311"/>
      <c r="DW35" s="312"/>
      <c r="DX35" s="312"/>
      <c r="DY35" s="313"/>
      <c r="DZ35" s="311"/>
      <c r="EA35" s="312"/>
      <c r="EB35" s="312"/>
      <c r="EC35" s="313"/>
      <c r="ED35" s="311"/>
      <c r="EE35" s="312"/>
      <c r="EF35" s="312"/>
      <c r="EG35" s="313"/>
      <c r="EH35" s="311"/>
      <c r="EI35" s="312"/>
      <c r="EJ35" s="312"/>
      <c r="EK35" s="313"/>
      <c r="EL35" s="311"/>
      <c r="EM35" s="312"/>
      <c r="EN35" s="312"/>
      <c r="EO35" s="313"/>
      <c r="EP35" s="311"/>
      <c r="EQ35" s="312"/>
      <c r="ER35" s="312"/>
      <c r="ES35" s="313"/>
      <c r="ET35" s="45"/>
      <c r="EU35" s="18"/>
      <c r="EV35" s="18"/>
    </row>
    <row r="36" spans="1:155" s="30" customFormat="1" ht="29.25" customHeight="1">
      <c r="B36" s="44"/>
      <c r="C36" s="385"/>
      <c r="D36" s="310"/>
      <c r="E36" s="329"/>
      <c r="F36" s="371"/>
      <c r="G36" s="374"/>
      <c r="H36" s="312"/>
      <c r="I36" s="313"/>
      <c r="J36" s="371"/>
      <c r="K36" s="312"/>
      <c r="L36" s="312"/>
      <c r="M36" s="313"/>
      <c r="N36" s="311"/>
      <c r="O36" s="312"/>
      <c r="P36" s="312"/>
      <c r="Q36" s="313"/>
      <c r="R36" s="311"/>
      <c r="S36" s="312"/>
      <c r="T36" s="312"/>
      <c r="U36" s="313"/>
      <c r="V36" s="311"/>
      <c r="W36" s="312"/>
      <c r="X36" s="312"/>
      <c r="Y36" s="313"/>
      <c r="Z36" s="311"/>
      <c r="AA36" s="312"/>
      <c r="AB36" s="312"/>
      <c r="AC36" s="313"/>
      <c r="AD36" s="311"/>
      <c r="AE36" s="312"/>
      <c r="AF36" s="312"/>
      <c r="AG36" s="313"/>
      <c r="AH36" s="311"/>
      <c r="AI36" s="312"/>
      <c r="AJ36" s="312"/>
      <c r="AK36" s="313"/>
      <c r="AL36" s="311"/>
      <c r="AM36" s="312"/>
      <c r="AN36" s="312"/>
      <c r="AO36" s="313"/>
      <c r="AP36" s="311"/>
      <c r="AQ36" s="312"/>
      <c r="AR36" s="312"/>
      <c r="AS36" s="313"/>
      <c r="AT36" s="311"/>
      <c r="AU36" s="312"/>
      <c r="AV36" s="312"/>
      <c r="AW36" s="313"/>
      <c r="AX36" s="311"/>
      <c r="AY36" s="312"/>
      <c r="AZ36" s="312"/>
      <c r="BA36" s="313"/>
      <c r="BB36" s="311"/>
      <c r="BC36" s="312"/>
      <c r="BD36" s="312"/>
      <c r="BE36" s="313"/>
      <c r="BF36" s="311"/>
      <c r="BG36" s="312"/>
      <c r="BH36" s="312"/>
      <c r="BI36" s="313"/>
      <c r="BJ36" s="311"/>
      <c r="BK36" s="312"/>
      <c r="BL36" s="312"/>
      <c r="BM36" s="313"/>
      <c r="BN36" s="311"/>
      <c r="BO36" s="312"/>
      <c r="BP36" s="312"/>
      <c r="BQ36" s="313"/>
      <c r="BR36" s="311"/>
      <c r="BS36" s="312"/>
      <c r="BT36" s="312"/>
      <c r="BU36" s="313"/>
      <c r="BV36" s="311"/>
      <c r="BW36" s="312"/>
      <c r="BX36" s="312"/>
      <c r="BY36" s="313"/>
      <c r="BZ36" s="311"/>
      <c r="CA36" s="312"/>
      <c r="CB36" s="312"/>
      <c r="CC36" s="313"/>
      <c r="CD36" s="311"/>
      <c r="CE36" s="312"/>
      <c r="CF36" s="312"/>
      <c r="CG36" s="313"/>
      <c r="CH36" s="311"/>
      <c r="CI36" s="312"/>
      <c r="CJ36" s="312"/>
      <c r="CK36" s="313"/>
      <c r="CL36" s="311"/>
      <c r="CM36" s="312"/>
      <c r="CN36" s="312"/>
      <c r="CO36" s="313"/>
      <c r="CP36" s="311"/>
      <c r="CQ36" s="312"/>
      <c r="CR36" s="312"/>
      <c r="CS36" s="313"/>
      <c r="CT36" s="311"/>
      <c r="CU36" s="312"/>
      <c r="CV36" s="312"/>
      <c r="CW36" s="313"/>
      <c r="CX36" s="311"/>
      <c r="CY36" s="312"/>
      <c r="CZ36" s="312"/>
      <c r="DA36" s="313"/>
      <c r="DB36" s="311"/>
      <c r="DC36" s="312"/>
      <c r="DD36" s="312"/>
      <c r="DE36" s="313"/>
      <c r="DF36" s="311"/>
      <c r="DG36" s="312"/>
      <c r="DH36" s="312"/>
      <c r="DI36" s="313"/>
      <c r="DJ36" s="311"/>
      <c r="DK36" s="312"/>
      <c r="DL36" s="312"/>
      <c r="DM36" s="313"/>
      <c r="DN36" s="311"/>
      <c r="DO36" s="312"/>
      <c r="DP36" s="312"/>
      <c r="DQ36" s="313"/>
      <c r="DR36" s="311"/>
      <c r="DS36" s="312"/>
      <c r="DT36" s="312"/>
      <c r="DU36" s="313"/>
      <c r="DV36" s="311"/>
      <c r="DW36" s="312"/>
      <c r="DX36" s="312"/>
      <c r="DY36" s="313"/>
      <c r="DZ36" s="311"/>
      <c r="EA36" s="312"/>
      <c r="EB36" s="312"/>
      <c r="EC36" s="313"/>
      <c r="ED36" s="311"/>
      <c r="EE36" s="312"/>
      <c r="EF36" s="312"/>
      <c r="EG36" s="313"/>
      <c r="EH36" s="311"/>
      <c r="EI36" s="312"/>
      <c r="EJ36" s="312"/>
      <c r="EK36" s="313"/>
      <c r="EL36" s="311"/>
      <c r="EM36" s="312"/>
      <c r="EN36" s="312"/>
      <c r="EO36" s="313"/>
      <c r="EP36" s="311"/>
      <c r="EQ36" s="312"/>
      <c r="ER36" s="312"/>
      <c r="ES36" s="313"/>
      <c r="ET36" s="45"/>
      <c r="EU36" s="18"/>
      <c r="EV36" s="18"/>
    </row>
    <row r="37" spans="1:155" s="30" customFormat="1" ht="29.25" customHeight="1">
      <c r="B37" s="44"/>
      <c r="C37" s="385"/>
      <c r="D37" s="310"/>
      <c r="E37" s="329"/>
      <c r="F37" s="371"/>
      <c r="G37" s="374"/>
      <c r="H37" s="312"/>
      <c r="I37" s="313"/>
      <c r="J37" s="371"/>
      <c r="K37" s="312"/>
      <c r="L37" s="312"/>
      <c r="M37" s="313"/>
      <c r="N37" s="311"/>
      <c r="O37" s="312"/>
      <c r="P37" s="312"/>
      <c r="Q37" s="313"/>
      <c r="R37" s="311"/>
      <c r="S37" s="312"/>
      <c r="T37" s="312"/>
      <c r="U37" s="313"/>
      <c r="V37" s="311"/>
      <c r="W37" s="312"/>
      <c r="X37" s="312"/>
      <c r="Y37" s="313"/>
      <c r="Z37" s="311"/>
      <c r="AA37" s="312"/>
      <c r="AB37" s="312"/>
      <c r="AC37" s="313"/>
      <c r="AD37" s="311"/>
      <c r="AE37" s="312"/>
      <c r="AF37" s="312"/>
      <c r="AG37" s="313"/>
      <c r="AH37" s="311"/>
      <c r="AI37" s="312"/>
      <c r="AJ37" s="312"/>
      <c r="AK37" s="313"/>
      <c r="AL37" s="311"/>
      <c r="AM37" s="312"/>
      <c r="AN37" s="312"/>
      <c r="AO37" s="313"/>
      <c r="AP37" s="311"/>
      <c r="AQ37" s="312"/>
      <c r="AR37" s="312"/>
      <c r="AS37" s="313"/>
      <c r="AT37" s="311"/>
      <c r="AU37" s="312"/>
      <c r="AV37" s="312"/>
      <c r="AW37" s="313"/>
      <c r="AX37" s="311"/>
      <c r="AY37" s="312"/>
      <c r="AZ37" s="312"/>
      <c r="BA37" s="313"/>
      <c r="BB37" s="311"/>
      <c r="BC37" s="312"/>
      <c r="BD37" s="312"/>
      <c r="BE37" s="313"/>
      <c r="BF37" s="311"/>
      <c r="BG37" s="312"/>
      <c r="BH37" s="312"/>
      <c r="BI37" s="313"/>
      <c r="BJ37" s="311"/>
      <c r="BK37" s="312"/>
      <c r="BL37" s="312"/>
      <c r="BM37" s="313"/>
      <c r="BN37" s="311"/>
      <c r="BO37" s="312"/>
      <c r="BP37" s="312"/>
      <c r="BQ37" s="313"/>
      <c r="BR37" s="311"/>
      <c r="BS37" s="312"/>
      <c r="BT37" s="312"/>
      <c r="BU37" s="313"/>
      <c r="BV37" s="311"/>
      <c r="BW37" s="312"/>
      <c r="BX37" s="312"/>
      <c r="BY37" s="313"/>
      <c r="BZ37" s="311"/>
      <c r="CA37" s="312"/>
      <c r="CB37" s="312"/>
      <c r="CC37" s="313"/>
      <c r="CD37" s="311"/>
      <c r="CE37" s="312"/>
      <c r="CF37" s="312"/>
      <c r="CG37" s="313"/>
      <c r="CH37" s="311"/>
      <c r="CI37" s="312"/>
      <c r="CJ37" s="312"/>
      <c r="CK37" s="313"/>
      <c r="CL37" s="311"/>
      <c r="CM37" s="312"/>
      <c r="CN37" s="312"/>
      <c r="CO37" s="313"/>
      <c r="CP37" s="311"/>
      <c r="CQ37" s="312"/>
      <c r="CR37" s="312"/>
      <c r="CS37" s="313"/>
      <c r="CT37" s="311"/>
      <c r="CU37" s="312"/>
      <c r="CV37" s="312"/>
      <c r="CW37" s="313"/>
      <c r="CX37" s="311"/>
      <c r="CY37" s="312"/>
      <c r="CZ37" s="312"/>
      <c r="DA37" s="313"/>
      <c r="DB37" s="311"/>
      <c r="DC37" s="312"/>
      <c r="DD37" s="312"/>
      <c r="DE37" s="313"/>
      <c r="DF37" s="311"/>
      <c r="DG37" s="312"/>
      <c r="DH37" s="312"/>
      <c r="DI37" s="313"/>
      <c r="DJ37" s="311"/>
      <c r="DK37" s="312"/>
      <c r="DL37" s="312"/>
      <c r="DM37" s="313"/>
      <c r="DN37" s="311"/>
      <c r="DO37" s="312"/>
      <c r="DP37" s="312"/>
      <c r="DQ37" s="313"/>
      <c r="DR37" s="311"/>
      <c r="DS37" s="312"/>
      <c r="DT37" s="312"/>
      <c r="DU37" s="313"/>
      <c r="DV37" s="311"/>
      <c r="DW37" s="312"/>
      <c r="DX37" s="312"/>
      <c r="DY37" s="313"/>
      <c r="DZ37" s="311"/>
      <c r="EA37" s="312"/>
      <c r="EB37" s="312"/>
      <c r="EC37" s="313"/>
      <c r="ED37" s="311"/>
      <c r="EE37" s="312"/>
      <c r="EF37" s="312"/>
      <c r="EG37" s="313"/>
      <c r="EH37" s="311"/>
      <c r="EI37" s="312"/>
      <c r="EJ37" s="312"/>
      <c r="EK37" s="313"/>
      <c r="EL37" s="311"/>
      <c r="EM37" s="312"/>
      <c r="EN37" s="312"/>
      <c r="EO37" s="313"/>
      <c r="EP37" s="311"/>
      <c r="EQ37" s="312"/>
      <c r="ER37" s="312"/>
      <c r="ES37" s="313"/>
      <c r="ET37" s="45"/>
      <c r="EU37" s="18"/>
      <c r="EV37" s="18"/>
    </row>
    <row r="38" spans="1:155" s="30" customFormat="1" ht="29.25" customHeight="1">
      <c r="B38" s="44"/>
      <c r="C38" s="385"/>
      <c r="D38" s="310"/>
      <c r="E38" s="329"/>
      <c r="F38" s="371"/>
      <c r="G38" s="374"/>
      <c r="H38" s="312"/>
      <c r="I38" s="313"/>
      <c r="J38" s="371"/>
      <c r="K38" s="312"/>
      <c r="L38" s="312"/>
      <c r="M38" s="313"/>
      <c r="N38" s="311"/>
      <c r="O38" s="312"/>
      <c r="P38" s="312"/>
      <c r="Q38" s="313"/>
      <c r="R38" s="311"/>
      <c r="S38" s="312"/>
      <c r="T38" s="312"/>
      <c r="U38" s="313"/>
      <c r="V38" s="311"/>
      <c r="W38" s="312"/>
      <c r="X38" s="312"/>
      <c r="Y38" s="313"/>
      <c r="Z38" s="311"/>
      <c r="AA38" s="312"/>
      <c r="AB38" s="312"/>
      <c r="AC38" s="313"/>
      <c r="AD38" s="311"/>
      <c r="AE38" s="312"/>
      <c r="AF38" s="312"/>
      <c r="AG38" s="313"/>
      <c r="AH38" s="311"/>
      <c r="AI38" s="312"/>
      <c r="AJ38" s="312"/>
      <c r="AK38" s="313"/>
      <c r="AL38" s="311"/>
      <c r="AM38" s="312"/>
      <c r="AN38" s="312"/>
      <c r="AO38" s="313"/>
      <c r="AP38" s="311"/>
      <c r="AQ38" s="312"/>
      <c r="AR38" s="312"/>
      <c r="AS38" s="313"/>
      <c r="AT38" s="311"/>
      <c r="AU38" s="312"/>
      <c r="AV38" s="312"/>
      <c r="AW38" s="313"/>
      <c r="AX38" s="311"/>
      <c r="AY38" s="312"/>
      <c r="AZ38" s="312"/>
      <c r="BA38" s="313"/>
      <c r="BB38" s="311"/>
      <c r="BC38" s="312"/>
      <c r="BD38" s="312"/>
      <c r="BE38" s="313"/>
      <c r="BF38" s="311"/>
      <c r="BG38" s="312"/>
      <c r="BH38" s="312"/>
      <c r="BI38" s="313"/>
      <c r="BJ38" s="311"/>
      <c r="BK38" s="312"/>
      <c r="BL38" s="312"/>
      <c r="BM38" s="313"/>
      <c r="BN38" s="311"/>
      <c r="BO38" s="312"/>
      <c r="BP38" s="312"/>
      <c r="BQ38" s="313"/>
      <c r="BR38" s="311"/>
      <c r="BS38" s="312"/>
      <c r="BT38" s="312"/>
      <c r="BU38" s="313"/>
      <c r="BV38" s="311"/>
      <c r="BW38" s="312"/>
      <c r="BX38" s="312"/>
      <c r="BY38" s="313"/>
      <c r="BZ38" s="311"/>
      <c r="CA38" s="312"/>
      <c r="CB38" s="312"/>
      <c r="CC38" s="313"/>
      <c r="CD38" s="311"/>
      <c r="CE38" s="312"/>
      <c r="CF38" s="312"/>
      <c r="CG38" s="313"/>
      <c r="CH38" s="311"/>
      <c r="CI38" s="312"/>
      <c r="CJ38" s="312"/>
      <c r="CK38" s="313"/>
      <c r="CL38" s="311"/>
      <c r="CM38" s="312"/>
      <c r="CN38" s="312"/>
      <c r="CO38" s="313"/>
      <c r="CP38" s="311"/>
      <c r="CQ38" s="312"/>
      <c r="CR38" s="312"/>
      <c r="CS38" s="313"/>
      <c r="CT38" s="311"/>
      <c r="CU38" s="312"/>
      <c r="CV38" s="312"/>
      <c r="CW38" s="313"/>
      <c r="CX38" s="311"/>
      <c r="CY38" s="312"/>
      <c r="CZ38" s="312"/>
      <c r="DA38" s="313"/>
      <c r="DB38" s="311"/>
      <c r="DC38" s="312"/>
      <c r="DD38" s="312"/>
      <c r="DE38" s="313"/>
      <c r="DF38" s="311"/>
      <c r="DG38" s="312"/>
      <c r="DH38" s="312"/>
      <c r="DI38" s="313"/>
      <c r="DJ38" s="311"/>
      <c r="DK38" s="312"/>
      <c r="DL38" s="312"/>
      <c r="DM38" s="313"/>
      <c r="DN38" s="311"/>
      <c r="DO38" s="312"/>
      <c r="DP38" s="312"/>
      <c r="DQ38" s="313"/>
      <c r="DR38" s="311"/>
      <c r="DS38" s="312"/>
      <c r="DT38" s="312"/>
      <c r="DU38" s="313"/>
      <c r="DV38" s="311"/>
      <c r="DW38" s="312"/>
      <c r="DX38" s="312"/>
      <c r="DY38" s="313"/>
      <c r="DZ38" s="311"/>
      <c r="EA38" s="312"/>
      <c r="EB38" s="312"/>
      <c r="EC38" s="313"/>
      <c r="ED38" s="311"/>
      <c r="EE38" s="312"/>
      <c r="EF38" s="312"/>
      <c r="EG38" s="313"/>
      <c r="EH38" s="311"/>
      <c r="EI38" s="312"/>
      <c r="EJ38" s="312"/>
      <c r="EK38" s="313"/>
      <c r="EL38" s="311"/>
      <c r="EM38" s="312"/>
      <c r="EN38" s="312"/>
      <c r="EO38" s="313"/>
      <c r="EP38" s="311"/>
      <c r="EQ38" s="312"/>
      <c r="ER38" s="312"/>
      <c r="ES38" s="313"/>
      <c r="ET38" s="45"/>
      <c r="EU38" s="18"/>
      <c r="EV38" s="18"/>
    </row>
    <row r="39" spans="1:155" s="43" customFormat="1" ht="29.25" customHeight="1" thickBot="1">
      <c r="A39" s="43" t="s">
        <v>204</v>
      </c>
      <c r="B39" s="47"/>
      <c r="C39" s="467" t="s">
        <v>42</v>
      </c>
      <c r="D39" s="467"/>
      <c r="E39" s="467"/>
      <c r="F39" s="48"/>
      <c r="G39" s="49"/>
      <c r="H39" s="49"/>
      <c r="I39" s="50"/>
      <c r="J39" s="48"/>
      <c r="K39" s="49"/>
      <c r="L39" s="49"/>
      <c r="M39" s="50"/>
      <c r="N39" s="48"/>
      <c r="O39" s="49"/>
      <c r="P39" s="49"/>
      <c r="Q39" s="50"/>
      <c r="R39" s="48"/>
      <c r="S39" s="49"/>
      <c r="T39" s="49"/>
      <c r="U39" s="50"/>
      <c r="V39" s="48"/>
      <c r="W39" s="49"/>
      <c r="X39" s="49"/>
      <c r="Y39" s="50"/>
      <c r="Z39" s="51"/>
      <c r="AA39" s="52"/>
      <c r="AB39" s="52"/>
      <c r="AC39" s="53"/>
      <c r="AD39" s="48"/>
      <c r="AE39" s="49"/>
      <c r="AF39" s="49"/>
      <c r="AG39" s="50"/>
      <c r="AH39" s="48"/>
      <c r="AI39" s="49"/>
      <c r="AJ39" s="49"/>
      <c r="AK39" s="50"/>
      <c r="AL39" s="48"/>
      <c r="AM39" s="49"/>
      <c r="AN39" s="49"/>
      <c r="AO39" s="50"/>
      <c r="AP39" s="51"/>
      <c r="AQ39" s="52"/>
      <c r="AR39" s="52"/>
      <c r="AS39" s="53"/>
      <c r="AT39" s="48"/>
      <c r="AU39" s="49"/>
      <c r="AV39" s="49"/>
      <c r="AW39" s="50"/>
      <c r="AX39" s="48"/>
      <c r="AY39" s="49"/>
      <c r="AZ39" s="49"/>
      <c r="BA39" s="50"/>
      <c r="BB39" s="48"/>
      <c r="BC39" s="49"/>
      <c r="BD39" s="49"/>
      <c r="BE39" s="50"/>
      <c r="BF39" s="48"/>
      <c r="BG39" s="49"/>
      <c r="BH39" s="49"/>
      <c r="BI39" s="50"/>
      <c r="BJ39" s="48"/>
      <c r="BK39" s="49"/>
      <c r="BL39" s="49"/>
      <c r="BM39" s="50"/>
      <c r="BN39" s="48"/>
      <c r="BO39" s="49"/>
      <c r="BP39" s="49"/>
      <c r="BQ39" s="50"/>
      <c r="BR39" s="48"/>
      <c r="BS39" s="49"/>
      <c r="BT39" s="49"/>
      <c r="BU39" s="50"/>
      <c r="BV39" s="48"/>
      <c r="BW39" s="49"/>
      <c r="BX39" s="49"/>
      <c r="BY39" s="50"/>
      <c r="BZ39" s="48"/>
      <c r="CA39" s="49"/>
      <c r="CB39" s="49"/>
      <c r="CC39" s="50"/>
      <c r="CD39" s="48"/>
      <c r="CE39" s="49"/>
      <c r="CF39" s="49"/>
      <c r="CG39" s="50"/>
      <c r="CH39" s="51"/>
      <c r="CI39" s="52"/>
      <c r="CJ39" s="52"/>
      <c r="CK39" s="53"/>
      <c r="CL39" s="48"/>
      <c r="CM39" s="49"/>
      <c r="CN39" s="49"/>
      <c r="CO39" s="50"/>
      <c r="CP39" s="48"/>
      <c r="CQ39" s="49"/>
      <c r="CR39" s="49"/>
      <c r="CS39" s="50"/>
      <c r="CT39" s="48"/>
      <c r="CU39" s="49"/>
      <c r="CV39" s="49"/>
      <c r="CW39" s="50"/>
      <c r="CX39" s="48"/>
      <c r="CY39" s="49"/>
      <c r="CZ39" s="49"/>
      <c r="DA39" s="50"/>
      <c r="DB39" s="48"/>
      <c r="DC39" s="49"/>
      <c r="DD39" s="49"/>
      <c r="DE39" s="50"/>
      <c r="DF39" s="48"/>
      <c r="DG39" s="49"/>
      <c r="DH39" s="49"/>
      <c r="DI39" s="50"/>
      <c r="DJ39" s="48"/>
      <c r="DK39" s="49"/>
      <c r="DL39" s="49"/>
      <c r="DM39" s="50"/>
      <c r="DN39" s="48"/>
      <c r="DO39" s="49"/>
      <c r="DP39" s="49"/>
      <c r="DQ39" s="50"/>
      <c r="DR39" s="48"/>
      <c r="DS39" s="49"/>
      <c r="DT39" s="49"/>
      <c r="DU39" s="50"/>
      <c r="DV39" s="48"/>
      <c r="DW39" s="49"/>
      <c r="DX39" s="49"/>
      <c r="DY39" s="50"/>
      <c r="DZ39" s="48"/>
      <c r="EA39" s="49"/>
      <c r="EB39" s="49"/>
      <c r="EC39" s="50"/>
      <c r="ED39" s="48"/>
      <c r="EE39" s="49"/>
      <c r="EF39" s="49"/>
      <c r="EG39" s="50"/>
      <c r="EH39" s="48"/>
      <c r="EI39" s="49"/>
      <c r="EJ39" s="49"/>
      <c r="EK39" s="50"/>
      <c r="EL39" s="48"/>
      <c r="EM39" s="49"/>
      <c r="EN39" s="49"/>
      <c r="EO39" s="50"/>
      <c r="EP39" s="48"/>
      <c r="EQ39" s="49"/>
      <c r="ER39" s="49"/>
      <c r="ES39" s="50"/>
      <c r="ET39" s="13">
        <f>SUM(ET19:ET38)</f>
        <v>1440</v>
      </c>
      <c r="EU39" s="13">
        <f>SUM(EU19:EU38)</f>
        <v>645120</v>
      </c>
      <c r="EV39" s="13">
        <f>SUM(EV19:EV20)</f>
        <v>14400</v>
      </c>
      <c r="EW39" s="30"/>
      <c r="EX39" s="30"/>
      <c r="EY39" s="30"/>
    </row>
    <row r="40" spans="1:155" s="43" customFormat="1" ht="29.25" customHeight="1">
      <c r="B40" s="47"/>
      <c r="C40" s="386" t="s">
        <v>43</v>
      </c>
      <c r="D40" s="54"/>
      <c r="E40" s="55"/>
      <c r="F40" s="39"/>
      <c r="G40" s="40"/>
      <c r="H40" s="40"/>
      <c r="I40" s="41"/>
      <c r="J40" s="39"/>
      <c r="K40" s="40"/>
      <c r="L40" s="40"/>
      <c r="M40" s="41"/>
      <c r="N40" s="39"/>
      <c r="O40" s="40"/>
      <c r="P40" s="40"/>
      <c r="Q40" s="41"/>
      <c r="R40" s="39"/>
      <c r="S40" s="40"/>
      <c r="T40" s="40"/>
      <c r="U40" s="41"/>
      <c r="V40" s="39"/>
      <c r="W40" s="40"/>
      <c r="X40" s="40"/>
      <c r="Y40" s="41"/>
      <c r="Z40" s="39"/>
      <c r="AA40" s="40"/>
      <c r="AB40" s="40"/>
      <c r="AC40" s="41"/>
      <c r="AD40" s="39"/>
      <c r="AE40" s="40"/>
      <c r="AF40" s="40"/>
      <c r="AG40" s="41"/>
      <c r="AH40" s="39"/>
      <c r="AI40" s="40"/>
      <c r="AJ40" s="40"/>
      <c r="AK40" s="41"/>
      <c r="AL40" s="39"/>
      <c r="AM40" s="40"/>
      <c r="AN40" s="40"/>
      <c r="AO40" s="41"/>
      <c r="AP40" s="56"/>
      <c r="AQ40" s="57"/>
      <c r="AR40" s="57"/>
      <c r="AS40" s="58"/>
      <c r="AT40" s="56"/>
      <c r="AU40" s="57"/>
      <c r="AV40" s="57"/>
      <c r="AW40" s="58"/>
      <c r="AX40" s="56"/>
      <c r="AY40" s="57"/>
      <c r="AZ40" s="57"/>
      <c r="BA40" s="58"/>
      <c r="BB40" s="56"/>
      <c r="BC40" s="57"/>
      <c r="BD40" s="57"/>
      <c r="BE40" s="58"/>
      <c r="BF40" s="56"/>
      <c r="BG40" s="57"/>
      <c r="BH40" s="57"/>
      <c r="BI40" s="58"/>
      <c r="BJ40" s="56"/>
      <c r="BK40" s="57"/>
      <c r="BL40" s="57"/>
      <c r="BM40" s="58"/>
      <c r="BN40" s="56"/>
      <c r="BO40" s="57"/>
      <c r="BP40" s="57"/>
      <c r="BQ40" s="58"/>
      <c r="BR40" s="56"/>
      <c r="BS40" s="57"/>
      <c r="BT40" s="57"/>
      <c r="BU40" s="58"/>
      <c r="BV40" s="56"/>
      <c r="BW40" s="57"/>
      <c r="BX40" s="57"/>
      <c r="BY40" s="58"/>
      <c r="BZ40" s="56"/>
      <c r="CA40" s="57"/>
      <c r="CB40" s="57"/>
      <c r="CC40" s="58"/>
      <c r="CD40" s="56"/>
      <c r="CE40" s="57"/>
      <c r="CF40" s="57"/>
      <c r="CG40" s="58"/>
      <c r="CH40" s="56"/>
      <c r="CI40" s="57"/>
      <c r="CJ40" s="57"/>
      <c r="CK40" s="58"/>
      <c r="CL40" s="56"/>
      <c r="CM40" s="57"/>
      <c r="CN40" s="57"/>
      <c r="CO40" s="58"/>
      <c r="CP40" s="56"/>
      <c r="CQ40" s="57"/>
      <c r="CR40" s="57"/>
      <c r="CS40" s="58"/>
      <c r="CT40" s="56"/>
      <c r="CU40" s="57"/>
      <c r="CV40" s="57"/>
      <c r="CW40" s="58"/>
      <c r="CX40" s="56"/>
      <c r="CY40" s="57"/>
      <c r="CZ40" s="57"/>
      <c r="DA40" s="58"/>
      <c r="DB40" s="56"/>
      <c r="DC40" s="57"/>
      <c r="DD40" s="57"/>
      <c r="DE40" s="58"/>
      <c r="DF40" s="56"/>
      <c r="DG40" s="57"/>
      <c r="DH40" s="57"/>
      <c r="DI40" s="58"/>
      <c r="DJ40" s="56"/>
      <c r="DK40" s="57"/>
      <c r="DL40" s="57"/>
      <c r="DM40" s="58"/>
      <c r="DN40" s="56"/>
      <c r="DO40" s="57"/>
      <c r="DP40" s="57"/>
      <c r="DQ40" s="58"/>
      <c r="DR40" s="56"/>
      <c r="DS40" s="57"/>
      <c r="DT40" s="57"/>
      <c r="DU40" s="58"/>
      <c r="DV40" s="56"/>
      <c r="DW40" s="57"/>
      <c r="DX40" s="57"/>
      <c r="DY40" s="58"/>
      <c r="DZ40" s="56"/>
      <c r="EA40" s="57"/>
      <c r="EB40" s="57"/>
      <c r="EC40" s="58"/>
      <c r="ED40" s="56"/>
      <c r="EE40" s="57"/>
      <c r="EF40" s="57"/>
      <c r="EG40" s="58"/>
      <c r="EH40" s="56"/>
      <c r="EI40" s="57"/>
      <c r="EJ40" s="57"/>
      <c r="EK40" s="58"/>
      <c r="EL40" s="56"/>
      <c r="EM40" s="57"/>
      <c r="EN40" s="57"/>
      <c r="EO40" s="58"/>
      <c r="EP40" s="56"/>
      <c r="EQ40" s="57"/>
      <c r="ER40" s="57"/>
      <c r="ES40" s="58"/>
      <c r="ET40" s="42"/>
      <c r="EU40" s="12"/>
      <c r="EV40" s="42"/>
      <c r="EW40" s="30"/>
      <c r="EX40" s="30"/>
      <c r="EY40" s="30"/>
    </row>
    <row r="41" spans="1:155" s="43" customFormat="1" ht="29.25" customHeight="1">
      <c r="B41" s="47"/>
      <c r="C41" s="387" t="str">
        <f>+schedule_ARAS!C55</f>
        <v>Car</v>
      </c>
      <c r="D41" s="310" t="s">
        <v>153</v>
      </c>
      <c r="E41" s="329">
        <f>+schedule_ARAS!E55</f>
        <v>2</v>
      </c>
      <c r="F41" s="389"/>
      <c r="G41" s="318"/>
      <c r="H41" s="318"/>
      <c r="I41" s="319"/>
      <c r="J41" s="390"/>
      <c r="K41" s="318"/>
      <c r="L41" s="318"/>
      <c r="M41" s="319"/>
      <c r="N41" s="390"/>
      <c r="O41" s="318"/>
      <c r="P41" s="318"/>
      <c r="Q41" s="319"/>
      <c r="R41" s="390"/>
      <c r="S41" s="318"/>
      <c r="T41" s="318"/>
      <c r="U41" s="319"/>
      <c r="V41" s="443"/>
      <c r="W41" s="444"/>
      <c r="X41" s="444"/>
      <c r="Y41" s="445"/>
      <c r="Z41" s="443"/>
      <c r="AA41" s="444"/>
      <c r="AB41" s="444"/>
      <c r="AC41" s="445"/>
      <c r="AD41" s="443">
        <f>+E41</f>
        <v>2</v>
      </c>
      <c r="AE41" s="444">
        <f>+E41</f>
        <v>2</v>
      </c>
      <c r="AF41" s="444">
        <f>+E41</f>
        <v>2</v>
      </c>
      <c r="AG41" s="445">
        <f>+E41</f>
        <v>2</v>
      </c>
      <c r="AH41" s="443">
        <f>+E41</f>
        <v>2</v>
      </c>
      <c r="AI41" s="444">
        <f>+E41</f>
        <v>2</v>
      </c>
      <c r="AJ41" s="444">
        <f>+E41</f>
        <v>2</v>
      </c>
      <c r="AK41" s="445">
        <f>+E41</f>
        <v>2</v>
      </c>
      <c r="AL41" s="443">
        <f>+E41</f>
        <v>2</v>
      </c>
      <c r="AM41" s="444">
        <f>+E41</f>
        <v>2</v>
      </c>
      <c r="AN41" s="444">
        <f>+E41</f>
        <v>2</v>
      </c>
      <c r="AO41" s="445">
        <f>+E41</f>
        <v>2</v>
      </c>
      <c r="AP41" s="443">
        <f>+E41</f>
        <v>2</v>
      </c>
      <c r="AQ41" s="444">
        <f>+E41</f>
        <v>2</v>
      </c>
      <c r="AR41" s="444">
        <f>+E41</f>
        <v>2</v>
      </c>
      <c r="AS41" s="445">
        <f>+E41</f>
        <v>2</v>
      </c>
      <c r="AT41" s="443">
        <f>+E41</f>
        <v>2</v>
      </c>
      <c r="AU41" s="444">
        <f>+E41</f>
        <v>2</v>
      </c>
      <c r="AV41" s="444">
        <f>+E41</f>
        <v>2</v>
      </c>
      <c r="AW41" s="445">
        <f>+E41</f>
        <v>2</v>
      </c>
      <c r="AX41" s="443">
        <f t="shared" ref="AX41" si="408">+AG41</f>
        <v>2</v>
      </c>
      <c r="AY41" s="444">
        <f t="shared" ref="AY41" si="409">+AG41</f>
        <v>2</v>
      </c>
      <c r="AZ41" s="444">
        <f t="shared" ref="AZ41" si="410">+AG41</f>
        <v>2</v>
      </c>
      <c r="BA41" s="445">
        <f t="shared" ref="BA41" si="411">+AG41</f>
        <v>2</v>
      </c>
      <c r="BB41" s="443">
        <f t="shared" ref="BB41" si="412">+AK41</f>
        <v>2</v>
      </c>
      <c r="BC41" s="444">
        <f t="shared" ref="BC41" si="413">+AK41</f>
        <v>2</v>
      </c>
      <c r="BD41" s="444">
        <f t="shared" ref="BD41" si="414">+AK41</f>
        <v>2</v>
      </c>
      <c r="BE41" s="445">
        <f t="shared" ref="BE41" si="415">+AK41</f>
        <v>2</v>
      </c>
      <c r="BF41" s="443">
        <f t="shared" ref="BF41" si="416">+AO41</f>
        <v>2</v>
      </c>
      <c r="BG41" s="444">
        <f t="shared" ref="BG41" si="417">+AO41</f>
        <v>2</v>
      </c>
      <c r="BH41" s="444">
        <f t="shared" ref="BH41" si="418">+AO41</f>
        <v>2</v>
      </c>
      <c r="BI41" s="445">
        <f t="shared" ref="BI41" si="419">+AO41</f>
        <v>2</v>
      </c>
      <c r="BJ41" s="443">
        <f t="shared" ref="BJ41" si="420">+AS41</f>
        <v>2</v>
      </c>
      <c r="BK41" s="444">
        <f t="shared" ref="BK41" si="421">+AS41</f>
        <v>2</v>
      </c>
      <c r="BL41" s="444">
        <f t="shared" ref="BL41" si="422">+AS41</f>
        <v>2</v>
      </c>
      <c r="BM41" s="445">
        <f t="shared" ref="BM41" si="423">+AS41</f>
        <v>2</v>
      </c>
      <c r="BN41" s="443">
        <f t="shared" ref="BN41" si="424">+AW41</f>
        <v>2</v>
      </c>
      <c r="BO41" s="444">
        <f t="shared" ref="BO41" si="425">+AW41</f>
        <v>2</v>
      </c>
      <c r="BP41" s="444">
        <f t="shared" ref="BP41" si="426">+AW41</f>
        <v>2</v>
      </c>
      <c r="BQ41" s="445">
        <f t="shared" ref="BQ41" si="427">+AW41</f>
        <v>2</v>
      </c>
      <c r="BR41" s="443">
        <f t="shared" ref="BR41" si="428">+BA41</f>
        <v>2</v>
      </c>
      <c r="BS41" s="444">
        <f t="shared" ref="BS41" si="429">+BA41</f>
        <v>2</v>
      </c>
      <c r="BT41" s="444">
        <f t="shared" ref="BT41" si="430">+BA41</f>
        <v>2</v>
      </c>
      <c r="BU41" s="445">
        <f t="shared" ref="BU41" si="431">+BA41</f>
        <v>2</v>
      </c>
      <c r="BV41" s="443">
        <f t="shared" ref="BV41" si="432">+BE41</f>
        <v>2</v>
      </c>
      <c r="BW41" s="444">
        <f t="shared" ref="BW41" si="433">+BE41</f>
        <v>2</v>
      </c>
      <c r="BX41" s="444">
        <f t="shared" ref="BX41" si="434">+BE41</f>
        <v>2</v>
      </c>
      <c r="BY41" s="445">
        <f t="shared" ref="BY41" si="435">+BE41</f>
        <v>2</v>
      </c>
      <c r="BZ41" s="443">
        <f t="shared" ref="BZ41" si="436">+BI41</f>
        <v>2</v>
      </c>
      <c r="CA41" s="444">
        <f t="shared" ref="CA41" si="437">+BI41</f>
        <v>2</v>
      </c>
      <c r="CB41" s="444">
        <f t="shared" ref="CB41" si="438">+BI41</f>
        <v>2</v>
      </c>
      <c r="CC41" s="445">
        <f t="shared" ref="CC41" si="439">+BI41</f>
        <v>2</v>
      </c>
      <c r="CD41" s="443">
        <f t="shared" ref="CD41" si="440">+BM41</f>
        <v>2</v>
      </c>
      <c r="CE41" s="444">
        <f t="shared" ref="CE41" si="441">+BM41</f>
        <v>2</v>
      </c>
      <c r="CF41" s="444">
        <f t="shared" ref="CF41" si="442">+BM41</f>
        <v>2</v>
      </c>
      <c r="CG41" s="445">
        <f t="shared" ref="CG41" si="443">+BM41</f>
        <v>2</v>
      </c>
      <c r="CH41" s="443">
        <f t="shared" ref="CH41" si="444">+BQ41</f>
        <v>2</v>
      </c>
      <c r="CI41" s="444">
        <f t="shared" ref="CI41" si="445">+BQ41</f>
        <v>2</v>
      </c>
      <c r="CJ41" s="444">
        <f t="shared" ref="CJ41" si="446">+BQ41</f>
        <v>2</v>
      </c>
      <c r="CK41" s="445">
        <f t="shared" ref="CK41" si="447">+BQ41</f>
        <v>2</v>
      </c>
      <c r="CL41" s="443">
        <f t="shared" ref="CL41" si="448">+BU41</f>
        <v>2</v>
      </c>
      <c r="CM41" s="444">
        <f t="shared" ref="CM41" si="449">+BU41</f>
        <v>2</v>
      </c>
      <c r="CN41" s="444">
        <f t="shared" ref="CN41" si="450">+BU41</f>
        <v>2</v>
      </c>
      <c r="CO41" s="445">
        <f t="shared" ref="CO41" si="451">+BU41</f>
        <v>2</v>
      </c>
      <c r="CP41" s="443">
        <f t="shared" ref="CP41" si="452">+BY41</f>
        <v>2</v>
      </c>
      <c r="CQ41" s="444">
        <f t="shared" ref="CQ41" si="453">+BY41</f>
        <v>2</v>
      </c>
      <c r="CR41" s="444">
        <f t="shared" ref="CR41" si="454">+BY41</f>
        <v>2</v>
      </c>
      <c r="CS41" s="445">
        <f t="shared" ref="CS41" si="455">+BY41</f>
        <v>2</v>
      </c>
      <c r="CT41" s="443">
        <f t="shared" ref="CT41" si="456">+CC41</f>
        <v>2</v>
      </c>
      <c r="CU41" s="444">
        <f t="shared" ref="CU41" si="457">+CC41</f>
        <v>2</v>
      </c>
      <c r="CV41" s="444">
        <f t="shared" ref="CV41" si="458">+CC41</f>
        <v>2</v>
      </c>
      <c r="CW41" s="445">
        <f t="shared" ref="CW41" si="459">+CC41</f>
        <v>2</v>
      </c>
      <c r="CX41" s="443"/>
      <c r="CY41" s="444"/>
      <c r="CZ41" s="444"/>
      <c r="DA41" s="445"/>
      <c r="DB41" s="443"/>
      <c r="DC41" s="444"/>
      <c r="DD41" s="444"/>
      <c r="DE41" s="445"/>
      <c r="DF41" s="443"/>
      <c r="DG41" s="444"/>
      <c r="DH41" s="444"/>
      <c r="DI41" s="445"/>
      <c r="DJ41" s="443"/>
      <c r="DK41" s="444"/>
      <c r="DL41" s="444"/>
      <c r="DM41" s="445"/>
      <c r="DN41" s="443"/>
      <c r="DO41" s="444"/>
      <c r="DP41" s="444"/>
      <c r="DQ41" s="445"/>
      <c r="DR41" s="443"/>
      <c r="DS41" s="444"/>
      <c r="DT41" s="444"/>
      <c r="DU41" s="445"/>
      <c r="DV41" s="443"/>
      <c r="DW41" s="444"/>
      <c r="DX41" s="444"/>
      <c r="DY41" s="445"/>
      <c r="DZ41" s="443"/>
      <c r="EA41" s="444"/>
      <c r="EB41" s="444"/>
      <c r="EC41" s="445"/>
      <c r="ED41" s="443"/>
      <c r="EE41" s="444"/>
      <c r="EF41" s="444"/>
      <c r="EG41" s="445"/>
      <c r="EH41" s="443"/>
      <c r="EI41" s="444"/>
      <c r="EJ41" s="444"/>
      <c r="EK41" s="445"/>
      <c r="EL41" s="443"/>
      <c r="EM41" s="444"/>
      <c r="EN41" s="444"/>
      <c r="EO41" s="445"/>
      <c r="EP41" s="443"/>
      <c r="EQ41" s="444"/>
      <c r="ER41" s="444"/>
      <c r="ES41" s="445"/>
      <c r="ET41" s="45">
        <f>+schedule_ARAS!EW55</f>
        <v>38</v>
      </c>
      <c r="EU41" s="12">
        <f>+schedule_ARAS!EZ55</f>
        <v>17024</v>
      </c>
      <c r="EV41" s="12">
        <f>+schedule_ARAS!FA55</f>
        <v>9120</v>
      </c>
      <c r="EW41" s="30"/>
      <c r="EX41" s="30"/>
      <c r="EY41" s="30"/>
    </row>
    <row r="42" spans="1:155" s="43" customFormat="1" ht="29.25" customHeight="1">
      <c r="B42" s="47"/>
      <c r="C42" s="387" t="str">
        <f>+schedule_ARAS!C56</f>
        <v>Pick-Up</v>
      </c>
      <c r="D42" s="310" t="s">
        <v>153</v>
      </c>
      <c r="E42" s="329">
        <f>+schedule_ARAS!E56</f>
        <v>2</v>
      </c>
      <c r="F42" s="389"/>
      <c r="G42" s="318"/>
      <c r="H42" s="318"/>
      <c r="I42" s="319"/>
      <c r="J42" s="390"/>
      <c r="K42" s="318"/>
      <c r="L42" s="318"/>
      <c r="M42" s="319"/>
      <c r="N42" s="390"/>
      <c r="O42" s="318"/>
      <c r="P42" s="318"/>
      <c r="Q42" s="319"/>
      <c r="R42" s="390"/>
      <c r="S42" s="318"/>
      <c r="T42" s="318"/>
      <c r="U42" s="319"/>
      <c r="V42" s="443"/>
      <c r="W42" s="444"/>
      <c r="X42" s="444"/>
      <c r="Y42" s="445"/>
      <c r="Z42" s="443"/>
      <c r="AA42" s="444"/>
      <c r="AB42" s="444"/>
      <c r="AC42" s="445"/>
      <c r="AD42" s="443">
        <f t="shared" ref="AD42:AD43" si="460">+E42</f>
        <v>2</v>
      </c>
      <c r="AE42" s="444">
        <f t="shared" ref="AE42:AE43" si="461">+E42</f>
        <v>2</v>
      </c>
      <c r="AF42" s="444">
        <f t="shared" ref="AF42:AF43" si="462">+E42</f>
        <v>2</v>
      </c>
      <c r="AG42" s="445">
        <f t="shared" ref="AG42:AG43" si="463">+E42</f>
        <v>2</v>
      </c>
      <c r="AH42" s="443">
        <f t="shared" ref="AH42:AH43" si="464">+E42</f>
        <v>2</v>
      </c>
      <c r="AI42" s="444">
        <f t="shared" ref="AI42:AI43" si="465">+E42</f>
        <v>2</v>
      </c>
      <c r="AJ42" s="444">
        <f t="shared" ref="AJ42:AJ43" si="466">+E42</f>
        <v>2</v>
      </c>
      <c r="AK42" s="445">
        <f t="shared" ref="AK42:AK43" si="467">+E42</f>
        <v>2</v>
      </c>
      <c r="AL42" s="443">
        <f t="shared" ref="AL42:AL43" si="468">+E42</f>
        <v>2</v>
      </c>
      <c r="AM42" s="444">
        <f t="shared" ref="AM42:AM43" si="469">+E42</f>
        <v>2</v>
      </c>
      <c r="AN42" s="444">
        <f t="shared" ref="AN42:AN43" si="470">+E42</f>
        <v>2</v>
      </c>
      <c r="AO42" s="445">
        <f t="shared" ref="AO42:AO43" si="471">+E42</f>
        <v>2</v>
      </c>
      <c r="AP42" s="443">
        <f t="shared" ref="AP42:AP43" si="472">+E42</f>
        <v>2</v>
      </c>
      <c r="AQ42" s="444">
        <f t="shared" ref="AQ42:AQ43" si="473">+E42</f>
        <v>2</v>
      </c>
      <c r="AR42" s="444">
        <f t="shared" ref="AR42:AR43" si="474">+E42</f>
        <v>2</v>
      </c>
      <c r="AS42" s="445">
        <f t="shared" ref="AS42:AS43" si="475">+E42</f>
        <v>2</v>
      </c>
      <c r="AT42" s="443">
        <f t="shared" ref="AT42:AT43" si="476">+E42</f>
        <v>2</v>
      </c>
      <c r="AU42" s="444">
        <f t="shared" ref="AU42:AU43" si="477">+E42</f>
        <v>2</v>
      </c>
      <c r="AV42" s="444">
        <f t="shared" ref="AV42:AV43" si="478">+E42</f>
        <v>2</v>
      </c>
      <c r="AW42" s="445">
        <f t="shared" ref="AW42:AW43" si="479">+E42</f>
        <v>2</v>
      </c>
      <c r="AX42" s="443">
        <f t="shared" ref="AX42:AX43" si="480">+AG42</f>
        <v>2</v>
      </c>
      <c r="AY42" s="444">
        <f t="shared" ref="AY42:AY43" si="481">+AG42</f>
        <v>2</v>
      </c>
      <c r="AZ42" s="444">
        <f t="shared" ref="AZ42:AZ43" si="482">+AG42</f>
        <v>2</v>
      </c>
      <c r="BA42" s="445">
        <f t="shared" ref="BA42:BA43" si="483">+AG42</f>
        <v>2</v>
      </c>
      <c r="BB42" s="443">
        <f t="shared" ref="BB42:BB43" si="484">+AK42</f>
        <v>2</v>
      </c>
      <c r="BC42" s="444">
        <f t="shared" ref="BC42:BC43" si="485">+AK42</f>
        <v>2</v>
      </c>
      <c r="BD42" s="444">
        <f t="shared" ref="BD42:BD43" si="486">+AK42</f>
        <v>2</v>
      </c>
      <c r="BE42" s="445">
        <f t="shared" ref="BE42:BE43" si="487">+AK42</f>
        <v>2</v>
      </c>
      <c r="BF42" s="443">
        <f t="shared" ref="BF42:BF43" si="488">+AO42</f>
        <v>2</v>
      </c>
      <c r="BG42" s="444">
        <f t="shared" ref="BG42:BG43" si="489">+AO42</f>
        <v>2</v>
      </c>
      <c r="BH42" s="444">
        <f t="shared" ref="BH42:BH43" si="490">+AO42</f>
        <v>2</v>
      </c>
      <c r="BI42" s="445">
        <f t="shared" ref="BI42:BI43" si="491">+AO42</f>
        <v>2</v>
      </c>
      <c r="BJ42" s="443">
        <f t="shared" ref="BJ42:BJ43" si="492">+AS42</f>
        <v>2</v>
      </c>
      <c r="BK42" s="444">
        <f t="shared" ref="BK42:BK43" si="493">+AS42</f>
        <v>2</v>
      </c>
      <c r="BL42" s="444">
        <f t="shared" ref="BL42:BL43" si="494">+AS42</f>
        <v>2</v>
      </c>
      <c r="BM42" s="445">
        <f t="shared" ref="BM42:BM43" si="495">+AS42</f>
        <v>2</v>
      </c>
      <c r="BN42" s="443">
        <f t="shared" ref="BN42:BN43" si="496">+AW42</f>
        <v>2</v>
      </c>
      <c r="BO42" s="444">
        <f t="shared" ref="BO42:BO43" si="497">+AW42</f>
        <v>2</v>
      </c>
      <c r="BP42" s="444">
        <f t="shared" ref="BP42:BP43" si="498">+AW42</f>
        <v>2</v>
      </c>
      <c r="BQ42" s="445">
        <f t="shared" ref="BQ42:BQ43" si="499">+AW42</f>
        <v>2</v>
      </c>
      <c r="BR42" s="443">
        <f t="shared" ref="BR42:BR43" si="500">+BA42</f>
        <v>2</v>
      </c>
      <c r="BS42" s="444">
        <f t="shared" ref="BS42:BS43" si="501">+BA42</f>
        <v>2</v>
      </c>
      <c r="BT42" s="444">
        <f t="shared" ref="BT42:BT43" si="502">+BA42</f>
        <v>2</v>
      </c>
      <c r="BU42" s="445">
        <f t="shared" ref="BU42:BU43" si="503">+BA42</f>
        <v>2</v>
      </c>
      <c r="BV42" s="443">
        <f t="shared" ref="BV42:BV43" si="504">+BE42</f>
        <v>2</v>
      </c>
      <c r="BW42" s="444">
        <f t="shared" ref="BW42:BW43" si="505">+BE42</f>
        <v>2</v>
      </c>
      <c r="BX42" s="444">
        <f t="shared" ref="BX42:BX43" si="506">+BE42</f>
        <v>2</v>
      </c>
      <c r="BY42" s="445">
        <f t="shared" ref="BY42:BY43" si="507">+BE42</f>
        <v>2</v>
      </c>
      <c r="BZ42" s="443">
        <f t="shared" ref="BZ42:BZ43" si="508">+BI42</f>
        <v>2</v>
      </c>
      <c r="CA42" s="444">
        <f t="shared" ref="CA42:CA43" si="509">+BI42</f>
        <v>2</v>
      </c>
      <c r="CB42" s="444">
        <f t="shared" ref="CB42:CB43" si="510">+BI42</f>
        <v>2</v>
      </c>
      <c r="CC42" s="445">
        <f t="shared" ref="CC42:CC43" si="511">+BI42</f>
        <v>2</v>
      </c>
      <c r="CD42" s="443">
        <f t="shared" ref="CD42:CD43" si="512">+BM42</f>
        <v>2</v>
      </c>
      <c r="CE42" s="444">
        <f t="shared" ref="CE42:CE43" si="513">+BM42</f>
        <v>2</v>
      </c>
      <c r="CF42" s="444">
        <f t="shared" ref="CF42:CF43" si="514">+BM42</f>
        <v>2</v>
      </c>
      <c r="CG42" s="445">
        <f t="shared" ref="CG42:CG43" si="515">+BM42</f>
        <v>2</v>
      </c>
      <c r="CH42" s="443">
        <f t="shared" ref="CH42:CH43" si="516">+BQ42</f>
        <v>2</v>
      </c>
      <c r="CI42" s="444">
        <f t="shared" ref="CI42:CI43" si="517">+BQ42</f>
        <v>2</v>
      </c>
      <c r="CJ42" s="444">
        <f t="shared" ref="CJ42:CJ43" si="518">+BQ42</f>
        <v>2</v>
      </c>
      <c r="CK42" s="445">
        <f t="shared" ref="CK42:CK43" si="519">+BQ42</f>
        <v>2</v>
      </c>
      <c r="CL42" s="443">
        <f t="shared" ref="CL42:CL43" si="520">+BU42</f>
        <v>2</v>
      </c>
      <c r="CM42" s="444">
        <f t="shared" ref="CM42:CM43" si="521">+BU42</f>
        <v>2</v>
      </c>
      <c r="CN42" s="444">
        <f t="shared" ref="CN42:CN43" si="522">+BU42</f>
        <v>2</v>
      </c>
      <c r="CO42" s="445">
        <f t="shared" ref="CO42:CO43" si="523">+BU42</f>
        <v>2</v>
      </c>
      <c r="CP42" s="443">
        <f t="shared" ref="CP42:CP43" si="524">+BY42</f>
        <v>2</v>
      </c>
      <c r="CQ42" s="444">
        <f t="shared" ref="CQ42:CQ43" si="525">+BY42</f>
        <v>2</v>
      </c>
      <c r="CR42" s="444">
        <f t="shared" ref="CR42:CR43" si="526">+BY42</f>
        <v>2</v>
      </c>
      <c r="CS42" s="445">
        <f t="shared" ref="CS42:CS43" si="527">+BY42</f>
        <v>2</v>
      </c>
      <c r="CT42" s="443">
        <f t="shared" ref="CT42:CT43" si="528">+CC42</f>
        <v>2</v>
      </c>
      <c r="CU42" s="444">
        <f t="shared" ref="CU42:CU43" si="529">+CC42</f>
        <v>2</v>
      </c>
      <c r="CV42" s="444">
        <f t="shared" ref="CV42:CV43" si="530">+CC42</f>
        <v>2</v>
      </c>
      <c r="CW42" s="445">
        <f t="shared" ref="CW42:CW43" si="531">+CC42</f>
        <v>2</v>
      </c>
      <c r="CX42" s="443"/>
      <c r="CY42" s="444"/>
      <c r="CZ42" s="444"/>
      <c r="DA42" s="445"/>
      <c r="DB42" s="443"/>
      <c r="DC42" s="444"/>
      <c r="DD42" s="444"/>
      <c r="DE42" s="445"/>
      <c r="DF42" s="443"/>
      <c r="DG42" s="444"/>
      <c r="DH42" s="444"/>
      <c r="DI42" s="445"/>
      <c r="DJ42" s="443"/>
      <c r="DK42" s="444"/>
      <c r="DL42" s="444"/>
      <c r="DM42" s="445"/>
      <c r="DN42" s="443"/>
      <c r="DO42" s="444"/>
      <c r="DP42" s="444"/>
      <c r="DQ42" s="445"/>
      <c r="DR42" s="443"/>
      <c r="DS42" s="444"/>
      <c r="DT42" s="444"/>
      <c r="DU42" s="445"/>
      <c r="DV42" s="443"/>
      <c r="DW42" s="444"/>
      <c r="DX42" s="444"/>
      <c r="DY42" s="445"/>
      <c r="DZ42" s="443"/>
      <c r="EA42" s="444"/>
      <c r="EB42" s="444"/>
      <c r="EC42" s="445"/>
      <c r="ED42" s="443"/>
      <c r="EE42" s="444"/>
      <c r="EF42" s="444"/>
      <c r="EG42" s="445"/>
      <c r="EH42" s="443"/>
      <c r="EI42" s="444"/>
      <c r="EJ42" s="444"/>
      <c r="EK42" s="445"/>
      <c r="EL42" s="443"/>
      <c r="EM42" s="444"/>
      <c r="EN42" s="444"/>
      <c r="EO42" s="445"/>
      <c r="EP42" s="443"/>
      <c r="EQ42" s="444"/>
      <c r="ER42" s="444"/>
      <c r="ES42" s="445"/>
      <c r="ET42" s="45">
        <f>+schedule_ARAS!EW56</f>
        <v>38</v>
      </c>
      <c r="EU42" s="12">
        <f>+schedule_ARAS!EZ56</f>
        <v>17024</v>
      </c>
      <c r="EV42" s="12">
        <f>+schedule_ARAS!FA56</f>
        <v>9120</v>
      </c>
      <c r="EW42" s="30"/>
      <c r="EX42" s="30"/>
      <c r="EY42" s="30"/>
    </row>
    <row r="43" spans="1:155" s="43" customFormat="1" ht="29.25" customHeight="1">
      <c r="B43" s="47"/>
      <c r="C43" s="387" t="str">
        <f>+schedule_ARAS!C57</f>
        <v>Mini-bus</v>
      </c>
      <c r="D43" s="310" t="s">
        <v>153</v>
      </c>
      <c r="E43" s="329">
        <f>+schedule_ARAS!E57</f>
        <v>2</v>
      </c>
      <c r="F43" s="389"/>
      <c r="G43" s="318"/>
      <c r="H43" s="318"/>
      <c r="I43" s="319"/>
      <c r="J43" s="390"/>
      <c r="K43" s="318"/>
      <c r="L43" s="318"/>
      <c r="M43" s="319"/>
      <c r="N43" s="390"/>
      <c r="O43" s="318"/>
      <c r="P43" s="318"/>
      <c r="Q43" s="319"/>
      <c r="R43" s="390"/>
      <c r="S43" s="318"/>
      <c r="T43" s="318"/>
      <c r="U43" s="319"/>
      <c r="V43" s="443"/>
      <c r="W43" s="444"/>
      <c r="X43" s="444"/>
      <c r="Y43" s="445"/>
      <c r="Z43" s="443"/>
      <c r="AA43" s="444"/>
      <c r="AB43" s="444"/>
      <c r="AC43" s="445"/>
      <c r="AD43" s="443">
        <f t="shared" si="460"/>
        <v>2</v>
      </c>
      <c r="AE43" s="444">
        <f t="shared" si="461"/>
        <v>2</v>
      </c>
      <c r="AF43" s="444">
        <f t="shared" si="462"/>
        <v>2</v>
      </c>
      <c r="AG43" s="445">
        <f t="shared" si="463"/>
        <v>2</v>
      </c>
      <c r="AH43" s="443">
        <f t="shared" si="464"/>
        <v>2</v>
      </c>
      <c r="AI43" s="444">
        <f t="shared" si="465"/>
        <v>2</v>
      </c>
      <c r="AJ43" s="444">
        <f t="shared" si="466"/>
        <v>2</v>
      </c>
      <c r="AK43" s="445">
        <f t="shared" si="467"/>
        <v>2</v>
      </c>
      <c r="AL43" s="443">
        <f t="shared" si="468"/>
        <v>2</v>
      </c>
      <c r="AM43" s="444">
        <f t="shared" si="469"/>
        <v>2</v>
      </c>
      <c r="AN43" s="444">
        <f t="shared" si="470"/>
        <v>2</v>
      </c>
      <c r="AO43" s="445">
        <f t="shared" si="471"/>
        <v>2</v>
      </c>
      <c r="AP43" s="443">
        <f t="shared" si="472"/>
        <v>2</v>
      </c>
      <c r="AQ43" s="444">
        <f t="shared" si="473"/>
        <v>2</v>
      </c>
      <c r="AR43" s="444">
        <f t="shared" si="474"/>
        <v>2</v>
      </c>
      <c r="AS43" s="445">
        <f t="shared" si="475"/>
        <v>2</v>
      </c>
      <c r="AT43" s="443">
        <f t="shared" si="476"/>
        <v>2</v>
      </c>
      <c r="AU43" s="444">
        <f t="shared" si="477"/>
        <v>2</v>
      </c>
      <c r="AV43" s="444">
        <f t="shared" si="478"/>
        <v>2</v>
      </c>
      <c r="AW43" s="445">
        <f t="shared" si="479"/>
        <v>2</v>
      </c>
      <c r="AX43" s="443">
        <f t="shared" si="480"/>
        <v>2</v>
      </c>
      <c r="AY43" s="444">
        <f t="shared" si="481"/>
        <v>2</v>
      </c>
      <c r="AZ43" s="444">
        <f t="shared" si="482"/>
        <v>2</v>
      </c>
      <c r="BA43" s="445">
        <f t="shared" si="483"/>
        <v>2</v>
      </c>
      <c r="BB43" s="443">
        <f t="shared" si="484"/>
        <v>2</v>
      </c>
      <c r="BC43" s="444">
        <f t="shared" si="485"/>
        <v>2</v>
      </c>
      <c r="BD43" s="444">
        <f t="shared" si="486"/>
        <v>2</v>
      </c>
      <c r="BE43" s="445">
        <f t="shared" si="487"/>
        <v>2</v>
      </c>
      <c r="BF43" s="443">
        <f t="shared" si="488"/>
        <v>2</v>
      </c>
      <c r="BG43" s="444">
        <f t="shared" si="489"/>
        <v>2</v>
      </c>
      <c r="BH43" s="444">
        <f t="shared" si="490"/>
        <v>2</v>
      </c>
      <c r="BI43" s="445">
        <f t="shared" si="491"/>
        <v>2</v>
      </c>
      <c r="BJ43" s="443">
        <f t="shared" si="492"/>
        <v>2</v>
      </c>
      <c r="BK43" s="444">
        <f t="shared" si="493"/>
        <v>2</v>
      </c>
      <c r="BL43" s="444">
        <f t="shared" si="494"/>
        <v>2</v>
      </c>
      <c r="BM43" s="445">
        <f t="shared" si="495"/>
        <v>2</v>
      </c>
      <c r="BN43" s="443">
        <f t="shared" si="496"/>
        <v>2</v>
      </c>
      <c r="BO43" s="444">
        <f t="shared" si="497"/>
        <v>2</v>
      </c>
      <c r="BP43" s="444">
        <f t="shared" si="498"/>
        <v>2</v>
      </c>
      <c r="BQ43" s="445">
        <f t="shared" si="499"/>
        <v>2</v>
      </c>
      <c r="BR43" s="443">
        <f t="shared" si="500"/>
        <v>2</v>
      </c>
      <c r="BS43" s="444">
        <f t="shared" si="501"/>
        <v>2</v>
      </c>
      <c r="BT43" s="444">
        <f t="shared" si="502"/>
        <v>2</v>
      </c>
      <c r="BU43" s="445">
        <f t="shared" si="503"/>
        <v>2</v>
      </c>
      <c r="BV43" s="443">
        <f t="shared" si="504"/>
        <v>2</v>
      </c>
      <c r="BW43" s="444">
        <f t="shared" si="505"/>
        <v>2</v>
      </c>
      <c r="BX43" s="444">
        <f t="shared" si="506"/>
        <v>2</v>
      </c>
      <c r="BY43" s="445">
        <f t="shared" si="507"/>
        <v>2</v>
      </c>
      <c r="BZ43" s="443">
        <f t="shared" si="508"/>
        <v>2</v>
      </c>
      <c r="CA43" s="444">
        <f t="shared" si="509"/>
        <v>2</v>
      </c>
      <c r="CB43" s="444">
        <f t="shared" si="510"/>
        <v>2</v>
      </c>
      <c r="CC43" s="445">
        <f t="shared" si="511"/>
        <v>2</v>
      </c>
      <c r="CD43" s="443">
        <f t="shared" si="512"/>
        <v>2</v>
      </c>
      <c r="CE43" s="444">
        <f t="shared" si="513"/>
        <v>2</v>
      </c>
      <c r="CF43" s="444">
        <f t="shared" si="514"/>
        <v>2</v>
      </c>
      <c r="CG43" s="445">
        <f t="shared" si="515"/>
        <v>2</v>
      </c>
      <c r="CH43" s="443">
        <f t="shared" si="516"/>
        <v>2</v>
      </c>
      <c r="CI43" s="444">
        <f t="shared" si="517"/>
        <v>2</v>
      </c>
      <c r="CJ43" s="444">
        <f t="shared" si="518"/>
        <v>2</v>
      </c>
      <c r="CK43" s="445">
        <f t="shared" si="519"/>
        <v>2</v>
      </c>
      <c r="CL43" s="443">
        <f t="shared" si="520"/>
        <v>2</v>
      </c>
      <c r="CM43" s="444">
        <f t="shared" si="521"/>
        <v>2</v>
      </c>
      <c r="CN43" s="444">
        <f t="shared" si="522"/>
        <v>2</v>
      </c>
      <c r="CO43" s="445">
        <f t="shared" si="523"/>
        <v>2</v>
      </c>
      <c r="CP43" s="443">
        <f t="shared" si="524"/>
        <v>2</v>
      </c>
      <c r="CQ43" s="444">
        <f t="shared" si="525"/>
        <v>2</v>
      </c>
      <c r="CR43" s="444">
        <f t="shared" si="526"/>
        <v>2</v>
      </c>
      <c r="CS43" s="445">
        <f t="shared" si="527"/>
        <v>2</v>
      </c>
      <c r="CT43" s="443">
        <f t="shared" si="528"/>
        <v>2</v>
      </c>
      <c r="CU43" s="444">
        <f t="shared" si="529"/>
        <v>2</v>
      </c>
      <c r="CV43" s="444">
        <f t="shared" si="530"/>
        <v>2</v>
      </c>
      <c r="CW43" s="445">
        <f t="shared" si="531"/>
        <v>2</v>
      </c>
      <c r="CX43" s="443"/>
      <c r="CY43" s="444"/>
      <c r="CZ43" s="444"/>
      <c r="DA43" s="445"/>
      <c r="DB43" s="443"/>
      <c r="DC43" s="444"/>
      <c r="DD43" s="444"/>
      <c r="DE43" s="445"/>
      <c r="DF43" s="443"/>
      <c r="DG43" s="444"/>
      <c r="DH43" s="444"/>
      <c r="DI43" s="445"/>
      <c r="DJ43" s="443"/>
      <c r="DK43" s="444"/>
      <c r="DL43" s="444"/>
      <c r="DM43" s="445"/>
      <c r="DN43" s="443"/>
      <c r="DO43" s="444"/>
      <c r="DP43" s="444"/>
      <c r="DQ43" s="445"/>
      <c r="DR43" s="443"/>
      <c r="DS43" s="444"/>
      <c r="DT43" s="444"/>
      <c r="DU43" s="445"/>
      <c r="DV43" s="443"/>
      <c r="DW43" s="444"/>
      <c r="DX43" s="444"/>
      <c r="DY43" s="445"/>
      <c r="DZ43" s="443"/>
      <c r="EA43" s="444"/>
      <c r="EB43" s="444"/>
      <c r="EC43" s="445"/>
      <c r="ED43" s="443"/>
      <c r="EE43" s="444"/>
      <c r="EF43" s="444"/>
      <c r="EG43" s="445"/>
      <c r="EH43" s="443"/>
      <c r="EI43" s="444"/>
      <c r="EJ43" s="444"/>
      <c r="EK43" s="445"/>
      <c r="EL43" s="443"/>
      <c r="EM43" s="444"/>
      <c r="EN43" s="444"/>
      <c r="EO43" s="445"/>
      <c r="EP43" s="443"/>
      <c r="EQ43" s="444"/>
      <c r="ER43" s="444"/>
      <c r="ES43" s="445"/>
      <c r="ET43" s="45">
        <f>+schedule_ARAS!EW57</f>
        <v>38</v>
      </c>
      <c r="EU43" s="12">
        <f>+schedule_ARAS!EZ57</f>
        <v>17024</v>
      </c>
      <c r="EV43" s="12">
        <f>+schedule_ARAS!FA57</f>
        <v>9120</v>
      </c>
      <c r="EW43" s="30"/>
      <c r="EX43" s="30"/>
      <c r="EY43" s="30"/>
    </row>
    <row r="44" spans="1:155" s="43" customFormat="1" ht="29.25" customHeight="1">
      <c r="B44" s="47"/>
      <c r="C44" s="387"/>
      <c r="D44" s="310"/>
      <c r="E44" s="310"/>
      <c r="F44" s="389"/>
      <c r="G44" s="318"/>
      <c r="H44" s="318"/>
      <c r="I44" s="319"/>
      <c r="J44" s="390"/>
      <c r="K44" s="318"/>
      <c r="L44" s="318"/>
      <c r="M44" s="319"/>
      <c r="N44" s="390"/>
      <c r="O44" s="318"/>
      <c r="P44" s="318"/>
      <c r="Q44" s="319"/>
      <c r="R44" s="390"/>
      <c r="S44" s="318"/>
      <c r="T44" s="318"/>
      <c r="U44" s="319"/>
      <c r="V44" s="390"/>
      <c r="W44" s="318"/>
      <c r="X44" s="318"/>
      <c r="Y44" s="319"/>
      <c r="Z44" s="390"/>
      <c r="AA44" s="318"/>
      <c r="AB44" s="318"/>
      <c r="AC44" s="319"/>
      <c r="AD44" s="390"/>
      <c r="AE44" s="318"/>
      <c r="AF44" s="318"/>
      <c r="AG44" s="319"/>
      <c r="AH44" s="390"/>
      <c r="AI44" s="318"/>
      <c r="AJ44" s="318"/>
      <c r="AK44" s="319"/>
      <c r="AL44" s="390"/>
      <c r="AM44" s="318"/>
      <c r="AN44" s="318"/>
      <c r="AO44" s="319"/>
      <c r="AP44" s="390"/>
      <c r="AQ44" s="318"/>
      <c r="AR44" s="318"/>
      <c r="AS44" s="319"/>
      <c r="AT44" s="390"/>
      <c r="AU44" s="318"/>
      <c r="AV44" s="318"/>
      <c r="AW44" s="319"/>
      <c r="AX44" s="390"/>
      <c r="AY44" s="318"/>
      <c r="AZ44" s="318"/>
      <c r="BA44" s="319"/>
      <c r="BB44" s="390"/>
      <c r="BC44" s="318"/>
      <c r="BD44" s="318"/>
      <c r="BE44" s="319"/>
      <c r="BF44" s="390"/>
      <c r="BG44" s="318"/>
      <c r="BH44" s="318"/>
      <c r="BI44" s="319"/>
      <c r="BJ44" s="390"/>
      <c r="BK44" s="318"/>
      <c r="BL44" s="318"/>
      <c r="BM44" s="319"/>
      <c r="BN44" s="390"/>
      <c r="BO44" s="318"/>
      <c r="BP44" s="318"/>
      <c r="BQ44" s="319"/>
      <c r="BR44" s="390"/>
      <c r="BS44" s="318"/>
      <c r="BT44" s="318"/>
      <c r="BU44" s="319"/>
      <c r="BV44" s="390"/>
      <c r="BW44" s="318"/>
      <c r="BX44" s="318"/>
      <c r="BY44" s="319"/>
      <c r="BZ44" s="390"/>
      <c r="CA44" s="318"/>
      <c r="CB44" s="318"/>
      <c r="CC44" s="319"/>
      <c r="CD44" s="390"/>
      <c r="CE44" s="318"/>
      <c r="CF44" s="318"/>
      <c r="CG44" s="319"/>
      <c r="CH44" s="390"/>
      <c r="CI44" s="318"/>
      <c r="CJ44" s="318"/>
      <c r="CK44" s="319"/>
      <c r="CL44" s="390"/>
      <c r="CM44" s="318"/>
      <c r="CN44" s="318"/>
      <c r="CO44" s="319"/>
      <c r="CP44" s="390"/>
      <c r="CQ44" s="318"/>
      <c r="CR44" s="318"/>
      <c r="CS44" s="319"/>
      <c r="CT44" s="390"/>
      <c r="CU44" s="318"/>
      <c r="CV44" s="318"/>
      <c r="CW44" s="319"/>
      <c r="CX44" s="390"/>
      <c r="CY44" s="318"/>
      <c r="CZ44" s="318"/>
      <c r="DA44" s="319"/>
      <c r="DB44" s="390"/>
      <c r="DC44" s="318"/>
      <c r="DD44" s="318"/>
      <c r="DE44" s="319"/>
      <c r="DF44" s="390"/>
      <c r="DG44" s="318"/>
      <c r="DH44" s="318"/>
      <c r="DI44" s="319"/>
      <c r="DJ44" s="390"/>
      <c r="DK44" s="318"/>
      <c r="DL44" s="318"/>
      <c r="DM44" s="319"/>
      <c r="DN44" s="390"/>
      <c r="DO44" s="318"/>
      <c r="DP44" s="318"/>
      <c r="DQ44" s="319"/>
      <c r="DR44" s="390"/>
      <c r="DS44" s="318"/>
      <c r="DT44" s="318"/>
      <c r="DU44" s="319"/>
      <c r="DV44" s="390"/>
      <c r="DW44" s="318"/>
      <c r="DX44" s="318"/>
      <c r="DY44" s="319"/>
      <c r="DZ44" s="390"/>
      <c r="EA44" s="318"/>
      <c r="EB44" s="318"/>
      <c r="EC44" s="319"/>
      <c r="ED44" s="390"/>
      <c r="EE44" s="318"/>
      <c r="EF44" s="318"/>
      <c r="EG44" s="319"/>
      <c r="EH44" s="390"/>
      <c r="EI44" s="318"/>
      <c r="EJ44" s="318"/>
      <c r="EK44" s="319"/>
      <c r="EL44" s="390"/>
      <c r="EM44" s="318"/>
      <c r="EN44" s="318"/>
      <c r="EO44" s="319"/>
      <c r="EP44" s="390"/>
      <c r="EQ44" s="318"/>
      <c r="ER44" s="318"/>
      <c r="ES44" s="319"/>
      <c r="ET44" s="45">
        <f t="shared" ref="ET44:ET56" si="532">SUM(F44:DA44)/4</f>
        <v>0</v>
      </c>
      <c r="EU44" s="12"/>
      <c r="EV44" s="12"/>
      <c r="EW44" s="30"/>
      <c r="EX44" s="30"/>
      <c r="EY44" s="30"/>
    </row>
    <row r="45" spans="1:155" s="43" customFormat="1" ht="29.25" customHeight="1">
      <c r="B45" s="47"/>
      <c r="C45" s="387"/>
      <c r="D45" s="310"/>
      <c r="E45" s="310"/>
      <c r="F45" s="389"/>
      <c r="G45" s="318"/>
      <c r="H45" s="318"/>
      <c r="I45" s="319"/>
      <c r="J45" s="390"/>
      <c r="K45" s="318"/>
      <c r="L45" s="318"/>
      <c r="M45" s="319"/>
      <c r="N45" s="390"/>
      <c r="O45" s="318"/>
      <c r="P45" s="318"/>
      <c r="Q45" s="319"/>
      <c r="R45" s="390"/>
      <c r="S45" s="318"/>
      <c r="T45" s="318"/>
      <c r="U45" s="319"/>
      <c r="V45" s="390"/>
      <c r="W45" s="318"/>
      <c r="X45" s="318"/>
      <c r="Y45" s="319"/>
      <c r="Z45" s="390"/>
      <c r="AA45" s="318"/>
      <c r="AB45" s="318"/>
      <c r="AC45" s="319"/>
      <c r="AD45" s="390"/>
      <c r="AE45" s="318"/>
      <c r="AF45" s="318"/>
      <c r="AG45" s="319"/>
      <c r="AH45" s="390"/>
      <c r="AI45" s="318"/>
      <c r="AJ45" s="318"/>
      <c r="AK45" s="319"/>
      <c r="AL45" s="390"/>
      <c r="AM45" s="318"/>
      <c r="AN45" s="318"/>
      <c r="AO45" s="319"/>
      <c r="AP45" s="390"/>
      <c r="AQ45" s="318"/>
      <c r="AR45" s="318"/>
      <c r="AS45" s="319"/>
      <c r="AT45" s="390"/>
      <c r="AU45" s="318"/>
      <c r="AV45" s="318"/>
      <c r="AW45" s="319"/>
      <c r="AX45" s="390"/>
      <c r="AY45" s="318"/>
      <c r="AZ45" s="318"/>
      <c r="BA45" s="319"/>
      <c r="BB45" s="390"/>
      <c r="BC45" s="318"/>
      <c r="BD45" s="318"/>
      <c r="BE45" s="319"/>
      <c r="BF45" s="390"/>
      <c r="BG45" s="318"/>
      <c r="BH45" s="318"/>
      <c r="BI45" s="319"/>
      <c r="BJ45" s="390"/>
      <c r="BK45" s="318"/>
      <c r="BL45" s="318"/>
      <c r="BM45" s="319"/>
      <c r="BN45" s="390"/>
      <c r="BO45" s="318"/>
      <c r="BP45" s="318"/>
      <c r="BQ45" s="319"/>
      <c r="BR45" s="390"/>
      <c r="BS45" s="318"/>
      <c r="BT45" s="318"/>
      <c r="BU45" s="319"/>
      <c r="BV45" s="390"/>
      <c r="BW45" s="318"/>
      <c r="BX45" s="318"/>
      <c r="BY45" s="319"/>
      <c r="BZ45" s="390"/>
      <c r="CA45" s="318"/>
      <c r="CB45" s="318"/>
      <c r="CC45" s="319"/>
      <c r="CD45" s="390"/>
      <c r="CE45" s="318"/>
      <c r="CF45" s="318"/>
      <c r="CG45" s="319"/>
      <c r="CH45" s="390"/>
      <c r="CI45" s="318"/>
      <c r="CJ45" s="318"/>
      <c r="CK45" s="319"/>
      <c r="CL45" s="390"/>
      <c r="CM45" s="318"/>
      <c r="CN45" s="318"/>
      <c r="CO45" s="319"/>
      <c r="CP45" s="390"/>
      <c r="CQ45" s="318"/>
      <c r="CR45" s="318"/>
      <c r="CS45" s="319"/>
      <c r="CT45" s="390"/>
      <c r="CU45" s="318"/>
      <c r="CV45" s="318"/>
      <c r="CW45" s="319"/>
      <c r="CX45" s="390"/>
      <c r="CY45" s="318"/>
      <c r="CZ45" s="318"/>
      <c r="DA45" s="319"/>
      <c r="DB45" s="390"/>
      <c r="DC45" s="318"/>
      <c r="DD45" s="318"/>
      <c r="DE45" s="319"/>
      <c r="DF45" s="390"/>
      <c r="DG45" s="318"/>
      <c r="DH45" s="318"/>
      <c r="DI45" s="319"/>
      <c r="DJ45" s="390"/>
      <c r="DK45" s="318"/>
      <c r="DL45" s="318"/>
      <c r="DM45" s="319"/>
      <c r="DN45" s="390"/>
      <c r="DO45" s="318"/>
      <c r="DP45" s="318"/>
      <c r="DQ45" s="319"/>
      <c r="DR45" s="390"/>
      <c r="DS45" s="318"/>
      <c r="DT45" s="318"/>
      <c r="DU45" s="319"/>
      <c r="DV45" s="390"/>
      <c r="DW45" s="318"/>
      <c r="DX45" s="318"/>
      <c r="DY45" s="319"/>
      <c r="DZ45" s="390"/>
      <c r="EA45" s="318"/>
      <c r="EB45" s="318"/>
      <c r="EC45" s="319"/>
      <c r="ED45" s="390"/>
      <c r="EE45" s="318"/>
      <c r="EF45" s="318"/>
      <c r="EG45" s="319"/>
      <c r="EH45" s="390"/>
      <c r="EI45" s="318"/>
      <c r="EJ45" s="318"/>
      <c r="EK45" s="319"/>
      <c r="EL45" s="390"/>
      <c r="EM45" s="318"/>
      <c r="EN45" s="318"/>
      <c r="EO45" s="319"/>
      <c r="EP45" s="390"/>
      <c r="EQ45" s="318"/>
      <c r="ER45" s="318"/>
      <c r="ES45" s="319"/>
      <c r="ET45" s="45">
        <f t="shared" si="532"/>
        <v>0</v>
      </c>
      <c r="EU45" s="12"/>
      <c r="EV45" s="12"/>
      <c r="EW45" s="30"/>
      <c r="EX45" s="30"/>
      <c r="EY45" s="30"/>
    </row>
    <row r="46" spans="1:155" s="43" customFormat="1" ht="29.25" customHeight="1">
      <c r="B46" s="47"/>
      <c r="C46" s="387"/>
      <c r="D46" s="310"/>
      <c r="E46" s="310"/>
      <c r="F46" s="389"/>
      <c r="G46" s="318"/>
      <c r="H46" s="318"/>
      <c r="I46" s="319"/>
      <c r="J46" s="390"/>
      <c r="K46" s="318"/>
      <c r="L46" s="318"/>
      <c r="M46" s="319"/>
      <c r="N46" s="390"/>
      <c r="O46" s="318"/>
      <c r="P46" s="318"/>
      <c r="Q46" s="319"/>
      <c r="R46" s="390"/>
      <c r="S46" s="318"/>
      <c r="T46" s="318"/>
      <c r="U46" s="319"/>
      <c r="V46" s="390"/>
      <c r="W46" s="318"/>
      <c r="X46" s="318"/>
      <c r="Y46" s="319"/>
      <c r="Z46" s="390"/>
      <c r="AA46" s="318"/>
      <c r="AB46" s="318"/>
      <c r="AC46" s="319"/>
      <c r="AD46" s="390"/>
      <c r="AE46" s="318"/>
      <c r="AF46" s="318"/>
      <c r="AG46" s="319"/>
      <c r="AH46" s="390"/>
      <c r="AI46" s="318"/>
      <c r="AJ46" s="318"/>
      <c r="AK46" s="319"/>
      <c r="AL46" s="390"/>
      <c r="AM46" s="318"/>
      <c r="AN46" s="318"/>
      <c r="AO46" s="319"/>
      <c r="AP46" s="390"/>
      <c r="AQ46" s="318"/>
      <c r="AR46" s="318"/>
      <c r="AS46" s="319"/>
      <c r="AT46" s="390"/>
      <c r="AU46" s="318"/>
      <c r="AV46" s="318"/>
      <c r="AW46" s="319"/>
      <c r="AX46" s="390"/>
      <c r="AY46" s="318"/>
      <c r="AZ46" s="318"/>
      <c r="BA46" s="319"/>
      <c r="BB46" s="390"/>
      <c r="BC46" s="318"/>
      <c r="BD46" s="318"/>
      <c r="BE46" s="319"/>
      <c r="BF46" s="390"/>
      <c r="BG46" s="318"/>
      <c r="BH46" s="318"/>
      <c r="BI46" s="319"/>
      <c r="BJ46" s="390"/>
      <c r="BK46" s="318"/>
      <c r="BL46" s="318"/>
      <c r="BM46" s="319"/>
      <c r="BN46" s="390"/>
      <c r="BO46" s="318"/>
      <c r="BP46" s="318"/>
      <c r="BQ46" s="319"/>
      <c r="BR46" s="390"/>
      <c r="BS46" s="318"/>
      <c r="BT46" s="318"/>
      <c r="BU46" s="319"/>
      <c r="BV46" s="390"/>
      <c r="BW46" s="318"/>
      <c r="BX46" s="318"/>
      <c r="BY46" s="319"/>
      <c r="BZ46" s="390"/>
      <c r="CA46" s="318"/>
      <c r="CB46" s="318"/>
      <c r="CC46" s="319"/>
      <c r="CD46" s="390"/>
      <c r="CE46" s="318"/>
      <c r="CF46" s="318"/>
      <c r="CG46" s="319"/>
      <c r="CH46" s="390"/>
      <c r="CI46" s="318"/>
      <c r="CJ46" s="318"/>
      <c r="CK46" s="319"/>
      <c r="CL46" s="390"/>
      <c r="CM46" s="318"/>
      <c r="CN46" s="318"/>
      <c r="CO46" s="319"/>
      <c r="CP46" s="390"/>
      <c r="CQ46" s="318"/>
      <c r="CR46" s="318"/>
      <c r="CS46" s="319"/>
      <c r="CT46" s="390"/>
      <c r="CU46" s="318"/>
      <c r="CV46" s="318"/>
      <c r="CW46" s="319"/>
      <c r="CX46" s="390"/>
      <c r="CY46" s="318"/>
      <c r="CZ46" s="318"/>
      <c r="DA46" s="319"/>
      <c r="DB46" s="390"/>
      <c r="DC46" s="318"/>
      <c r="DD46" s="318"/>
      <c r="DE46" s="319"/>
      <c r="DF46" s="390"/>
      <c r="DG46" s="318"/>
      <c r="DH46" s="318"/>
      <c r="DI46" s="319"/>
      <c r="DJ46" s="390"/>
      <c r="DK46" s="318"/>
      <c r="DL46" s="318"/>
      <c r="DM46" s="319"/>
      <c r="DN46" s="390"/>
      <c r="DO46" s="318"/>
      <c r="DP46" s="318"/>
      <c r="DQ46" s="319"/>
      <c r="DR46" s="390"/>
      <c r="DS46" s="318"/>
      <c r="DT46" s="318"/>
      <c r="DU46" s="319"/>
      <c r="DV46" s="390"/>
      <c r="DW46" s="318"/>
      <c r="DX46" s="318"/>
      <c r="DY46" s="319"/>
      <c r="DZ46" s="390"/>
      <c r="EA46" s="318"/>
      <c r="EB46" s="318"/>
      <c r="EC46" s="319"/>
      <c r="ED46" s="390"/>
      <c r="EE46" s="318"/>
      <c r="EF46" s="318"/>
      <c r="EG46" s="319"/>
      <c r="EH46" s="390"/>
      <c r="EI46" s="318"/>
      <c r="EJ46" s="318"/>
      <c r="EK46" s="319"/>
      <c r="EL46" s="390"/>
      <c r="EM46" s="318"/>
      <c r="EN46" s="318"/>
      <c r="EO46" s="319"/>
      <c r="EP46" s="390"/>
      <c r="EQ46" s="318"/>
      <c r="ER46" s="318"/>
      <c r="ES46" s="319"/>
      <c r="ET46" s="45">
        <f t="shared" si="532"/>
        <v>0</v>
      </c>
      <c r="EU46" s="12"/>
      <c r="EV46" s="12"/>
      <c r="EW46" s="30"/>
      <c r="EX46" s="30"/>
      <c r="EY46" s="30"/>
    </row>
    <row r="47" spans="1:155" s="43" customFormat="1" ht="29.25" customHeight="1">
      <c r="B47" s="47"/>
      <c r="C47" s="387">
        <f>+schedule_ARAS!C58</f>
        <v>0</v>
      </c>
      <c r="D47" s="310">
        <f>+schedule_ARAS!D58</f>
        <v>0</v>
      </c>
      <c r="E47" s="310"/>
      <c r="F47" s="389"/>
      <c r="G47" s="318"/>
      <c r="H47" s="318"/>
      <c r="I47" s="319"/>
      <c r="J47" s="390"/>
      <c r="K47" s="318"/>
      <c r="L47" s="318"/>
      <c r="M47" s="319"/>
      <c r="N47" s="390"/>
      <c r="O47" s="318"/>
      <c r="P47" s="318"/>
      <c r="Q47" s="319"/>
      <c r="R47" s="390"/>
      <c r="S47" s="318"/>
      <c r="T47" s="318"/>
      <c r="U47" s="319"/>
      <c r="V47" s="390"/>
      <c r="W47" s="318"/>
      <c r="X47" s="318"/>
      <c r="Y47" s="319"/>
      <c r="Z47" s="390"/>
      <c r="AA47" s="318"/>
      <c r="AB47" s="318"/>
      <c r="AC47" s="319"/>
      <c r="AD47" s="390"/>
      <c r="AE47" s="318"/>
      <c r="AF47" s="318"/>
      <c r="AG47" s="319"/>
      <c r="AH47" s="390"/>
      <c r="AI47" s="318"/>
      <c r="AJ47" s="318"/>
      <c r="AK47" s="319"/>
      <c r="AL47" s="390"/>
      <c r="AM47" s="318"/>
      <c r="AN47" s="318"/>
      <c r="AO47" s="319"/>
      <c r="AP47" s="390"/>
      <c r="AQ47" s="318"/>
      <c r="AR47" s="318"/>
      <c r="AS47" s="319"/>
      <c r="AT47" s="390"/>
      <c r="AU47" s="318"/>
      <c r="AV47" s="318"/>
      <c r="AW47" s="319"/>
      <c r="AX47" s="390"/>
      <c r="AY47" s="318"/>
      <c r="AZ47" s="318"/>
      <c r="BA47" s="319"/>
      <c r="BB47" s="390"/>
      <c r="BC47" s="318"/>
      <c r="BD47" s="318"/>
      <c r="BE47" s="319"/>
      <c r="BF47" s="390"/>
      <c r="BG47" s="318"/>
      <c r="BH47" s="318"/>
      <c r="BI47" s="319"/>
      <c r="BJ47" s="390"/>
      <c r="BK47" s="318"/>
      <c r="BL47" s="318"/>
      <c r="BM47" s="319"/>
      <c r="BN47" s="390"/>
      <c r="BO47" s="318"/>
      <c r="BP47" s="318"/>
      <c r="BQ47" s="319"/>
      <c r="BR47" s="390"/>
      <c r="BS47" s="318"/>
      <c r="BT47" s="318"/>
      <c r="BU47" s="319"/>
      <c r="BV47" s="390"/>
      <c r="BW47" s="318"/>
      <c r="BX47" s="318"/>
      <c r="BY47" s="319"/>
      <c r="BZ47" s="390"/>
      <c r="CA47" s="318"/>
      <c r="CB47" s="318"/>
      <c r="CC47" s="319"/>
      <c r="CD47" s="390"/>
      <c r="CE47" s="318"/>
      <c r="CF47" s="318"/>
      <c r="CG47" s="319"/>
      <c r="CH47" s="390"/>
      <c r="CI47" s="318"/>
      <c r="CJ47" s="318"/>
      <c r="CK47" s="319"/>
      <c r="CL47" s="390"/>
      <c r="CM47" s="318"/>
      <c r="CN47" s="318"/>
      <c r="CO47" s="319"/>
      <c r="CP47" s="390"/>
      <c r="CQ47" s="318"/>
      <c r="CR47" s="318"/>
      <c r="CS47" s="319"/>
      <c r="CT47" s="390"/>
      <c r="CU47" s="318"/>
      <c r="CV47" s="318"/>
      <c r="CW47" s="319"/>
      <c r="CX47" s="390"/>
      <c r="CY47" s="318"/>
      <c r="CZ47" s="318"/>
      <c r="DA47" s="319"/>
      <c r="DB47" s="390"/>
      <c r="DC47" s="318"/>
      <c r="DD47" s="318"/>
      <c r="DE47" s="319"/>
      <c r="DF47" s="390"/>
      <c r="DG47" s="318"/>
      <c r="DH47" s="318"/>
      <c r="DI47" s="319"/>
      <c r="DJ47" s="390"/>
      <c r="DK47" s="318"/>
      <c r="DL47" s="318"/>
      <c r="DM47" s="319"/>
      <c r="DN47" s="390"/>
      <c r="DO47" s="318"/>
      <c r="DP47" s="318"/>
      <c r="DQ47" s="319"/>
      <c r="DR47" s="390"/>
      <c r="DS47" s="318"/>
      <c r="DT47" s="318"/>
      <c r="DU47" s="319"/>
      <c r="DV47" s="390"/>
      <c r="DW47" s="318"/>
      <c r="DX47" s="318"/>
      <c r="DY47" s="319"/>
      <c r="DZ47" s="390"/>
      <c r="EA47" s="318"/>
      <c r="EB47" s="318"/>
      <c r="EC47" s="319"/>
      <c r="ED47" s="390"/>
      <c r="EE47" s="318"/>
      <c r="EF47" s="318"/>
      <c r="EG47" s="319"/>
      <c r="EH47" s="390"/>
      <c r="EI47" s="318"/>
      <c r="EJ47" s="318"/>
      <c r="EK47" s="319"/>
      <c r="EL47" s="390"/>
      <c r="EM47" s="318"/>
      <c r="EN47" s="318"/>
      <c r="EO47" s="319"/>
      <c r="EP47" s="390"/>
      <c r="EQ47" s="318"/>
      <c r="ER47" s="318"/>
      <c r="ES47" s="319"/>
      <c r="ET47" s="45">
        <f t="shared" ref="ET47" si="533">SUM(F47:DA47)/4</f>
        <v>0</v>
      </c>
      <c r="EU47" s="12">
        <f>+schedule_ARAS!EZ58</f>
        <v>0</v>
      </c>
      <c r="EV47" s="12">
        <f>+schedule_ARAS!FA58</f>
        <v>0</v>
      </c>
      <c r="EW47" s="30"/>
      <c r="EX47" s="30"/>
      <c r="EY47" s="30"/>
    </row>
    <row r="48" spans="1:155" s="43" customFormat="1" ht="29.25" customHeight="1">
      <c r="B48" s="47"/>
      <c r="C48" s="387"/>
      <c r="D48" s="310"/>
      <c r="E48" s="310"/>
      <c r="F48" s="389"/>
      <c r="G48" s="318"/>
      <c r="H48" s="318"/>
      <c r="I48" s="319"/>
      <c r="J48" s="390"/>
      <c r="K48" s="318"/>
      <c r="L48" s="318"/>
      <c r="M48" s="319"/>
      <c r="N48" s="390"/>
      <c r="O48" s="318"/>
      <c r="P48" s="318"/>
      <c r="Q48" s="319"/>
      <c r="R48" s="390"/>
      <c r="S48" s="318"/>
      <c r="T48" s="318"/>
      <c r="U48" s="319"/>
      <c r="V48" s="390"/>
      <c r="W48" s="318"/>
      <c r="X48" s="318"/>
      <c r="Y48" s="319"/>
      <c r="Z48" s="390"/>
      <c r="AA48" s="318"/>
      <c r="AB48" s="318"/>
      <c r="AC48" s="319"/>
      <c r="AD48" s="390"/>
      <c r="AE48" s="318"/>
      <c r="AF48" s="318"/>
      <c r="AG48" s="319"/>
      <c r="AH48" s="390"/>
      <c r="AI48" s="318"/>
      <c r="AJ48" s="318"/>
      <c r="AK48" s="319"/>
      <c r="AL48" s="390"/>
      <c r="AM48" s="318"/>
      <c r="AN48" s="318"/>
      <c r="AO48" s="319"/>
      <c r="AP48" s="390"/>
      <c r="AQ48" s="318"/>
      <c r="AR48" s="318"/>
      <c r="AS48" s="319"/>
      <c r="AT48" s="390"/>
      <c r="AU48" s="318"/>
      <c r="AV48" s="318"/>
      <c r="AW48" s="319"/>
      <c r="AX48" s="390"/>
      <c r="AY48" s="318"/>
      <c r="AZ48" s="318"/>
      <c r="BA48" s="319"/>
      <c r="BB48" s="390"/>
      <c r="BC48" s="318"/>
      <c r="BD48" s="318"/>
      <c r="BE48" s="319"/>
      <c r="BF48" s="390"/>
      <c r="BG48" s="318"/>
      <c r="BH48" s="318"/>
      <c r="BI48" s="319"/>
      <c r="BJ48" s="390"/>
      <c r="BK48" s="318"/>
      <c r="BL48" s="318"/>
      <c r="BM48" s="319"/>
      <c r="BN48" s="390"/>
      <c r="BO48" s="318"/>
      <c r="BP48" s="318"/>
      <c r="BQ48" s="319"/>
      <c r="BR48" s="390"/>
      <c r="BS48" s="318"/>
      <c r="BT48" s="318"/>
      <c r="BU48" s="319"/>
      <c r="BV48" s="390"/>
      <c r="BW48" s="318"/>
      <c r="BX48" s="318"/>
      <c r="BY48" s="319"/>
      <c r="BZ48" s="390"/>
      <c r="CA48" s="318"/>
      <c r="CB48" s="318"/>
      <c r="CC48" s="319"/>
      <c r="CD48" s="390"/>
      <c r="CE48" s="318"/>
      <c r="CF48" s="318"/>
      <c r="CG48" s="319"/>
      <c r="CH48" s="390"/>
      <c r="CI48" s="318"/>
      <c r="CJ48" s="318"/>
      <c r="CK48" s="319"/>
      <c r="CL48" s="390"/>
      <c r="CM48" s="318"/>
      <c r="CN48" s="318"/>
      <c r="CO48" s="319"/>
      <c r="CP48" s="390"/>
      <c r="CQ48" s="318"/>
      <c r="CR48" s="318"/>
      <c r="CS48" s="319"/>
      <c r="CT48" s="390"/>
      <c r="CU48" s="318"/>
      <c r="CV48" s="318"/>
      <c r="CW48" s="319"/>
      <c r="CX48" s="390"/>
      <c r="CY48" s="318"/>
      <c r="CZ48" s="318"/>
      <c r="DA48" s="319"/>
      <c r="DB48" s="390"/>
      <c r="DC48" s="318"/>
      <c r="DD48" s="318"/>
      <c r="DE48" s="319"/>
      <c r="DF48" s="390"/>
      <c r="DG48" s="318"/>
      <c r="DH48" s="318"/>
      <c r="DI48" s="319"/>
      <c r="DJ48" s="390"/>
      <c r="DK48" s="318"/>
      <c r="DL48" s="318"/>
      <c r="DM48" s="319"/>
      <c r="DN48" s="390"/>
      <c r="DO48" s="318"/>
      <c r="DP48" s="318"/>
      <c r="DQ48" s="319"/>
      <c r="DR48" s="390"/>
      <c r="DS48" s="318"/>
      <c r="DT48" s="318"/>
      <c r="DU48" s="319"/>
      <c r="DV48" s="390"/>
      <c r="DW48" s="318"/>
      <c r="DX48" s="318"/>
      <c r="DY48" s="319"/>
      <c r="DZ48" s="390"/>
      <c r="EA48" s="318"/>
      <c r="EB48" s="318"/>
      <c r="EC48" s="319"/>
      <c r="ED48" s="390"/>
      <c r="EE48" s="318"/>
      <c r="EF48" s="318"/>
      <c r="EG48" s="319"/>
      <c r="EH48" s="390"/>
      <c r="EI48" s="318"/>
      <c r="EJ48" s="318"/>
      <c r="EK48" s="319"/>
      <c r="EL48" s="390"/>
      <c r="EM48" s="318"/>
      <c r="EN48" s="318"/>
      <c r="EO48" s="319"/>
      <c r="EP48" s="390"/>
      <c r="EQ48" s="318"/>
      <c r="ER48" s="318"/>
      <c r="ES48" s="319"/>
      <c r="ET48" s="45"/>
      <c r="EU48" s="12"/>
      <c r="EV48" s="12"/>
      <c r="EW48" s="30"/>
      <c r="EX48" s="30"/>
      <c r="EY48" s="30"/>
    </row>
    <row r="49" spans="2:155" s="43" customFormat="1" ht="29.25" customHeight="1">
      <c r="B49" s="47"/>
      <c r="C49" s="387"/>
      <c r="D49" s="310"/>
      <c r="E49" s="310"/>
      <c r="F49" s="389"/>
      <c r="G49" s="318"/>
      <c r="H49" s="318"/>
      <c r="I49" s="319"/>
      <c r="J49" s="390"/>
      <c r="K49" s="318"/>
      <c r="L49" s="318"/>
      <c r="M49" s="319"/>
      <c r="N49" s="390"/>
      <c r="O49" s="318"/>
      <c r="P49" s="318"/>
      <c r="Q49" s="319"/>
      <c r="R49" s="390"/>
      <c r="S49" s="318"/>
      <c r="T49" s="318"/>
      <c r="U49" s="319"/>
      <c r="V49" s="390"/>
      <c r="W49" s="318"/>
      <c r="X49" s="318"/>
      <c r="Y49" s="319"/>
      <c r="Z49" s="390"/>
      <c r="AA49" s="318"/>
      <c r="AB49" s="318"/>
      <c r="AC49" s="319"/>
      <c r="AD49" s="390"/>
      <c r="AE49" s="318"/>
      <c r="AF49" s="318"/>
      <c r="AG49" s="319"/>
      <c r="AH49" s="390"/>
      <c r="AI49" s="318"/>
      <c r="AJ49" s="318"/>
      <c r="AK49" s="319"/>
      <c r="AL49" s="390"/>
      <c r="AM49" s="318"/>
      <c r="AN49" s="318"/>
      <c r="AO49" s="319"/>
      <c r="AP49" s="390"/>
      <c r="AQ49" s="318"/>
      <c r="AR49" s="318"/>
      <c r="AS49" s="319"/>
      <c r="AT49" s="390"/>
      <c r="AU49" s="318"/>
      <c r="AV49" s="318"/>
      <c r="AW49" s="319"/>
      <c r="AX49" s="390"/>
      <c r="AY49" s="318"/>
      <c r="AZ49" s="318"/>
      <c r="BA49" s="319"/>
      <c r="BB49" s="390"/>
      <c r="BC49" s="318"/>
      <c r="BD49" s="318"/>
      <c r="BE49" s="319"/>
      <c r="BF49" s="390"/>
      <c r="BG49" s="318"/>
      <c r="BH49" s="318"/>
      <c r="BI49" s="319"/>
      <c r="BJ49" s="390"/>
      <c r="BK49" s="318"/>
      <c r="BL49" s="318"/>
      <c r="BM49" s="319"/>
      <c r="BN49" s="390"/>
      <c r="BO49" s="318"/>
      <c r="BP49" s="318"/>
      <c r="BQ49" s="319"/>
      <c r="BR49" s="390"/>
      <c r="BS49" s="318"/>
      <c r="BT49" s="318"/>
      <c r="BU49" s="319"/>
      <c r="BV49" s="390"/>
      <c r="BW49" s="318"/>
      <c r="BX49" s="318"/>
      <c r="BY49" s="319"/>
      <c r="BZ49" s="390"/>
      <c r="CA49" s="318"/>
      <c r="CB49" s="318"/>
      <c r="CC49" s="319"/>
      <c r="CD49" s="390"/>
      <c r="CE49" s="318"/>
      <c r="CF49" s="318"/>
      <c r="CG49" s="319"/>
      <c r="CH49" s="390"/>
      <c r="CI49" s="318"/>
      <c r="CJ49" s="318"/>
      <c r="CK49" s="319"/>
      <c r="CL49" s="390"/>
      <c r="CM49" s="318"/>
      <c r="CN49" s="318"/>
      <c r="CO49" s="319"/>
      <c r="CP49" s="390"/>
      <c r="CQ49" s="318"/>
      <c r="CR49" s="318"/>
      <c r="CS49" s="319"/>
      <c r="CT49" s="390"/>
      <c r="CU49" s="318"/>
      <c r="CV49" s="318"/>
      <c r="CW49" s="319"/>
      <c r="CX49" s="390"/>
      <c r="CY49" s="318"/>
      <c r="CZ49" s="318"/>
      <c r="DA49" s="319"/>
      <c r="DB49" s="390"/>
      <c r="DC49" s="318"/>
      <c r="DD49" s="318"/>
      <c r="DE49" s="319"/>
      <c r="DF49" s="390"/>
      <c r="DG49" s="318"/>
      <c r="DH49" s="318"/>
      <c r="DI49" s="319"/>
      <c r="DJ49" s="390"/>
      <c r="DK49" s="318"/>
      <c r="DL49" s="318"/>
      <c r="DM49" s="319"/>
      <c r="DN49" s="390"/>
      <c r="DO49" s="318"/>
      <c r="DP49" s="318"/>
      <c r="DQ49" s="319"/>
      <c r="DR49" s="390"/>
      <c r="DS49" s="318"/>
      <c r="DT49" s="318"/>
      <c r="DU49" s="319"/>
      <c r="DV49" s="390"/>
      <c r="DW49" s="318"/>
      <c r="DX49" s="318"/>
      <c r="DY49" s="319"/>
      <c r="DZ49" s="390"/>
      <c r="EA49" s="318"/>
      <c r="EB49" s="318"/>
      <c r="EC49" s="319"/>
      <c r="ED49" s="390"/>
      <c r="EE49" s="318"/>
      <c r="EF49" s="318"/>
      <c r="EG49" s="319"/>
      <c r="EH49" s="390"/>
      <c r="EI49" s="318"/>
      <c r="EJ49" s="318"/>
      <c r="EK49" s="319"/>
      <c r="EL49" s="390"/>
      <c r="EM49" s="318"/>
      <c r="EN49" s="318"/>
      <c r="EO49" s="319"/>
      <c r="EP49" s="390"/>
      <c r="EQ49" s="318"/>
      <c r="ER49" s="318"/>
      <c r="ES49" s="319"/>
      <c r="ET49" s="45"/>
      <c r="EU49" s="12"/>
      <c r="EV49" s="12"/>
      <c r="EW49" s="30"/>
      <c r="EX49" s="30"/>
      <c r="EY49" s="30"/>
    </row>
    <row r="50" spans="2:155" s="43" customFormat="1" ht="29.25" customHeight="1">
      <c r="B50" s="47"/>
      <c r="C50" s="387"/>
      <c r="D50" s="310"/>
      <c r="E50" s="388"/>
      <c r="F50" s="389"/>
      <c r="G50" s="318"/>
      <c r="H50" s="318"/>
      <c r="I50" s="319"/>
      <c r="J50" s="390"/>
      <c r="K50" s="318"/>
      <c r="L50" s="318"/>
      <c r="M50" s="319"/>
      <c r="N50" s="390"/>
      <c r="O50" s="318"/>
      <c r="P50" s="318"/>
      <c r="Q50" s="319"/>
      <c r="R50" s="390"/>
      <c r="S50" s="318"/>
      <c r="T50" s="318"/>
      <c r="U50" s="319"/>
      <c r="V50" s="390"/>
      <c r="W50" s="318"/>
      <c r="X50" s="318"/>
      <c r="Y50" s="319"/>
      <c r="Z50" s="317"/>
      <c r="AA50" s="318"/>
      <c r="AB50" s="318"/>
      <c r="AC50" s="319"/>
      <c r="AD50" s="390"/>
      <c r="AE50" s="318"/>
      <c r="AF50" s="318"/>
      <c r="AG50" s="319"/>
      <c r="AH50" s="390"/>
      <c r="AI50" s="318"/>
      <c r="AJ50" s="318"/>
      <c r="AK50" s="319"/>
      <c r="AL50" s="390"/>
      <c r="AM50" s="318"/>
      <c r="AN50" s="318"/>
      <c r="AO50" s="319"/>
      <c r="AP50" s="317"/>
      <c r="AQ50" s="318"/>
      <c r="AR50" s="318"/>
      <c r="AS50" s="319"/>
      <c r="AT50" s="390"/>
      <c r="AU50" s="318"/>
      <c r="AV50" s="318"/>
      <c r="AW50" s="319"/>
      <c r="AX50" s="390"/>
      <c r="AY50" s="318"/>
      <c r="AZ50" s="318"/>
      <c r="BA50" s="319"/>
      <c r="BB50" s="390"/>
      <c r="BC50" s="318"/>
      <c r="BD50" s="318"/>
      <c r="BE50" s="319"/>
      <c r="BF50" s="390"/>
      <c r="BG50" s="318"/>
      <c r="BH50" s="318"/>
      <c r="BI50" s="319"/>
      <c r="BJ50" s="390"/>
      <c r="BK50" s="318"/>
      <c r="BL50" s="318"/>
      <c r="BM50" s="319"/>
      <c r="BN50" s="390"/>
      <c r="BO50" s="318"/>
      <c r="BP50" s="318"/>
      <c r="BQ50" s="319"/>
      <c r="BR50" s="390"/>
      <c r="BS50" s="318"/>
      <c r="BT50" s="318"/>
      <c r="BU50" s="319"/>
      <c r="BV50" s="390"/>
      <c r="BW50" s="318"/>
      <c r="BX50" s="318"/>
      <c r="BY50" s="319"/>
      <c r="BZ50" s="390"/>
      <c r="CA50" s="318"/>
      <c r="CB50" s="318"/>
      <c r="CC50" s="319"/>
      <c r="CD50" s="390"/>
      <c r="CE50" s="318"/>
      <c r="CF50" s="318"/>
      <c r="CG50" s="319"/>
      <c r="CH50" s="317"/>
      <c r="CI50" s="318"/>
      <c r="CJ50" s="318"/>
      <c r="CK50" s="319"/>
      <c r="CL50" s="390"/>
      <c r="CM50" s="318"/>
      <c r="CN50" s="318"/>
      <c r="CO50" s="319"/>
      <c r="CP50" s="390"/>
      <c r="CQ50" s="318"/>
      <c r="CR50" s="318"/>
      <c r="CS50" s="319"/>
      <c r="CT50" s="390"/>
      <c r="CU50" s="318"/>
      <c r="CV50" s="318"/>
      <c r="CW50" s="319"/>
      <c r="CX50" s="390"/>
      <c r="CY50" s="318"/>
      <c r="CZ50" s="318"/>
      <c r="DA50" s="319"/>
      <c r="DB50" s="390"/>
      <c r="DC50" s="318"/>
      <c r="DD50" s="318"/>
      <c r="DE50" s="319"/>
      <c r="DF50" s="390"/>
      <c r="DG50" s="318"/>
      <c r="DH50" s="318"/>
      <c r="DI50" s="319"/>
      <c r="DJ50" s="390"/>
      <c r="DK50" s="318"/>
      <c r="DL50" s="318"/>
      <c r="DM50" s="319"/>
      <c r="DN50" s="390"/>
      <c r="DO50" s="318"/>
      <c r="DP50" s="318"/>
      <c r="DQ50" s="319"/>
      <c r="DR50" s="390"/>
      <c r="DS50" s="318"/>
      <c r="DT50" s="318"/>
      <c r="DU50" s="319"/>
      <c r="DV50" s="390"/>
      <c r="DW50" s="318"/>
      <c r="DX50" s="318"/>
      <c r="DY50" s="319"/>
      <c r="DZ50" s="390"/>
      <c r="EA50" s="318"/>
      <c r="EB50" s="318"/>
      <c r="EC50" s="319"/>
      <c r="ED50" s="390"/>
      <c r="EE50" s="318"/>
      <c r="EF50" s="318"/>
      <c r="EG50" s="319"/>
      <c r="EH50" s="390"/>
      <c r="EI50" s="318"/>
      <c r="EJ50" s="318"/>
      <c r="EK50" s="319"/>
      <c r="EL50" s="390"/>
      <c r="EM50" s="318"/>
      <c r="EN50" s="318"/>
      <c r="EO50" s="319"/>
      <c r="EP50" s="390"/>
      <c r="EQ50" s="318"/>
      <c r="ER50" s="318"/>
      <c r="ES50" s="319"/>
      <c r="ET50" s="45"/>
      <c r="EU50" s="12"/>
      <c r="EV50" s="12"/>
      <c r="EW50" s="30"/>
      <c r="EX50" s="30"/>
      <c r="EY50" s="30"/>
    </row>
    <row r="51" spans="2:155" s="43" customFormat="1" ht="29.25" customHeight="1">
      <c r="B51" s="47"/>
      <c r="C51" s="387"/>
      <c r="D51" s="310"/>
      <c r="E51" s="388"/>
      <c r="F51" s="389"/>
      <c r="G51" s="318"/>
      <c r="H51" s="318"/>
      <c r="I51" s="319"/>
      <c r="J51" s="390"/>
      <c r="K51" s="318"/>
      <c r="L51" s="318"/>
      <c r="M51" s="319"/>
      <c r="N51" s="390"/>
      <c r="O51" s="318"/>
      <c r="P51" s="318"/>
      <c r="Q51" s="319"/>
      <c r="R51" s="390"/>
      <c r="S51" s="318"/>
      <c r="T51" s="318"/>
      <c r="U51" s="319"/>
      <c r="V51" s="390"/>
      <c r="W51" s="318"/>
      <c r="X51" s="318"/>
      <c r="Y51" s="319"/>
      <c r="Z51" s="317"/>
      <c r="AA51" s="318"/>
      <c r="AB51" s="318"/>
      <c r="AC51" s="319"/>
      <c r="AD51" s="390"/>
      <c r="AE51" s="318"/>
      <c r="AF51" s="318"/>
      <c r="AG51" s="319"/>
      <c r="AH51" s="390"/>
      <c r="AI51" s="318"/>
      <c r="AJ51" s="318"/>
      <c r="AK51" s="319"/>
      <c r="AL51" s="390"/>
      <c r="AM51" s="318"/>
      <c r="AN51" s="318"/>
      <c r="AO51" s="319"/>
      <c r="AP51" s="317"/>
      <c r="AQ51" s="318"/>
      <c r="AR51" s="318"/>
      <c r="AS51" s="319"/>
      <c r="AT51" s="390"/>
      <c r="AU51" s="318"/>
      <c r="AV51" s="318"/>
      <c r="AW51" s="319"/>
      <c r="AX51" s="390"/>
      <c r="AY51" s="318"/>
      <c r="AZ51" s="318"/>
      <c r="BA51" s="319"/>
      <c r="BB51" s="390"/>
      <c r="BC51" s="318"/>
      <c r="BD51" s="318"/>
      <c r="BE51" s="319"/>
      <c r="BF51" s="390"/>
      <c r="BG51" s="318"/>
      <c r="BH51" s="318"/>
      <c r="BI51" s="319"/>
      <c r="BJ51" s="390"/>
      <c r="BK51" s="318"/>
      <c r="BL51" s="318"/>
      <c r="BM51" s="319"/>
      <c r="BN51" s="390"/>
      <c r="BO51" s="318"/>
      <c r="BP51" s="318"/>
      <c r="BQ51" s="319"/>
      <c r="BR51" s="390"/>
      <c r="BS51" s="318"/>
      <c r="BT51" s="318"/>
      <c r="BU51" s="319"/>
      <c r="BV51" s="390"/>
      <c r="BW51" s="318"/>
      <c r="BX51" s="318"/>
      <c r="BY51" s="319"/>
      <c r="BZ51" s="390"/>
      <c r="CA51" s="318"/>
      <c r="CB51" s="318"/>
      <c r="CC51" s="319"/>
      <c r="CD51" s="390"/>
      <c r="CE51" s="318"/>
      <c r="CF51" s="318"/>
      <c r="CG51" s="319"/>
      <c r="CH51" s="317"/>
      <c r="CI51" s="318"/>
      <c r="CJ51" s="318"/>
      <c r="CK51" s="319"/>
      <c r="CL51" s="390"/>
      <c r="CM51" s="318"/>
      <c r="CN51" s="318"/>
      <c r="CO51" s="319"/>
      <c r="CP51" s="390"/>
      <c r="CQ51" s="318"/>
      <c r="CR51" s="318"/>
      <c r="CS51" s="319"/>
      <c r="CT51" s="390"/>
      <c r="CU51" s="318"/>
      <c r="CV51" s="318"/>
      <c r="CW51" s="319"/>
      <c r="CX51" s="390"/>
      <c r="CY51" s="318"/>
      <c r="CZ51" s="318"/>
      <c r="DA51" s="319"/>
      <c r="DB51" s="390"/>
      <c r="DC51" s="318"/>
      <c r="DD51" s="318"/>
      <c r="DE51" s="319"/>
      <c r="DF51" s="390"/>
      <c r="DG51" s="318"/>
      <c r="DH51" s="318"/>
      <c r="DI51" s="319"/>
      <c r="DJ51" s="390"/>
      <c r="DK51" s="318"/>
      <c r="DL51" s="318"/>
      <c r="DM51" s="319"/>
      <c r="DN51" s="390"/>
      <c r="DO51" s="318"/>
      <c r="DP51" s="318"/>
      <c r="DQ51" s="319"/>
      <c r="DR51" s="390"/>
      <c r="DS51" s="318"/>
      <c r="DT51" s="318"/>
      <c r="DU51" s="319"/>
      <c r="DV51" s="390"/>
      <c r="DW51" s="318"/>
      <c r="DX51" s="318"/>
      <c r="DY51" s="319"/>
      <c r="DZ51" s="390"/>
      <c r="EA51" s="318"/>
      <c r="EB51" s="318"/>
      <c r="EC51" s="319"/>
      <c r="ED51" s="390"/>
      <c r="EE51" s="318"/>
      <c r="EF51" s="318"/>
      <c r="EG51" s="319"/>
      <c r="EH51" s="390"/>
      <c r="EI51" s="318"/>
      <c r="EJ51" s="318"/>
      <c r="EK51" s="319"/>
      <c r="EL51" s="390"/>
      <c r="EM51" s="318"/>
      <c r="EN51" s="318"/>
      <c r="EO51" s="319"/>
      <c r="EP51" s="390"/>
      <c r="EQ51" s="318"/>
      <c r="ER51" s="318"/>
      <c r="ES51" s="319"/>
      <c r="ET51" s="45">
        <f t="shared" si="532"/>
        <v>0</v>
      </c>
      <c r="EU51" s="12"/>
      <c r="EV51" s="12"/>
      <c r="EW51" s="30"/>
      <c r="EX51" s="30"/>
      <c r="EY51" s="30"/>
    </row>
    <row r="52" spans="2:155" s="43" customFormat="1" ht="29.25" customHeight="1">
      <c r="B52" s="47"/>
      <c r="C52" s="387"/>
      <c r="D52" s="310"/>
      <c r="E52" s="388"/>
      <c r="F52" s="389"/>
      <c r="G52" s="318"/>
      <c r="H52" s="318"/>
      <c r="I52" s="319"/>
      <c r="J52" s="390"/>
      <c r="K52" s="318"/>
      <c r="L52" s="318"/>
      <c r="M52" s="319"/>
      <c r="N52" s="390"/>
      <c r="O52" s="318"/>
      <c r="P52" s="318"/>
      <c r="Q52" s="319"/>
      <c r="R52" s="390"/>
      <c r="S52" s="318"/>
      <c r="T52" s="318"/>
      <c r="U52" s="319"/>
      <c r="V52" s="390"/>
      <c r="W52" s="318"/>
      <c r="X52" s="318"/>
      <c r="Y52" s="319"/>
      <c r="Z52" s="317"/>
      <c r="AA52" s="318"/>
      <c r="AB52" s="318"/>
      <c r="AC52" s="319"/>
      <c r="AD52" s="390"/>
      <c r="AE52" s="318"/>
      <c r="AF52" s="318"/>
      <c r="AG52" s="319"/>
      <c r="AH52" s="390"/>
      <c r="AI52" s="318"/>
      <c r="AJ52" s="318"/>
      <c r="AK52" s="319"/>
      <c r="AL52" s="390"/>
      <c r="AM52" s="318"/>
      <c r="AN52" s="318"/>
      <c r="AO52" s="319"/>
      <c r="AP52" s="317"/>
      <c r="AQ52" s="318"/>
      <c r="AR52" s="318"/>
      <c r="AS52" s="319"/>
      <c r="AT52" s="390"/>
      <c r="AU52" s="318"/>
      <c r="AV52" s="318"/>
      <c r="AW52" s="319"/>
      <c r="AX52" s="390"/>
      <c r="AY52" s="318"/>
      <c r="AZ52" s="318"/>
      <c r="BA52" s="319"/>
      <c r="BB52" s="390"/>
      <c r="BC52" s="318"/>
      <c r="BD52" s="318"/>
      <c r="BE52" s="319"/>
      <c r="BF52" s="390"/>
      <c r="BG52" s="318"/>
      <c r="BH52" s="318"/>
      <c r="BI52" s="319"/>
      <c r="BJ52" s="390"/>
      <c r="BK52" s="318"/>
      <c r="BL52" s="318"/>
      <c r="BM52" s="319"/>
      <c r="BN52" s="390"/>
      <c r="BO52" s="318"/>
      <c r="BP52" s="318"/>
      <c r="BQ52" s="319"/>
      <c r="BR52" s="390"/>
      <c r="BS52" s="318"/>
      <c r="BT52" s="318"/>
      <c r="BU52" s="319"/>
      <c r="BV52" s="390"/>
      <c r="BW52" s="318"/>
      <c r="BX52" s="318"/>
      <c r="BY52" s="319"/>
      <c r="BZ52" s="390"/>
      <c r="CA52" s="318"/>
      <c r="CB52" s="318"/>
      <c r="CC52" s="319"/>
      <c r="CD52" s="390"/>
      <c r="CE52" s="318"/>
      <c r="CF52" s="318"/>
      <c r="CG52" s="319"/>
      <c r="CH52" s="317"/>
      <c r="CI52" s="318"/>
      <c r="CJ52" s="318"/>
      <c r="CK52" s="319"/>
      <c r="CL52" s="390"/>
      <c r="CM52" s="318"/>
      <c r="CN52" s="318"/>
      <c r="CO52" s="319"/>
      <c r="CP52" s="390"/>
      <c r="CQ52" s="318"/>
      <c r="CR52" s="318"/>
      <c r="CS52" s="319"/>
      <c r="CT52" s="390"/>
      <c r="CU52" s="318"/>
      <c r="CV52" s="318"/>
      <c r="CW52" s="319"/>
      <c r="CX52" s="390"/>
      <c r="CY52" s="318"/>
      <c r="CZ52" s="318"/>
      <c r="DA52" s="319"/>
      <c r="DB52" s="390"/>
      <c r="DC52" s="318"/>
      <c r="DD52" s="318"/>
      <c r="DE52" s="319"/>
      <c r="DF52" s="390"/>
      <c r="DG52" s="318"/>
      <c r="DH52" s="318"/>
      <c r="DI52" s="319"/>
      <c r="DJ52" s="390"/>
      <c r="DK52" s="318"/>
      <c r="DL52" s="318"/>
      <c r="DM52" s="319"/>
      <c r="DN52" s="390"/>
      <c r="DO52" s="318"/>
      <c r="DP52" s="318"/>
      <c r="DQ52" s="319"/>
      <c r="DR52" s="390"/>
      <c r="DS52" s="318"/>
      <c r="DT52" s="318"/>
      <c r="DU52" s="319"/>
      <c r="DV52" s="390"/>
      <c r="DW52" s="318"/>
      <c r="DX52" s="318"/>
      <c r="DY52" s="319"/>
      <c r="DZ52" s="390"/>
      <c r="EA52" s="318"/>
      <c r="EB52" s="318"/>
      <c r="EC52" s="319"/>
      <c r="ED52" s="390"/>
      <c r="EE52" s="318"/>
      <c r="EF52" s="318"/>
      <c r="EG52" s="319"/>
      <c r="EH52" s="390"/>
      <c r="EI52" s="318"/>
      <c r="EJ52" s="318"/>
      <c r="EK52" s="319"/>
      <c r="EL52" s="390"/>
      <c r="EM52" s="318"/>
      <c r="EN52" s="318"/>
      <c r="EO52" s="319"/>
      <c r="EP52" s="390"/>
      <c r="EQ52" s="318"/>
      <c r="ER52" s="318"/>
      <c r="ES52" s="319"/>
      <c r="ET52" s="45">
        <f t="shared" si="532"/>
        <v>0</v>
      </c>
      <c r="EU52" s="12"/>
      <c r="EV52" s="12"/>
      <c r="EW52" s="30"/>
      <c r="EX52" s="30"/>
      <c r="EY52" s="30"/>
    </row>
    <row r="53" spans="2:155" s="43" customFormat="1" ht="29.25" customHeight="1">
      <c r="B53" s="47"/>
      <c r="C53" s="387"/>
      <c r="D53" s="310"/>
      <c r="E53" s="388"/>
      <c r="F53" s="389"/>
      <c r="G53" s="318"/>
      <c r="H53" s="318"/>
      <c r="I53" s="319"/>
      <c r="J53" s="390"/>
      <c r="K53" s="318"/>
      <c r="L53" s="318"/>
      <c r="M53" s="319"/>
      <c r="N53" s="390"/>
      <c r="O53" s="318"/>
      <c r="P53" s="318"/>
      <c r="Q53" s="319"/>
      <c r="R53" s="390"/>
      <c r="S53" s="318"/>
      <c r="T53" s="318"/>
      <c r="U53" s="319"/>
      <c r="V53" s="390"/>
      <c r="W53" s="318"/>
      <c r="X53" s="318"/>
      <c r="Y53" s="319"/>
      <c r="Z53" s="317"/>
      <c r="AA53" s="318"/>
      <c r="AB53" s="318"/>
      <c r="AC53" s="319"/>
      <c r="AD53" s="390"/>
      <c r="AE53" s="318"/>
      <c r="AF53" s="318"/>
      <c r="AG53" s="319"/>
      <c r="AH53" s="390"/>
      <c r="AI53" s="318"/>
      <c r="AJ53" s="318"/>
      <c r="AK53" s="319"/>
      <c r="AL53" s="390"/>
      <c r="AM53" s="318"/>
      <c r="AN53" s="318"/>
      <c r="AO53" s="319"/>
      <c r="AP53" s="317"/>
      <c r="AQ53" s="318"/>
      <c r="AR53" s="318"/>
      <c r="AS53" s="319"/>
      <c r="AT53" s="390"/>
      <c r="AU53" s="318"/>
      <c r="AV53" s="318"/>
      <c r="AW53" s="319"/>
      <c r="AX53" s="390"/>
      <c r="AY53" s="318"/>
      <c r="AZ53" s="318"/>
      <c r="BA53" s="319"/>
      <c r="BB53" s="390"/>
      <c r="BC53" s="318"/>
      <c r="BD53" s="318"/>
      <c r="BE53" s="319"/>
      <c r="BF53" s="390"/>
      <c r="BG53" s="318"/>
      <c r="BH53" s="318"/>
      <c r="BI53" s="319"/>
      <c r="BJ53" s="390"/>
      <c r="BK53" s="318"/>
      <c r="BL53" s="318"/>
      <c r="BM53" s="319"/>
      <c r="BN53" s="390"/>
      <c r="BO53" s="318"/>
      <c r="BP53" s="318"/>
      <c r="BQ53" s="319"/>
      <c r="BR53" s="390"/>
      <c r="BS53" s="318"/>
      <c r="BT53" s="318"/>
      <c r="BU53" s="319"/>
      <c r="BV53" s="390"/>
      <c r="BW53" s="318"/>
      <c r="BX53" s="318"/>
      <c r="BY53" s="319"/>
      <c r="BZ53" s="390"/>
      <c r="CA53" s="318"/>
      <c r="CB53" s="318"/>
      <c r="CC53" s="319"/>
      <c r="CD53" s="390"/>
      <c r="CE53" s="318"/>
      <c r="CF53" s="318"/>
      <c r="CG53" s="319"/>
      <c r="CH53" s="317"/>
      <c r="CI53" s="318"/>
      <c r="CJ53" s="318"/>
      <c r="CK53" s="319"/>
      <c r="CL53" s="390"/>
      <c r="CM53" s="318"/>
      <c r="CN53" s="318"/>
      <c r="CO53" s="319"/>
      <c r="CP53" s="390"/>
      <c r="CQ53" s="318"/>
      <c r="CR53" s="318"/>
      <c r="CS53" s="319"/>
      <c r="CT53" s="390"/>
      <c r="CU53" s="318"/>
      <c r="CV53" s="318"/>
      <c r="CW53" s="319"/>
      <c r="CX53" s="390"/>
      <c r="CY53" s="318"/>
      <c r="CZ53" s="318"/>
      <c r="DA53" s="319"/>
      <c r="DB53" s="390"/>
      <c r="DC53" s="318"/>
      <c r="DD53" s="318"/>
      <c r="DE53" s="319"/>
      <c r="DF53" s="390"/>
      <c r="DG53" s="318"/>
      <c r="DH53" s="318"/>
      <c r="DI53" s="319"/>
      <c r="DJ53" s="390"/>
      <c r="DK53" s="318"/>
      <c r="DL53" s="318"/>
      <c r="DM53" s="319"/>
      <c r="DN53" s="390"/>
      <c r="DO53" s="318"/>
      <c r="DP53" s="318"/>
      <c r="DQ53" s="319"/>
      <c r="DR53" s="390"/>
      <c r="DS53" s="318"/>
      <c r="DT53" s="318"/>
      <c r="DU53" s="319"/>
      <c r="DV53" s="390"/>
      <c r="DW53" s="318"/>
      <c r="DX53" s="318"/>
      <c r="DY53" s="319"/>
      <c r="DZ53" s="390"/>
      <c r="EA53" s="318"/>
      <c r="EB53" s="318"/>
      <c r="EC53" s="319"/>
      <c r="ED53" s="390"/>
      <c r="EE53" s="318"/>
      <c r="EF53" s="318"/>
      <c r="EG53" s="319"/>
      <c r="EH53" s="390"/>
      <c r="EI53" s="318"/>
      <c r="EJ53" s="318"/>
      <c r="EK53" s="319"/>
      <c r="EL53" s="390"/>
      <c r="EM53" s="318"/>
      <c r="EN53" s="318"/>
      <c r="EO53" s="319"/>
      <c r="EP53" s="390"/>
      <c r="EQ53" s="318"/>
      <c r="ER53" s="318"/>
      <c r="ES53" s="319"/>
      <c r="ET53" s="45">
        <f t="shared" si="532"/>
        <v>0</v>
      </c>
      <c r="EU53" s="12"/>
      <c r="EV53" s="12"/>
      <c r="EW53" s="30"/>
      <c r="EX53" s="30"/>
      <c r="EY53" s="30"/>
    </row>
    <row r="54" spans="2:155" s="43" customFormat="1" ht="29.25" customHeight="1">
      <c r="B54" s="47"/>
      <c r="C54" s="387"/>
      <c r="D54" s="310"/>
      <c r="E54" s="388"/>
      <c r="F54" s="389"/>
      <c r="G54" s="318"/>
      <c r="H54" s="318"/>
      <c r="I54" s="319"/>
      <c r="J54" s="390"/>
      <c r="K54" s="318"/>
      <c r="L54" s="318"/>
      <c r="M54" s="319"/>
      <c r="N54" s="390"/>
      <c r="O54" s="318"/>
      <c r="P54" s="318"/>
      <c r="Q54" s="319"/>
      <c r="R54" s="390"/>
      <c r="S54" s="318"/>
      <c r="T54" s="318"/>
      <c r="U54" s="319"/>
      <c r="V54" s="390"/>
      <c r="W54" s="318"/>
      <c r="X54" s="318"/>
      <c r="Y54" s="319"/>
      <c r="Z54" s="317"/>
      <c r="AA54" s="318"/>
      <c r="AB54" s="318"/>
      <c r="AC54" s="319"/>
      <c r="AD54" s="390"/>
      <c r="AE54" s="318"/>
      <c r="AF54" s="318"/>
      <c r="AG54" s="319"/>
      <c r="AH54" s="390"/>
      <c r="AI54" s="318"/>
      <c r="AJ54" s="318"/>
      <c r="AK54" s="319"/>
      <c r="AL54" s="390"/>
      <c r="AM54" s="318"/>
      <c r="AN54" s="318"/>
      <c r="AO54" s="319"/>
      <c r="AP54" s="317"/>
      <c r="AQ54" s="318"/>
      <c r="AR54" s="318"/>
      <c r="AS54" s="319"/>
      <c r="AT54" s="390"/>
      <c r="AU54" s="318"/>
      <c r="AV54" s="318"/>
      <c r="AW54" s="319"/>
      <c r="AX54" s="390"/>
      <c r="AY54" s="318"/>
      <c r="AZ54" s="318"/>
      <c r="BA54" s="319"/>
      <c r="BB54" s="390"/>
      <c r="BC54" s="318"/>
      <c r="BD54" s="318"/>
      <c r="BE54" s="319"/>
      <c r="BF54" s="390"/>
      <c r="BG54" s="318"/>
      <c r="BH54" s="318"/>
      <c r="BI54" s="319"/>
      <c r="BJ54" s="390"/>
      <c r="BK54" s="318"/>
      <c r="BL54" s="318"/>
      <c r="BM54" s="319"/>
      <c r="BN54" s="390"/>
      <c r="BO54" s="318"/>
      <c r="BP54" s="318"/>
      <c r="BQ54" s="319"/>
      <c r="BR54" s="390"/>
      <c r="BS54" s="318"/>
      <c r="BT54" s="318"/>
      <c r="BU54" s="319"/>
      <c r="BV54" s="390"/>
      <c r="BW54" s="318"/>
      <c r="BX54" s="318"/>
      <c r="BY54" s="319"/>
      <c r="BZ54" s="390"/>
      <c r="CA54" s="318"/>
      <c r="CB54" s="318"/>
      <c r="CC54" s="319"/>
      <c r="CD54" s="390"/>
      <c r="CE54" s="318"/>
      <c r="CF54" s="318"/>
      <c r="CG54" s="319"/>
      <c r="CH54" s="317"/>
      <c r="CI54" s="318"/>
      <c r="CJ54" s="318"/>
      <c r="CK54" s="319"/>
      <c r="CL54" s="390"/>
      <c r="CM54" s="318"/>
      <c r="CN54" s="318"/>
      <c r="CO54" s="319"/>
      <c r="CP54" s="390"/>
      <c r="CQ54" s="318"/>
      <c r="CR54" s="318"/>
      <c r="CS54" s="319"/>
      <c r="CT54" s="390"/>
      <c r="CU54" s="318"/>
      <c r="CV54" s="318"/>
      <c r="CW54" s="319"/>
      <c r="CX54" s="390"/>
      <c r="CY54" s="318"/>
      <c r="CZ54" s="318"/>
      <c r="DA54" s="319"/>
      <c r="DB54" s="390"/>
      <c r="DC54" s="318"/>
      <c r="DD54" s="318"/>
      <c r="DE54" s="319"/>
      <c r="DF54" s="390"/>
      <c r="DG54" s="318"/>
      <c r="DH54" s="318"/>
      <c r="DI54" s="319"/>
      <c r="DJ54" s="390"/>
      <c r="DK54" s="318"/>
      <c r="DL54" s="318"/>
      <c r="DM54" s="319"/>
      <c r="DN54" s="390"/>
      <c r="DO54" s="318"/>
      <c r="DP54" s="318"/>
      <c r="DQ54" s="319"/>
      <c r="DR54" s="390"/>
      <c r="DS54" s="318"/>
      <c r="DT54" s="318"/>
      <c r="DU54" s="319"/>
      <c r="DV54" s="390"/>
      <c r="DW54" s="318"/>
      <c r="DX54" s="318"/>
      <c r="DY54" s="319"/>
      <c r="DZ54" s="390"/>
      <c r="EA54" s="318"/>
      <c r="EB54" s="318"/>
      <c r="EC54" s="319"/>
      <c r="ED54" s="390"/>
      <c r="EE54" s="318"/>
      <c r="EF54" s="318"/>
      <c r="EG54" s="319"/>
      <c r="EH54" s="390"/>
      <c r="EI54" s="318"/>
      <c r="EJ54" s="318"/>
      <c r="EK54" s="319"/>
      <c r="EL54" s="390"/>
      <c r="EM54" s="318"/>
      <c r="EN54" s="318"/>
      <c r="EO54" s="319"/>
      <c r="EP54" s="390"/>
      <c r="EQ54" s="318"/>
      <c r="ER54" s="318"/>
      <c r="ES54" s="319"/>
      <c r="ET54" s="45">
        <f t="shared" si="532"/>
        <v>0</v>
      </c>
      <c r="EU54" s="12"/>
      <c r="EV54" s="12"/>
      <c r="EW54" s="30"/>
      <c r="EX54" s="30"/>
      <c r="EY54" s="30"/>
    </row>
    <row r="55" spans="2:155" s="43" customFormat="1" ht="29.25" customHeight="1">
      <c r="B55" s="47"/>
      <c r="C55" s="387"/>
      <c r="D55" s="310"/>
      <c r="E55" s="388"/>
      <c r="F55" s="389"/>
      <c r="G55" s="318"/>
      <c r="H55" s="318"/>
      <c r="I55" s="319"/>
      <c r="J55" s="390"/>
      <c r="K55" s="318"/>
      <c r="L55" s="318"/>
      <c r="M55" s="319"/>
      <c r="N55" s="390"/>
      <c r="O55" s="318"/>
      <c r="P55" s="318"/>
      <c r="Q55" s="319"/>
      <c r="R55" s="390"/>
      <c r="S55" s="318"/>
      <c r="T55" s="318"/>
      <c r="U55" s="319"/>
      <c r="V55" s="390"/>
      <c r="W55" s="318"/>
      <c r="X55" s="318"/>
      <c r="Y55" s="319"/>
      <c r="Z55" s="317"/>
      <c r="AA55" s="318"/>
      <c r="AB55" s="318"/>
      <c r="AC55" s="319"/>
      <c r="AD55" s="390"/>
      <c r="AE55" s="318"/>
      <c r="AF55" s="318"/>
      <c r="AG55" s="319"/>
      <c r="AH55" s="390"/>
      <c r="AI55" s="318"/>
      <c r="AJ55" s="318"/>
      <c r="AK55" s="319"/>
      <c r="AL55" s="390"/>
      <c r="AM55" s="318"/>
      <c r="AN55" s="318"/>
      <c r="AO55" s="319"/>
      <c r="AP55" s="317"/>
      <c r="AQ55" s="318"/>
      <c r="AR55" s="318"/>
      <c r="AS55" s="319"/>
      <c r="AT55" s="390"/>
      <c r="AU55" s="318"/>
      <c r="AV55" s="318"/>
      <c r="AW55" s="319"/>
      <c r="AX55" s="390"/>
      <c r="AY55" s="318"/>
      <c r="AZ55" s="318"/>
      <c r="BA55" s="319"/>
      <c r="BB55" s="390"/>
      <c r="BC55" s="318"/>
      <c r="BD55" s="318"/>
      <c r="BE55" s="319"/>
      <c r="BF55" s="390"/>
      <c r="BG55" s="318"/>
      <c r="BH55" s="318"/>
      <c r="BI55" s="319"/>
      <c r="BJ55" s="390"/>
      <c r="BK55" s="318"/>
      <c r="BL55" s="318"/>
      <c r="BM55" s="319"/>
      <c r="BN55" s="390"/>
      <c r="BO55" s="318"/>
      <c r="BP55" s="318"/>
      <c r="BQ55" s="319"/>
      <c r="BR55" s="390"/>
      <c r="BS55" s="318"/>
      <c r="BT55" s="318"/>
      <c r="BU55" s="319"/>
      <c r="BV55" s="390"/>
      <c r="BW55" s="318"/>
      <c r="BX55" s="318"/>
      <c r="BY55" s="319"/>
      <c r="BZ55" s="390"/>
      <c r="CA55" s="318"/>
      <c r="CB55" s="318"/>
      <c r="CC55" s="319"/>
      <c r="CD55" s="390"/>
      <c r="CE55" s="318"/>
      <c r="CF55" s="318"/>
      <c r="CG55" s="319"/>
      <c r="CH55" s="317"/>
      <c r="CI55" s="318"/>
      <c r="CJ55" s="318"/>
      <c r="CK55" s="319"/>
      <c r="CL55" s="390"/>
      <c r="CM55" s="318"/>
      <c r="CN55" s="318"/>
      <c r="CO55" s="319"/>
      <c r="CP55" s="390"/>
      <c r="CQ55" s="318"/>
      <c r="CR55" s="318"/>
      <c r="CS55" s="319"/>
      <c r="CT55" s="390"/>
      <c r="CU55" s="318"/>
      <c r="CV55" s="318"/>
      <c r="CW55" s="319"/>
      <c r="CX55" s="390"/>
      <c r="CY55" s="318"/>
      <c r="CZ55" s="318"/>
      <c r="DA55" s="319"/>
      <c r="DB55" s="390"/>
      <c r="DC55" s="318"/>
      <c r="DD55" s="318"/>
      <c r="DE55" s="319"/>
      <c r="DF55" s="390"/>
      <c r="DG55" s="318"/>
      <c r="DH55" s="318"/>
      <c r="DI55" s="319"/>
      <c r="DJ55" s="390"/>
      <c r="DK55" s="318"/>
      <c r="DL55" s="318"/>
      <c r="DM55" s="319"/>
      <c r="DN55" s="390"/>
      <c r="DO55" s="318"/>
      <c r="DP55" s="318"/>
      <c r="DQ55" s="319"/>
      <c r="DR55" s="390"/>
      <c r="DS55" s="318"/>
      <c r="DT55" s="318"/>
      <c r="DU55" s="319"/>
      <c r="DV55" s="390"/>
      <c r="DW55" s="318"/>
      <c r="DX55" s="318"/>
      <c r="DY55" s="319"/>
      <c r="DZ55" s="390"/>
      <c r="EA55" s="318"/>
      <c r="EB55" s="318"/>
      <c r="EC55" s="319"/>
      <c r="ED55" s="390"/>
      <c r="EE55" s="318"/>
      <c r="EF55" s="318"/>
      <c r="EG55" s="319"/>
      <c r="EH55" s="390"/>
      <c r="EI55" s="318"/>
      <c r="EJ55" s="318"/>
      <c r="EK55" s="319"/>
      <c r="EL55" s="390"/>
      <c r="EM55" s="318"/>
      <c r="EN55" s="318"/>
      <c r="EO55" s="319"/>
      <c r="EP55" s="390"/>
      <c r="EQ55" s="318"/>
      <c r="ER55" s="318"/>
      <c r="ES55" s="319"/>
      <c r="ET55" s="45">
        <f t="shared" si="532"/>
        <v>0</v>
      </c>
      <c r="EU55" s="12"/>
      <c r="EV55" s="12"/>
      <c r="EW55" s="30"/>
      <c r="EX55" s="30"/>
      <c r="EY55" s="30"/>
    </row>
    <row r="56" spans="2:155" s="43" customFormat="1" ht="29.25" customHeight="1">
      <c r="B56" s="47"/>
      <c r="C56" s="387"/>
      <c r="D56" s="310"/>
      <c r="E56" s="388"/>
      <c r="F56" s="389"/>
      <c r="G56" s="318"/>
      <c r="H56" s="318"/>
      <c r="I56" s="319"/>
      <c r="J56" s="390"/>
      <c r="K56" s="318"/>
      <c r="L56" s="318"/>
      <c r="M56" s="319"/>
      <c r="N56" s="390"/>
      <c r="O56" s="318"/>
      <c r="P56" s="318"/>
      <c r="Q56" s="319"/>
      <c r="R56" s="390"/>
      <c r="S56" s="318"/>
      <c r="T56" s="318"/>
      <c r="U56" s="319"/>
      <c r="V56" s="390"/>
      <c r="W56" s="318"/>
      <c r="X56" s="318"/>
      <c r="Y56" s="319"/>
      <c r="Z56" s="317"/>
      <c r="AA56" s="318"/>
      <c r="AB56" s="318"/>
      <c r="AC56" s="319"/>
      <c r="AD56" s="390"/>
      <c r="AE56" s="318"/>
      <c r="AF56" s="318"/>
      <c r="AG56" s="319"/>
      <c r="AH56" s="390"/>
      <c r="AI56" s="318"/>
      <c r="AJ56" s="318"/>
      <c r="AK56" s="319"/>
      <c r="AL56" s="390"/>
      <c r="AM56" s="318"/>
      <c r="AN56" s="318"/>
      <c r="AO56" s="319"/>
      <c r="AP56" s="317"/>
      <c r="AQ56" s="318"/>
      <c r="AR56" s="318"/>
      <c r="AS56" s="319"/>
      <c r="AT56" s="390"/>
      <c r="AU56" s="318"/>
      <c r="AV56" s="318"/>
      <c r="AW56" s="319"/>
      <c r="AX56" s="390"/>
      <c r="AY56" s="318"/>
      <c r="AZ56" s="318"/>
      <c r="BA56" s="319"/>
      <c r="BB56" s="390"/>
      <c r="BC56" s="318"/>
      <c r="BD56" s="318"/>
      <c r="BE56" s="319"/>
      <c r="BF56" s="390"/>
      <c r="BG56" s="318"/>
      <c r="BH56" s="318"/>
      <c r="BI56" s="319"/>
      <c r="BJ56" s="390"/>
      <c r="BK56" s="318"/>
      <c r="BL56" s="318"/>
      <c r="BM56" s="319"/>
      <c r="BN56" s="390"/>
      <c r="BO56" s="318"/>
      <c r="BP56" s="318"/>
      <c r="BQ56" s="319"/>
      <c r="BR56" s="390"/>
      <c r="BS56" s="318"/>
      <c r="BT56" s="318"/>
      <c r="BU56" s="319"/>
      <c r="BV56" s="390"/>
      <c r="BW56" s="318"/>
      <c r="BX56" s="318"/>
      <c r="BY56" s="319"/>
      <c r="BZ56" s="390"/>
      <c r="CA56" s="318"/>
      <c r="CB56" s="318"/>
      <c r="CC56" s="319"/>
      <c r="CD56" s="390"/>
      <c r="CE56" s="318"/>
      <c r="CF56" s="318"/>
      <c r="CG56" s="319"/>
      <c r="CH56" s="317"/>
      <c r="CI56" s="318"/>
      <c r="CJ56" s="318"/>
      <c r="CK56" s="319"/>
      <c r="CL56" s="390"/>
      <c r="CM56" s="318"/>
      <c r="CN56" s="318"/>
      <c r="CO56" s="319"/>
      <c r="CP56" s="390"/>
      <c r="CQ56" s="318"/>
      <c r="CR56" s="318"/>
      <c r="CS56" s="319"/>
      <c r="CT56" s="390"/>
      <c r="CU56" s="318"/>
      <c r="CV56" s="318"/>
      <c r="CW56" s="319"/>
      <c r="CX56" s="390"/>
      <c r="CY56" s="318"/>
      <c r="CZ56" s="318"/>
      <c r="DA56" s="319"/>
      <c r="DB56" s="390"/>
      <c r="DC56" s="318"/>
      <c r="DD56" s="318"/>
      <c r="DE56" s="319"/>
      <c r="DF56" s="390"/>
      <c r="DG56" s="318"/>
      <c r="DH56" s="318"/>
      <c r="DI56" s="319"/>
      <c r="DJ56" s="390"/>
      <c r="DK56" s="318"/>
      <c r="DL56" s="318"/>
      <c r="DM56" s="319"/>
      <c r="DN56" s="390"/>
      <c r="DO56" s="318"/>
      <c r="DP56" s="318"/>
      <c r="DQ56" s="319"/>
      <c r="DR56" s="390"/>
      <c r="DS56" s="318"/>
      <c r="DT56" s="318"/>
      <c r="DU56" s="319"/>
      <c r="DV56" s="390"/>
      <c r="DW56" s="318"/>
      <c r="DX56" s="318"/>
      <c r="DY56" s="319"/>
      <c r="DZ56" s="390"/>
      <c r="EA56" s="318"/>
      <c r="EB56" s="318"/>
      <c r="EC56" s="319"/>
      <c r="ED56" s="390"/>
      <c r="EE56" s="318"/>
      <c r="EF56" s="318"/>
      <c r="EG56" s="319"/>
      <c r="EH56" s="390"/>
      <c r="EI56" s="318"/>
      <c r="EJ56" s="318"/>
      <c r="EK56" s="319"/>
      <c r="EL56" s="390"/>
      <c r="EM56" s="318"/>
      <c r="EN56" s="318"/>
      <c r="EO56" s="319"/>
      <c r="EP56" s="390"/>
      <c r="EQ56" s="318"/>
      <c r="ER56" s="318"/>
      <c r="ES56" s="319"/>
      <c r="ET56" s="45">
        <f t="shared" si="532"/>
        <v>0</v>
      </c>
      <c r="EU56" s="12"/>
      <c r="EV56" s="12"/>
      <c r="EW56" s="30"/>
      <c r="EX56" s="30"/>
      <c r="EY56" s="30"/>
    </row>
    <row r="57" spans="2:155" s="43" customFormat="1" ht="29.25" customHeight="1">
      <c r="B57" s="47"/>
      <c r="C57" s="387"/>
      <c r="D57" s="310"/>
      <c r="E57" s="388"/>
      <c r="F57" s="389"/>
      <c r="G57" s="318"/>
      <c r="H57" s="318"/>
      <c r="I57" s="319"/>
      <c r="J57" s="390"/>
      <c r="K57" s="318"/>
      <c r="L57" s="318"/>
      <c r="M57" s="319"/>
      <c r="N57" s="390"/>
      <c r="O57" s="318"/>
      <c r="P57" s="318"/>
      <c r="Q57" s="319"/>
      <c r="R57" s="390"/>
      <c r="S57" s="318"/>
      <c r="T57" s="318"/>
      <c r="U57" s="319"/>
      <c r="V57" s="390"/>
      <c r="W57" s="318"/>
      <c r="X57" s="318"/>
      <c r="Y57" s="319"/>
      <c r="Z57" s="317"/>
      <c r="AA57" s="318"/>
      <c r="AB57" s="318"/>
      <c r="AC57" s="319"/>
      <c r="AD57" s="390"/>
      <c r="AE57" s="318"/>
      <c r="AF57" s="318"/>
      <c r="AG57" s="319"/>
      <c r="AH57" s="390"/>
      <c r="AI57" s="318"/>
      <c r="AJ57" s="318"/>
      <c r="AK57" s="319"/>
      <c r="AL57" s="390"/>
      <c r="AM57" s="318"/>
      <c r="AN57" s="318"/>
      <c r="AO57" s="319"/>
      <c r="AP57" s="317"/>
      <c r="AQ57" s="318"/>
      <c r="AR57" s="318"/>
      <c r="AS57" s="319"/>
      <c r="AT57" s="390"/>
      <c r="AU57" s="318"/>
      <c r="AV57" s="318"/>
      <c r="AW57" s="319"/>
      <c r="AX57" s="390"/>
      <c r="AY57" s="318"/>
      <c r="AZ57" s="318"/>
      <c r="BA57" s="319"/>
      <c r="BB57" s="390"/>
      <c r="BC57" s="318"/>
      <c r="BD57" s="318"/>
      <c r="BE57" s="319"/>
      <c r="BF57" s="390"/>
      <c r="BG57" s="318"/>
      <c r="BH57" s="318"/>
      <c r="BI57" s="319"/>
      <c r="BJ57" s="390"/>
      <c r="BK57" s="318"/>
      <c r="BL57" s="318"/>
      <c r="BM57" s="319"/>
      <c r="BN57" s="390"/>
      <c r="BO57" s="318"/>
      <c r="BP57" s="318"/>
      <c r="BQ57" s="319"/>
      <c r="BR57" s="390"/>
      <c r="BS57" s="318"/>
      <c r="BT57" s="318"/>
      <c r="BU57" s="319"/>
      <c r="BV57" s="390"/>
      <c r="BW57" s="318"/>
      <c r="BX57" s="318"/>
      <c r="BY57" s="319"/>
      <c r="BZ57" s="390"/>
      <c r="CA57" s="318"/>
      <c r="CB57" s="318"/>
      <c r="CC57" s="319"/>
      <c r="CD57" s="390"/>
      <c r="CE57" s="318"/>
      <c r="CF57" s="318"/>
      <c r="CG57" s="319"/>
      <c r="CH57" s="317"/>
      <c r="CI57" s="318"/>
      <c r="CJ57" s="318"/>
      <c r="CK57" s="319"/>
      <c r="CL57" s="390"/>
      <c r="CM57" s="318"/>
      <c r="CN57" s="318"/>
      <c r="CO57" s="319"/>
      <c r="CP57" s="390"/>
      <c r="CQ57" s="318"/>
      <c r="CR57" s="318"/>
      <c r="CS57" s="319"/>
      <c r="CT57" s="390"/>
      <c r="CU57" s="318"/>
      <c r="CV57" s="318"/>
      <c r="CW57" s="319"/>
      <c r="CX57" s="390"/>
      <c r="CY57" s="318"/>
      <c r="CZ57" s="318"/>
      <c r="DA57" s="319"/>
      <c r="DB57" s="390"/>
      <c r="DC57" s="318"/>
      <c r="DD57" s="318"/>
      <c r="DE57" s="319"/>
      <c r="DF57" s="390"/>
      <c r="DG57" s="318"/>
      <c r="DH57" s="318"/>
      <c r="DI57" s="319"/>
      <c r="DJ57" s="390"/>
      <c r="DK57" s="318"/>
      <c r="DL57" s="318"/>
      <c r="DM57" s="319"/>
      <c r="DN57" s="390"/>
      <c r="DO57" s="318"/>
      <c r="DP57" s="318"/>
      <c r="DQ57" s="319"/>
      <c r="DR57" s="390"/>
      <c r="DS57" s="318"/>
      <c r="DT57" s="318"/>
      <c r="DU57" s="319"/>
      <c r="DV57" s="390"/>
      <c r="DW57" s="318"/>
      <c r="DX57" s="318"/>
      <c r="DY57" s="319"/>
      <c r="DZ57" s="390"/>
      <c r="EA57" s="318"/>
      <c r="EB57" s="318"/>
      <c r="EC57" s="319"/>
      <c r="ED57" s="390"/>
      <c r="EE57" s="318"/>
      <c r="EF57" s="318"/>
      <c r="EG57" s="319"/>
      <c r="EH57" s="390"/>
      <c r="EI57" s="318"/>
      <c r="EJ57" s="318"/>
      <c r="EK57" s="319"/>
      <c r="EL57" s="390"/>
      <c r="EM57" s="318"/>
      <c r="EN57" s="318"/>
      <c r="EO57" s="319"/>
      <c r="EP57" s="390"/>
      <c r="EQ57" s="318"/>
      <c r="ER57" s="318"/>
      <c r="ES57" s="319"/>
      <c r="ET57" s="42"/>
      <c r="EU57" s="12"/>
      <c r="EV57" s="12"/>
      <c r="EW57" s="30"/>
      <c r="EX57" s="30"/>
      <c r="EY57" s="30"/>
    </row>
    <row r="58" spans="2:155" s="43" customFormat="1" ht="29.25" customHeight="1">
      <c r="B58" s="47"/>
      <c r="C58" s="387"/>
      <c r="D58" s="310"/>
      <c r="E58" s="388"/>
      <c r="F58" s="389"/>
      <c r="G58" s="318"/>
      <c r="H58" s="318"/>
      <c r="I58" s="319"/>
      <c r="J58" s="390"/>
      <c r="K58" s="318"/>
      <c r="L58" s="318"/>
      <c r="M58" s="319"/>
      <c r="N58" s="390"/>
      <c r="O58" s="318"/>
      <c r="P58" s="318"/>
      <c r="Q58" s="319"/>
      <c r="R58" s="390"/>
      <c r="S58" s="318"/>
      <c r="T58" s="318"/>
      <c r="U58" s="319"/>
      <c r="V58" s="390"/>
      <c r="W58" s="318"/>
      <c r="X58" s="318"/>
      <c r="Y58" s="319"/>
      <c r="Z58" s="317"/>
      <c r="AA58" s="318"/>
      <c r="AB58" s="318"/>
      <c r="AC58" s="319"/>
      <c r="AD58" s="390"/>
      <c r="AE58" s="318"/>
      <c r="AF58" s="318"/>
      <c r="AG58" s="319"/>
      <c r="AH58" s="390"/>
      <c r="AI58" s="318"/>
      <c r="AJ58" s="318"/>
      <c r="AK58" s="319"/>
      <c r="AL58" s="390"/>
      <c r="AM58" s="318"/>
      <c r="AN58" s="318"/>
      <c r="AO58" s="319"/>
      <c r="AP58" s="317"/>
      <c r="AQ58" s="318"/>
      <c r="AR58" s="318"/>
      <c r="AS58" s="319"/>
      <c r="AT58" s="390"/>
      <c r="AU58" s="318"/>
      <c r="AV58" s="318"/>
      <c r="AW58" s="319"/>
      <c r="AX58" s="390"/>
      <c r="AY58" s="318"/>
      <c r="AZ58" s="318"/>
      <c r="BA58" s="319"/>
      <c r="BB58" s="390"/>
      <c r="BC58" s="318"/>
      <c r="BD58" s="318"/>
      <c r="BE58" s="319"/>
      <c r="BF58" s="390"/>
      <c r="BG58" s="318"/>
      <c r="BH58" s="318"/>
      <c r="BI58" s="319"/>
      <c r="BJ58" s="390"/>
      <c r="BK58" s="318"/>
      <c r="BL58" s="318"/>
      <c r="BM58" s="319"/>
      <c r="BN58" s="390"/>
      <c r="BO58" s="318"/>
      <c r="BP58" s="318"/>
      <c r="BQ58" s="319"/>
      <c r="BR58" s="390"/>
      <c r="BS58" s="318"/>
      <c r="BT58" s="318"/>
      <c r="BU58" s="319"/>
      <c r="BV58" s="390"/>
      <c r="BW58" s="318"/>
      <c r="BX58" s="318"/>
      <c r="BY58" s="319"/>
      <c r="BZ58" s="390"/>
      <c r="CA58" s="318"/>
      <c r="CB58" s="318"/>
      <c r="CC58" s="319"/>
      <c r="CD58" s="390"/>
      <c r="CE58" s="318"/>
      <c r="CF58" s="318"/>
      <c r="CG58" s="319"/>
      <c r="CH58" s="317"/>
      <c r="CI58" s="318"/>
      <c r="CJ58" s="318"/>
      <c r="CK58" s="319"/>
      <c r="CL58" s="390"/>
      <c r="CM58" s="318"/>
      <c r="CN58" s="318"/>
      <c r="CO58" s="319"/>
      <c r="CP58" s="390"/>
      <c r="CQ58" s="318"/>
      <c r="CR58" s="318"/>
      <c r="CS58" s="319"/>
      <c r="CT58" s="390"/>
      <c r="CU58" s="318"/>
      <c r="CV58" s="318"/>
      <c r="CW58" s="319"/>
      <c r="CX58" s="390"/>
      <c r="CY58" s="318"/>
      <c r="CZ58" s="318"/>
      <c r="DA58" s="319"/>
      <c r="DB58" s="390"/>
      <c r="DC58" s="318"/>
      <c r="DD58" s="318"/>
      <c r="DE58" s="319"/>
      <c r="DF58" s="390"/>
      <c r="DG58" s="318"/>
      <c r="DH58" s="318"/>
      <c r="DI58" s="319"/>
      <c r="DJ58" s="390"/>
      <c r="DK58" s="318"/>
      <c r="DL58" s="318"/>
      <c r="DM58" s="319"/>
      <c r="DN58" s="390"/>
      <c r="DO58" s="318"/>
      <c r="DP58" s="318"/>
      <c r="DQ58" s="319"/>
      <c r="DR58" s="390"/>
      <c r="DS58" s="318"/>
      <c r="DT58" s="318"/>
      <c r="DU58" s="319"/>
      <c r="DV58" s="390"/>
      <c r="DW58" s="318"/>
      <c r="DX58" s="318"/>
      <c r="DY58" s="319"/>
      <c r="DZ58" s="390"/>
      <c r="EA58" s="318"/>
      <c r="EB58" s="318"/>
      <c r="EC58" s="319"/>
      <c r="ED58" s="390"/>
      <c r="EE58" s="318"/>
      <c r="EF58" s="318"/>
      <c r="EG58" s="319"/>
      <c r="EH58" s="390"/>
      <c r="EI58" s="318"/>
      <c r="EJ58" s="318"/>
      <c r="EK58" s="319"/>
      <c r="EL58" s="390"/>
      <c r="EM58" s="318"/>
      <c r="EN58" s="318"/>
      <c r="EO58" s="319"/>
      <c r="EP58" s="390"/>
      <c r="EQ58" s="318"/>
      <c r="ER58" s="318"/>
      <c r="ES58" s="319"/>
      <c r="ET58" s="42"/>
      <c r="EU58" s="12"/>
      <c r="EV58" s="12"/>
      <c r="EW58" s="30"/>
      <c r="EX58" s="30"/>
      <c r="EY58" s="30"/>
    </row>
    <row r="59" spans="2:155" s="43" customFormat="1" ht="29.25" customHeight="1">
      <c r="B59" s="47"/>
      <c r="C59" s="387"/>
      <c r="D59" s="310"/>
      <c r="E59" s="388"/>
      <c r="F59" s="389"/>
      <c r="G59" s="318"/>
      <c r="H59" s="318"/>
      <c r="I59" s="319"/>
      <c r="J59" s="390"/>
      <c r="K59" s="318"/>
      <c r="L59" s="318"/>
      <c r="M59" s="319"/>
      <c r="N59" s="390"/>
      <c r="O59" s="318"/>
      <c r="P59" s="318"/>
      <c r="Q59" s="319"/>
      <c r="R59" s="390"/>
      <c r="S59" s="318"/>
      <c r="T59" s="318"/>
      <c r="U59" s="319"/>
      <c r="V59" s="390"/>
      <c r="W59" s="318"/>
      <c r="X59" s="318"/>
      <c r="Y59" s="319"/>
      <c r="Z59" s="317"/>
      <c r="AA59" s="318"/>
      <c r="AB59" s="318"/>
      <c r="AC59" s="319"/>
      <c r="AD59" s="390"/>
      <c r="AE59" s="318"/>
      <c r="AF59" s="318"/>
      <c r="AG59" s="319"/>
      <c r="AH59" s="390"/>
      <c r="AI59" s="318"/>
      <c r="AJ59" s="318"/>
      <c r="AK59" s="319"/>
      <c r="AL59" s="390"/>
      <c r="AM59" s="318"/>
      <c r="AN59" s="318"/>
      <c r="AO59" s="319"/>
      <c r="AP59" s="317"/>
      <c r="AQ59" s="318"/>
      <c r="AR59" s="318"/>
      <c r="AS59" s="319"/>
      <c r="AT59" s="390"/>
      <c r="AU59" s="318"/>
      <c r="AV59" s="318"/>
      <c r="AW59" s="319"/>
      <c r="AX59" s="390"/>
      <c r="AY59" s="318"/>
      <c r="AZ59" s="318"/>
      <c r="BA59" s="319"/>
      <c r="BB59" s="390"/>
      <c r="BC59" s="318"/>
      <c r="BD59" s="318"/>
      <c r="BE59" s="319"/>
      <c r="BF59" s="390"/>
      <c r="BG59" s="318"/>
      <c r="BH59" s="318"/>
      <c r="BI59" s="319"/>
      <c r="BJ59" s="390"/>
      <c r="BK59" s="318"/>
      <c r="BL59" s="318"/>
      <c r="BM59" s="319"/>
      <c r="BN59" s="390"/>
      <c r="BO59" s="318"/>
      <c r="BP59" s="318"/>
      <c r="BQ59" s="319"/>
      <c r="BR59" s="390"/>
      <c r="BS59" s="318"/>
      <c r="BT59" s="318"/>
      <c r="BU59" s="319"/>
      <c r="BV59" s="390"/>
      <c r="BW59" s="318"/>
      <c r="BX59" s="318"/>
      <c r="BY59" s="319"/>
      <c r="BZ59" s="390"/>
      <c r="CA59" s="318"/>
      <c r="CB59" s="318"/>
      <c r="CC59" s="319"/>
      <c r="CD59" s="390"/>
      <c r="CE59" s="318"/>
      <c r="CF59" s="318"/>
      <c r="CG59" s="319"/>
      <c r="CH59" s="317"/>
      <c r="CI59" s="318"/>
      <c r="CJ59" s="318"/>
      <c r="CK59" s="319"/>
      <c r="CL59" s="390"/>
      <c r="CM59" s="318"/>
      <c r="CN59" s="318"/>
      <c r="CO59" s="319"/>
      <c r="CP59" s="390"/>
      <c r="CQ59" s="318"/>
      <c r="CR59" s="318"/>
      <c r="CS59" s="319"/>
      <c r="CT59" s="390"/>
      <c r="CU59" s="318"/>
      <c r="CV59" s="318"/>
      <c r="CW59" s="319"/>
      <c r="CX59" s="390"/>
      <c r="CY59" s="318"/>
      <c r="CZ59" s="318"/>
      <c r="DA59" s="319"/>
      <c r="DB59" s="390"/>
      <c r="DC59" s="318"/>
      <c r="DD59" s="318"/>
      <c r="DE59" s="319"/>
      <c r="DF59" s="390"/>
      <c r="DG59" s="318"/>
      <c r="DH59" s="318"/>
      <c r="DI59" s="319"/>
      <c r="DJ59" s="390"/>
      <c r="DK59" s="318"/>
      <c r="DL59" s="318"/>
      <c r="DM59" s="319"/>
      <c r="DN59" s="390"/>
      <c r="DO59" s="318"/>
      <c r="DP59" s="318"/>
      <c r="DQ59" s="319"/>
      <c r="DR59" s="390"/>
      <c r="DS59" s="318"/>
      <c r="DT59" s="318"/>
      <c r="DU59" s="319"/>
      <c r="DV59" s="390"/>
      <c r="DW59" s="318"/>
      <c r="DX59" s="318"/>
      <c r="DY59" s="319"/>
      <c r="DZ59" s="390"/>
      <c r="EA59" s="318"/>
      <c r="EB59" s="318"/>
      <c r="EC59" s="319"/>
      <c r="ED59" s="390"/>
      <c r="EE59" s="318"/>
      <c r="EF59" s="318"/>
      <c r="EG59" s="319"/>
      <c r="EH59" s="390"/>
      <c r="EI59" s="318"/>
      <c r="EJ59" s="318"/>
      <c r="EK59" s="319"/>
      <c r="EL59" s="390"/>
      <c r="EM59" s="318"/>
      <c r="EN59" s="318"/>
      <c r="EO59" s="319"/>
      <c r="EP59" s="390"/>
      <c r="EQ59" s="318"/>
      <c r="ER59" s="318"/>
      <c r="ES59" s="319"/>
      <c r="ET59" s="42"/>
      <c r="EU59" s="12"/>
      <c r="EV59" s="12"/>
      <c r="EW59" s="30"/>
      <c r="EX59" s="30"/>
      <c r="EY59" s="30"/>
    </row>
    <row r="60" spans="2:155" s="43" customFormat="1" ht="29.25" customHeight="1">
      <c r="B60" s="47"/>
      <c r="C60" s="387"/>
      <c r="D60" s="310"/>
      <c r="E60" s="388"/>
      <c r="F60" s="389"/>
      <c r="G60" s="318"/>
      <c r="H60" s="318"/>
      <c r="I60" s="319"/>
      <c r="J60" s="390"/>
      <c r="K60" s="318"/>
      <c r="L60" s="318"/>
      <c r="M60" s="319"/>
      <c r="N60" s="390"/>
      <c r="O60" s="318"/>
      <c r="P60" s="318"/>
      <c r="Q60" s="319"/>
      <c r="R60" s="390"/>
      <c r="S60" s="318"/>
      <c r="T60" s="318"/>
      <c r="U60" s="319"/>
      <c r="V60" s="390"/>
      <c r="W60" s="318"/>
      <c r="X60" s="318"/>
      <c r="Y60" s="319"/>
      <c r="Z60" s="317"/>
      <c r="AA60" s="318"/>
      <c r="AB60" s="318"/>
      <c r="AC60" s="319"/>
      <c r="AD60" s="390"/>
      <c r="AE60" s="318"/>
      <c r="AF60" s="318"/>
      <c r="AG60" s="319"/>
      <c r="AH60" s="390"/>
      <c r="AI60" s="318"/>
      <c r="AJ60" s="318"/>
      <c r="AK60" s="319"/>
      <c r="AL60" s="390"/>
      <c r="AM60" s="318"/>
      <c r="AN60" s="318"/>
      <c r="AO60" s="319"/>
      <c r="AP60" s="317"/>
      <c r="AQ60" s="318"/>
      <c r="AR60" s="318"/>
      <c r="AS60" s="319"/>
      <c r="AT60" s="390"/>
      <c r="AU60" s="318"/>
      <c r="AV60" s="318"/>
      <c r="AW60" s="319"/>
      <c r="AX60" s="390"/>
      <c r="AY60" s="318"/>
      <c r="AZ60" s="318"/>
      <c r="BA60" s="319"/>
      <c r="BB60" s="390"/>
      <c r="BC60" s="318"/>
      <c r="BD60" s="318"/>
      <c r="BE60" s="319"/>
      <c r="BF60" s="390"/>
      <c r="BG60" s="318"/>
      <c r="BH60" s="318"/>
      <c r="BI60" s="319"/>
      <c r="BJ60" s="390"/>
      <c r="BK60" s="318"/>
      <c r="BL60" s="318"/>
      <c r="BM60" s="319"/>
      <c r="BN60" s="390"/>
      <c r="BO60" s="318"/>
      <c r="BP60" s="318"/>
      <c r="BQ60" s="319"/>
      <c r="BR60" s="390"/>
      <c r="BS60" s="318"/>
      <c r="BT60" s="318"/>
      <c r="BU60" s="319"/>
      <c r="BV60" s="390"/>
      <c r="BW60" s="318"/>
      <c r="BX60" s="318"/>
      <c r="BY60" s="319"/>
      <c r="BZ60" s="390"/>
      <c r="CA60" s="318"/>
      <c r="CB60" s="318"/>
      <c r="CC60" s="319"/>
      <c r="CD60" s="390"/>
      <c r="CE60" s="318"/>
      <c r="CF60" s="318"/>
      <c r="CG60" s="319"/>
      <c r="CH60" s="317"/>
      <c r="CI60" s="318"/>
      <c r="CJ60" s="318"/>
      <c r="CK60" s="319"/>
      <c r="CL60" s="390"/>
      <c r="CM60" s="318"/>
      <c r="CN60" s="318"/>
      <c r="CO60" s="319"/>
      <c r="CP60" s="390"/>
      <c r="CQ60" s="318"/>
      <c r="CR60" s="318"/>
      <c r="CS60" s="319"/>
      <c r="CT60" s="390"/>
      <c r="CU60" s="318"/>
      <c r="CV60" s="318"/>
      <c r="CW60" s="319"/>
      <c r="CX60" s="390"/>
      <c r="CY60" s="318"/>
      <c r="CZ60" s="318"/>
      <c r="DA60" s="319"/>
      <c r="DB60" s="390"/>
      <c r="DC60" s="318"/>
      <c r="DD60" s="318"/>
      <c r="DE60" s="319"/>
      <c r="DF60" s="390"/>
      <c r="DG60" s="318"/>
      <c r="DH60" s="318"/>
      <c r="DI60" s="319"/>
      <c r="DJ60" s="390"/>
      <c r="DK60" s="318"/>
      <c r="DL60" s="318"/>
      <c r="DM60" s="319"/>
      <c r="DN60" s="390"/>
      <c r="DO60" s="318"/>
      <c r="DP60" s="318"/>
      <c r="DQ60" s="319"/>
      <c r="DR60" s="390"/>
      <c r="DS60" s="318"/>
      <c r="DT60" s="318"/>
      <c r="DU60" s="319"/>
      <c r="DV60" s="390"/>
      <c r="DW60" s="318"/>
      <c r="DX60" s="318"/>
      <c r="DY60" s="319"/>
      <c r="DZ60" s="390"/>
      <c r="EA60" s="318"/>
      <c r="EB60" s="318"/>
      <c r="EC60" s="319"/>
      <c r="ED60" s="390"/>
      <c r="EE60" s="318"/>
      <c r="EF60" s="318"/>
      <c r="EG60" s="319"/>
      <c r="EH60" s="390"/>
      <c r="EI60" s="318"/>
      <c r="EJ60" s="318"/>
      <c r="EK60" s="319"/>
      <c r="EL60" s="390"/>
      <c r="EM60" s="318"/>
      <c r="EN60" s="318"/>
      <c r="EO60" s="319"/>
      <c r="EP60" s="390"/>
      <c r="EQ60" s="318"/>
      <c r="ER60" s="318"/>
      <c r="ES60" s="319"/>
      <c r="ET60" s="42"/>
      <c r="EU60" s="12"/>
      <c r="EV60" s="12"/>
      <c r="EW60" s="30"/>
      <c r="EX60" s="30"/>
      <c r="EY60" s="30"/>
    </row>
    <row r="61" spans="2:155" s="43" customFormat="1" ht="29.25" customHeight="1">
      <c r="B61" s="47"/>
      <c r="C61" s="391"/>
      <c r="D61" s="392"/>
      <c r="E61" s="393"/>
      <c r="F61" s="389"/>
      <c r="G61" s="318"/>
      <c r="H61" s="318"/>
      <c r="I61" s="319"/>
      <c r="J61" s="390"/>
      <c r="K61" s="318"/>
      <c r="L61" s="318"/>
      <c r="M61" s="319"/>
      <c r="N61" s="390"/>
      <c r="O61" s="318"/>
      <c r="P61" s="318"/>
      <c r="Q61" s="319"/>
      <c r="R61" s="390"/>
      <c r="S61" s="318"/>
      <c r="T61" s="318"/>
      <c r="U61" s="319"/>
      <c r="V61" s="390"/>
      <c r="W61" s="318"/>
      <c r="X61" s="318"/>
      <c r="Y61" s="319"/>
      <c r="Z61" s="317"/>
      <c r="AA61" s="318"/>
      <c r="AB61" s="318"/>
      <c r="AC61" s="319"/>
      <c r="AD61" s="390"/>
      <c r="AE61" s="318"/>
      <c r="AF61" s="318"/>
      <c r="AG61" s="319"/>
      <c r="AH61" s="390"/>
      <c r="AI61" s="318"/>
      <c r="AJ61" s="318"/>
      <c r="AK61" s="319"/>
      <c r="AL61" s="390"/>
      <c r="AM61" s="318"/>
      <c r="AN61" s="318"/>
      <c r="AO61" s="319"/>
      <c r="AP61" s="317"/>
      <c r="AQ61" s="318"/>
      <c r="AR61" s="318"/>
      <c r="AS61" s="319"/>
      <c r="AT61" s="390"/>
      <c r="AU61" s="318"/>
      <c r="AV61" s="318"/>
      <c r="AW61" s="319"/>
      <c r="AX61" s="390"/>
      <c r="AY61" s="318"/>
      <c r="AZ61" s="318"/>
      <c r="BA61" s="319"/>
      <c r="BB61" s="390"/>
      <c r="BC61" s="318"/>
      <c r="BD61" s="318"/>
      <c r="BE61" s="319"/>
      <c r="BF61" s="390"/>
      <c r="BG61" s="318"/>
      <c r="BH61" s="318"/>
      <c r="BI61" s="319"/>
      <c r="BJ61" s="390"/>
      <c r="BK61" s="318"/>
      <c r="BL61" s="318"/>
      <c r="BM61" s="319"/>
      <c r="BN61" s="390"/>
      <c r="BO61" s="318"/>
      <c r="BP61" s="318"/>
      <c r="BQ61" s="319"/>
      <c r="BR61" s="390"/>
      <c r="BS61" s="318"/>
      <c r="BT61" s="318"/>
      <c r="BU61" s="319"/>
      <c r="BV61" s="390"/>
      <c r="BW61" s="318"/>
      <c r="BX61" s="318"/>
      <c r="BY61" s="319"/>
      <c r="BZ61" s="390"/>
      <c r="CA61" s="318"/>
      <c r="CB61" s="318"/>
      <c r="CC61" s="319"/>
      <c r="CD61" s="390"/>
      <c r="CE61" s="318"/>
      <c r="CF61" s="318"/>
      <c r="CG61" s="319"/>
      <c r="CH61" s="317"/>
      <c r="CI61" s="318"/>
      <c r="CJ61" s="318"/>
      <c r="CK61" s="319"/>
      <c r="CL61" s="390"/>
      <c r="CM61" s="318"/>
      <c r="CN61" s="318"/>
      <c r="CO61" s="319"/>
      <c r="CP61" s="390"/>
      <c r="CQ61" s="318"/>
      <c r="CR61" s="318"/>
      <c r="CS61" s="319"/>
      <c r="CT61" s="390"/>
      <c r="CU61" s="318"/>
      <c r="CV61" s="318"/>
      <c r="CW61" s="319"/>
      <c r="CX61" s="390"/>
      <c r="CY61" s="318"/>
      <c r="CZ61" s="318"/>
      <c r="DA61" s="319"/>
      <c r="DB61" s="390"/>
      <c r="DC61" s="318"/>
      <c r="DD61" s="318"/>
      <c r="DE61" s="319"/>
      <c r="DF61" s="390"/>
      <c r="DG61" s="318"/>
      <c r="DH61" s="318"/>
      <c r="DI61" s="319"/>
      <c r="DJ61" s="390"/>
      <c r="DK61" s="318"/>
      <c r="DL61" s="318"/>
      <c r="DM61" s="319"/>
      <c r="DN61" s="390"/>
      <c r="DO61" s="318"/>
      <c r="DP61" s="318"/>
      <c r="DQ61" s="319"/>
      <c r="DR61" s="390"/>
      <c r="DS61" s="318"/>
      <c r="DT61" s="318"/>
      <c r="DU61" s="319"/>
      <c r="DV61" s="390"/>
      <c r="DW61" s="318"/>
      <c r="DX61" s="318"/>
      <c r="DY61" s="319"/>
      <c r="DZ61" s="390"/>
      <c r="EA61" s="318"/>
      <c r="EB61" s="318"/>
      <c r="EC61" s="319"/>
      <c r="ED61" s="390"/>
      <c r="EE61" s="318"/>
      <c r="EF61" s="318"/>
      <c r="EG61" s="319"/>
      <c r="EH61" s="390"/>
      <c r="EI61" s="318"/>
      <c r="EJ61" s="318"/>
      <c r="EK61" s="319"/>
      <c r="EL61" s="390"/>
      <c r="EM61" s="318"/>
      <c r="EN61" s="318"/>
      <c r="EO61" s="319"/>
      <c r="EP61" s="390"/>
      <c r="EQ61" s="318"/>
      <c r="ER61" s="318"/>
      <c r="ES61" s="319"/>
      <c r="ET61" s="42"/>
      <c r="EU61" s="12"/>
      <c r="EV61" s="12"/>
      <c r="EW61" s="30"/>
      <c r="EX61" s="30"/>
      <c r="EY61" s="30"/>
    </row>
    <row r="62" spans="2:155" s="43" customFormat="1" ht="29.25" customHeight="1">
      <c r="B62" s="47"/>
      <c r="C62" s="465" t="s">
        <v>44</v>
      </c>
      <c r="D62" s="466"/>
      <c r="E62" s="466"/>
      <c r="F62" s="314"/>
      <c r="G62" s="315"/>
      <c r="H62" s="315"/>
      <c r="I62" s="316"/>
      <c r="J62" s="314"/>
      <c r="K62" s="315"/>
      <c r="L62" s="315"/>
      <c r="M62" s="316"/>
      <c r="N62" s="314"/>
      <c r="O62" s="315"/>
      <c r="P62" s="315"/>
      <c r="Q62" s="316"/>
      <c r="R62" s="314"/>
      <c r="S62" s="315"/>
      <c r="T62" s="315"/>
      <c r="U62" s="316"/>
      <c r="V62" s="314"/>
      <c r="W62" s="315"/>
      <c r="X62" s="315"/>
      <c r="Y62" s="316"/>
      <c r="Z62" s="317"/>
      <c r="AA62" s="318"/>
      <c r="AB62" s="318"/>
      <c r="AC62" s="319"/>
      <c r="AD62" s="314"/>
      <c r="AE62" s="315"/>
      <c r="AF62" s="315"/>
      <c r="AG62" s="316"/>
      <c r="AH62" s="314"/>
      <c r="AI62" s="315"/>
      <c r="AJ62" s="315"/>
      <c r="AK62" s="316"/>
      <c r="AL62" s="314"/>
      <c r="AM62" s="315"/>
      <c r="AN62" s="315"/>
      <c r="AO62" s="316"/>
      <c r="AP62" s="317"/>
      <c r="AQ62" s="318"/>
      <c r="AR62" s="318"/>
      <c r="AS62" s="319"/>
      <c r="AT62" s="314"/>
      <c r="AU62" s="315"/>
      <c r="AV62" s="315"/>
      <c r="AW62" s="316"/>
      <c r="AX62" s="314"/>
      <c r="AY62" s="315"/>
      <c r="AZ62" s="315"/>
      <c r="BA62" s="316"/>
      <c r="BB62" s="314"/>
      <c r="BC62" s="315"/>
      <c r="BD62" s="315"/>
      <c r="BE62" s="316"/>
      <c r="BF62" s="314"/>
      <c r="BG62" s="315"/>
      <c r="BH62" s="315"/>
      <c r="BI62" s="316"/>
      <c r="BJ62" s="314"/>
      <c r="BK62" s="315"/>
      <c r="BL62" s="315"/>
      <c r="BM62" s="316"/>
      <c r="BN62" s="314"/>
      <c r="BO62" s="315"/>
      <c r="BP62" s="315"/>
      <c r="BQ62" s="316"/>
      <c r="BR62" s="314"/>
      <c r="BS62" s="315"/>
      <c r="BT62" s="315"/>
      <c r="BU62" s="316"/>
      <c r="BV62" s="314"/>
      <c r="BW62" s="315"/>
      <c r="BX62" s="315"/>
      <c r="BY62" s="316"/>
      <c r="BZ62" s="314"/>
      <c r="CA62" s="315"/>
      <c r="CB62" s="315"/>
      <c r="CC62" s="316"/>
      <c r="CD62" s="314"/>
      <c r="CE62" s="315"/>
      <c r="CF62" s="315"/>
      <c r="CG62" s="316"/>
      <c r="CH62" s="317"/>
      <c r="CI62" s="318"/>
      <c r="CJ62" s="318"/>
      <c r="CK62" s="319"/>
      <c r="CL62" s="314"/>
      <c r="CM62" s="315"/>
      <c r="CN62" s="315"/>
      <c r="CO62" s="316"/>
      <c r="CP62" s="314"/>
      <c r="CQ62" s="315"/>
      <c r="CR62" s="315"/>
      <c r="CS62" s="316"/>
      <c r="CT62" s="314"/>
      <c r="CU62" s="315"/>
      <c r="CV62" s="315"/>
      <c r="CW62" s="316"/>
      <c r="CX62" s="314"/>
      <c r="CY62" s="315"/>
      <c r="CZ62" s="315"/>
      <c r="DA62" s="316"/>
      <c r="DB62" s="314"/>
      <c r="DC62" s="315"/>
      <c r="DD62" s="315"/>
      <c r="DE62" s="316"/>
      <c r="DF62" s="314"/>
      <c r="DG62" s="315"/>
      <c r="DH62" s="315"/>
      <c r="DI62" s="316"/>
      <c r="DJ62" s="314"/>
      <c r="DK62" s="315"/>
      <c r="DL62" s="315"/>
      <c r="DM62" s="316"/>
      <c r="DN62" s="314"/>
      <c r="DO62" s="315"/>
      <c r="DP62" s="315"/>
      <c r="DQ62" s="316"/>
      <c r="DR62" s="314"/>
      <c r="DS62" s="315"/>
      <c r="DT62" s="315"/>
      <c r="DU62" s="316"/>
      <c r="DV62" s="314"/>
      <c r="DW62" s="315"/>
      <c r="DX62" s="315"/>
      <c r="DY62" s="316"/>
      <c r="DZ62" s="314"/>
      <c r="EA62" s="315"/>
      <c r="EB62" s="315"/>
      <c r="EC62" s="316"/>
      <c r="ED62" s="314"/>
      <c r="EE62" s="315"/>
      <c r="EF62" s="315"/>
      <c r="EG62" s="316"/>
      <c r="EH62" s="314"/>
      <c r="EI62" s="315"/>
      <c r="EJ62" s="315"/>
      <c r="EK62" s="316"/>
      <c r="EL62" s="314"/>
      <c r="EM62" s="315"/>
      <c r="EN62" s="315"/>
      <c r="EO62" s="316"/>
      <c r="EP62" s="314"/>
      <c r="EQ62" s="315"/>
      <c r="ER62" s="315"/>
      <c r="ES62" s="316"/>
      <c r="ET62" s="13">
        <f>SUM(ET41:ET46)</f>
        <v>114</v>
      </c>
      <c r="EU62" s="13">
        <f>SUM(EU41:EU46)</f>
        <v>51072</v>
      </c>
      <c r="EV62" s="13">
        <f>SUM(EV40:EV46)</f>
        <v>27360</v>
      </c>
      <c r="EW62" s="30"/>
      <c r="EX62" s="30"/>
      <c r="EY62" s="30"/>
    </row>
    <row r="63" spans="2:155" s="43" customFormat="1" ht="29.25" customHeight="1">
      <c r="B63" s="47"/>
      <c r="C63" s="465" t="s">
        <v>45</v>
      </c>
      <c r="D63" s="466"/>
      <c r="E63" s="466"/>
      <c r="F63" s="48"/>
      <c r="G63" s="49"/>
      <c r="H63" s="49"/>
      <c r="I63" s="50"/>
      <c r="J63" s="48"/>
      <c r="K63" s="49"/>
      <c r="L63" s="49"/>
      <c r="M63" s="50"/>
      <c r="N63" s="48"/>
      <c r="O63" s="49"/>
      <c r="P63" s="49"/>
      <c r="Q63" s="50"/>
      <c r="R63" s="48"/>
      <c r="S63" s="49"/>
      <c r="T63" s="49"/>
      <c r="U63" s="50"/>
      <c r="V63" s="48"/>
      <c r="W63" s="49"/>
      <c r="X63" s="49"/>
      <c r="Y63" s="50"/>
      <c r="Z63" s="51"/>
      <c r="AA63" s="52"/>
      <c r="AB63" s="52"/>
      <c r="AC63" s="53"/>
      <c r="AD63" s="48"/>
      <c r="AE63" s="49"/>
      <c r="AF63" s="49"/>
      <c r="AG63" s="50"/>
      <c r="AH63" s="48"/>
      <c r="AI63" s="49"/>
      <c r="AJ63" s="49"/>
      <c r="AK63" s="50"/>
      <c r="AL63" s="48"/>
      <c r="AM63" s="49"/>
      <c r="AN63" s="49"/>
      <c r="AO63" s="50"/>
      <c r="AP63" s="51"/>
      <c r="AQ63" s="52"/>
      <c r="AR63" s="52"/>
      <c r="AS63" s="53"/>
      <c r="AT63" s="48"/>
      <c r="AU63" s="49"/>
      <c r="AV63" s="49"/>
      <c r="AW63" s="50"/>
      <c r="AX63" s="48"/>
      <c r="AY63" s="49"/>
      <c r="AZ63" s="49"/>
      <c r="BA63" s="50"/>
      <c r="BB63" s="48"/>
      <c r="BC63" s="49"/>
      <c r="BD63" s="49"/>
      <c r="BE63" s="50"/>
      <c r="BF63" s="48"/>
      <c r="BG63" s="49"/>
      <c r="BH63" s="49"/>
      <c r="BI63" s="50"/>
      <c r="BJ63" s="48"/>
      <c r="BK63" s="49"/>
      <c r="BL63" s="49"/>
      <c r="BM63" s="50"/>
      <c r="BN63" s="48"/>
      <c r="BO63" s="49"/>
      <c r="BP63" s="49"/>
      <c r="BQ63" s="50"/>
      <c r="BR63" s="48"/>
      <c r="BS63" s="49"/>
      <c r="BT63" s="49"/>
      <c r="BU63" s="50"/>
      <c r="BV63" s="48"/>
      <c r="BW63" s="49"/>
      <c r="BX63" s="49"/>
      <c r="BY63" s="50"/>
      <c r="BZ63" s="48"/>
      <c r="CA63" s="49"/>
      <c r="CB63" s="49"/>
      <c r="CC63" s="50"/>
      <c r="CD63" s="48"/>
      <c r="CE63" s="49"/>
      <c r="CF63" s="49"/>
      <c r="CG63" s="50"/>
      <c r="CH63" s="51"/>
      <c r="CI63" s="52"/>
      <c r="CJ63" s="52"/>
      <c r="CK63" s="53"/>
      <c r="CL63" s="48"/>
      <c r="CM63" s="49"/>
      <c r="CN63" s="49"/>
      <c r="CO63" s="50"/>
      <c r="CP63" s="48"/>
      <c r="CQ63" s="49"/>
      <c r="CR63" s="49"/>
      <c r="CS63" s="50"/>
      <c r="CT63" s="48"/>
      <c r="CU63" s="49"/>
      <c r="CV63" s="49"/>
      <c r="CW63" s="50"/>
      <c r="CX63" s="48"/>
      <c r="CY63" s="49"/>
      <c r="CZ63" s="49"/>
      <c r="DA63" s="50"/>
      <c r="DB63" s="48"/>
      <c r="DC63" s="49"/>
      <c r="DD63" s="49"/>
      <c r="DE63" s="50"/>
      <c r="DF63" s="48"/>
      <c r="DG63" s="49"/>
      <c r="DH63" s="49"/>
      <c r="DI63" s="50"/>
      <c r="DJ63" s="48"/>
      <c r="DK63" s="49"/>
      <c r="DL63" s="49"/>
      <c r="DM63" s="50"/>
      <c r="DN63" s="48"/>
      <c r="DO63" s="49"/>
      <c r="DP63" s="49"/>
      <c r="DQ63" s="50"/>
      <c r="DR63" s="48"/>
      <c r="DS63" s="49"/>
      <c r="DT63" s="49"/>
      <c r="DU63" s="50"/>
      <c r="DV63" s="48"/>
      <c r="DW63" s="49"/>
      <c r="DX63" s="49"/>
      <c r="DY63" s="50"/>
      <c r="DZ63" s="48"/>
      <c r="EA63" s="49"/>
      <c r="EB63" s="49"/>
      <c r="EC63" s="50"/>
      <c r="ED63" s="48"/>
      <c r="EE63" s="49"/>
      <c r="EF63" s="49"/>
      <c r="EG63" s="50"/>
      <c r="EH63" s="48"/>
      <c r="EI63" s="49"/>
      <c r="EJ63" s="49"/>
      <c r="EK63" s="50"/>
      <c r="EL63" s="48"/>
      <c r="EM63" s="49"/>
      <c r="EN63" s="49"/>
      <c r="EO63" s="50"/>
      <c r="EP63" s="48"/>
      <c r="EQ63" s="49"/>
      <c r="ER63" s="49"/>
      <c r="ES63" s="50"/>
      <c r="ET63" s="13">
        <f>+ET62+ET39</f>
        <v>1554</v>
      </c>
      <c r="EU63" s="13">
        <f>+EU62+EU39</f>
        <v>696192</v>
      </c>
      <c r="EV63" s="13">
        <f>+EV62+EV39</f>
        <v>41760</v>
      </c>
      <c r="EW63" s="30"/>
      <c r="EX63" s="30"/>
      <c r="EY63" s="30"/>
    </row>
    <row r="64" spans="2:155" s="30" customFormat="1" ht="29.25" customHeight="1" thickBot="1">
      <c r="B64" s="59"/>
      <c r="C64" s="60"/>
      <c r="D64" s="61"/>
      <c r="E64" s="62"/>
      <c r="F64" s="63"/>
      <c r="G64" s="64"/>
      <c r="H64" s="64"/>
      <c r="I64" s="65"/>
      <c r="J64" s="63"/>
      <c r="K64" s="64"/>
      <c r="L64" s="64"/>
      <c r="M64" s="65"/>
      <c r="N64" s="63"/>
      <c r="O64" s="64"/>
      <c r="P64" s="64"/>
      <c r="Q64" s="65"/>
      <c r="R64" s="63"/>
      <c r="S64" s="64"/>
      <c r="T64" s="64"/>
      <c r="U64" s="65"/>
      <c r="V64" s="63"/>
      <c r="W64" s="64"/>
      <c r="X64" s="64"/>
      <c r="Y64" s="65"/>
      <c r="Z64" s="63"/>
      <c r="AA64" s="64"/>
      <c r="AB64" s="64"/>
      <c r="AC64" s="65"/>
      <c r="AD64" s="63"/>
      <c r="AE64" s="64"/>
      <c r="AF64" s="64"/>
      <c r="AG64" s="65"/>
      <c r="AH64" s="63"/>
      <c r="AI64" s="64"/>
      <c r="AJ64" s="64"/>
      <c r="AK64" s="65"/>
      <c r="AL64" s="63"/>
      <c r="AM64" s="64"/>
      <c r="AN64" s="64"/>
      <c r="AO64" s="65"/>
      <c r="AP64" s="63"/>
      <c r="AQ64" s="64"/>
      <c r="AR64" s="64"/>
      <c r="AS64" s="65"/>
      <c r="AT64" s="63"/>
      <c r="AU64" s="64"/>
      <c r="AV64" s="64"/>
      <c r="AW64" s="65"/>
      <c r="AX64" s="63"/>
      <c r="AY64" s="64"/>
      <c r="AZ64" s="64"/>
      <c r="BA64" s="65"/>
      <c r="BB64" s="63"/>
      <c r="BC64" s="64"/>
      <c r="BD64" s="64"/>
      <c r="BE64" s="65"/>
      <c r="BF64" s="63"/>
      <c r="BG64" s="64"/>
      <c r="BH64" s="64"/>
      <c r="BI64" s="65"/>
      <c r="BJ64" s="63"/>
      <c r="BK64" s="64"/>
      <c r="BL64" s="64"/>
      <c r="BM64" s="65"/>
      <c r="BN64" s="63"/>
      <c r="BO64" s="64"/>
      <c r="BP64" s="64"/>
      <c r="BQ64" s="65"/>
      <c r="BR64" s="63"/>
      <c r="BS64" s="64"/>
      <c r="BT64" s="64"/>
      <c r="BU64" s="65"/>
      <c r="BV64" s="63"/>
      <c r="BW64" s="64"/>
      <c r="BX64" s="64"/>
      <c r="BY64" s="65"/>
      <c r="BZ64" s="63"/>
      <c r="CA64" s="64"/>
      <c r="CB64" s="64"/>
      <c r="CC64" s="65"/>
      <c r="CD64" s="63"/>
      <c r="CE64" s="64"/>
      <c r="CF64" s="64"/>
      <c r="CG64" s="65"/>
      <c r="CH64" s="63"/>
      <c r="CI64" s="64"/>
      <c r="CJ64" s="64"/>
      <c r="CK64" s="65"/>
      <c r="CL64" s="63"/>
      <c r="CM64" s="64"/>
      <c r="CN64" s="64"/>
      <c r="CO64" s="65"/>
      <c r="CP64" s="63"/>
      <c r="CQ64" s="64"/>
      <c r="CR64" s="64"/>
      <c r="CS64" s="65"/>
      <c r="CT64" s="63"/>
      <c r="CU64" s="64"/>
      <c r="CV64" s="64"/>
      <c r="CW64" s="65"/>
      <c r="CX64" s="63"/>
      <c r="CY64" s="64"/>
      <c r="CZ64" s="64"/>
      <c r="DA64" s="65"/>
      <c r="DB64" s="63"/>
      <c r="DC64" s="64"/>
      <c r="DD64" s="64"/>
      <c r="DE64" s="65"/>
      <c r="DF64" s="63"/>
      <c r="DG64" s="64"/>
      <c r="DH64" s="64"/>
      <c r="DI64" s="65"/>
      <c r="DJ64" s="63"/>
      <c r="DK64" s="64"/>
      <c r="DL64" s="64"/>
      <c r="DM64" s="65"/>
      <c r="DN64" s="63"/>
      <c r="DO64" s="64"/>
      <c r="DP64" s="64"/>
      <c r="DQ64" s="65"/>
      <c r="DR64" s="63"/>
      <c r="DS64" s="64"/>
      <c r="DT64" s="64"/>
      <c r="DU64" s="65"/>
      <c r="DV64" s="63"/>
      <c r="DW64" s="64"/>
      <c r="DX64" s="64"/>
      <c r="DY64" s="65"/>
      <c r="DZ64" s="63"/>
      <c r="EA64" s="64"/>
      <c r="EB64" s="64"/>
      <c r="EC64" s="65"/>
      <c r="ED64" s="63"/>
      <c r="EE64" s="64"/>
      <c r="EF64" s="64"/>
      <c r="EG64" s="65"/>
      <c r="EH64" s="63"/>
      <c r="EI64" s="64"/>
      <c r="EJ64" s="64"/>
      <c r="EK64" s="65"/>
      <c r="EL64" s="63"/>
      <c r="EM64" s="64"/>
      <c r="EN64" s="64"/>
      <c r="EO64" s="65"/>
      <c r="EP64" s="63"/>
      <c r="EQ64" s="64"/>
      <c r="ER64" s="64"/>
      <c r="ES64" s="65"/>
      <c r="ET64" s="46"/>
      <c r="EU64" s="18"/>
      <c r="EV64" s="46"/>
    </row>
    <row r="65" spans="150:155" ht="28.5" customHeight="1">
      <c r="ET65" s="66"/>
      <c r="EU65" s="66"/>
      <c r="EV65" s="66"/>
      <c r="EW65" s="30"/>
      <c r="EX65" s="30"/>
      <c r="EY65" s="30"/>
    </row>
    <row r="66" spans="150:155" ht="28.5" customHeight="1">
      <c r="EW66" s="30"/>
      <c r="EX66" s="30"/>
      <c r="EY66" s="30"/>
    </row>
    <row r="67" spans="150:155" ht="28.5" customHeight="1">
      <c r="EW67" s="30"/>
      <c r="EX67" s="30"/>
      <c r="EY67" s="30"/>
    </row>
    <row r="68" spans="150:155" ht="28.5" customHeight="1">
      <c r="EU68" s="67"/>
      <c r="EV68" s="67"/>
      <c r="EW68" s="30"/>
      <c r="EX68" s="30"/>
      <c r="EY68" s="30"/>
    </row>
  </sheetData>
  <mergeCells count="75">
    <mergeCell ref="ED5:EG5"/>
    <mergeCell ref="EH5:EK5"/>
    <mergeCell ref="EL5:EO5"/>
    <mergeCell ref="EP5:ES5"/>
    <mergeCell ref="ED4:EG4"/>
    <mergeCell ref="EH4:EK4"/>
    <mergeCell ref="EL4:EO4"/>
    <mergeCell ref="EP4:ES4"/>
    <mergeCell ref="DZ4:EC4"/>
    <mergeCell ref="DF5:DI5"/>
    <mergeCell ref="DJ5:DM5"/>
    <mergeCell ref="DN5:DQ5"/>
    <mergeCell ref="DR5:DU5"/>
    <mergeCell ref="DV5:DY5"/>
    <mergeCell ref="DZ5:EC5"/>
    <mergeCell ref="DF4:DI4"/>
    <mergeCell ref="DJ4:DM4"/>
    <mergeCell ref="DN4:DQ4"/>
    <mergeCell ref="DR4:DU4"/>
    <mergeCell ref="DV4:DY4"/>
    <mergeCell ref="DB4:DE4"/>
    <mergeCell ref="DB5:DE5"/>
    <mergeCell ref="AP4:AS4"/>
    <mergeCell ref="BV4:BY4"/>
    <mergeCell ref="BZ4:CC4"/>
    <mergeCell ref="CD4:CG4"/>
    <mergeCell ref="AP5:AS5"/>
    <mergeCell ref="BV5:BY5"/>
    <mergeCell ref="BZ5:CC5"/>
    <mergeCell ref="CD5:CG5"/>
    <mergeCell ref="AT4:AW4"/>
    <mergeCell ref="AX4:BA4"/>
    <mergeCell ref="BB4:BE4"/>
    <mergeCell ref="BF4:BI4"/>
    <mergeCell ref="BJ4:BM4"/>
    <mergeCell ref="BN4:BQ4"/>
    <mergeCell ref="BR4:BU4"/>
    <mergeCell ref="AT5:AW5"/>
    <mergeCell ref="C62:E62"/>
    <mergeCell ref="C63:E63"/>
    <mergeCell ref="AD5:AG5"/>
    <mergeCell ref="F5:I5"/>
    <mergeCell ref="J5:M5"/>
    <mergeCell ref="N5:Q5"/>
    <mergeCell ref="R5:U5"/>
    <mergeCell ref="V5:Y5"/>
    <mergeCell ref="Z5:AC5"/>
    <mergeCell ref="C39:E39"/>
    <mergeCell ref="F4:I4"/>
    <mergeCell ref="J4:M4"/>
    <mergeCell ref="N4:Q4"/>
    <mergeCell ref="R4:U4"/>
    <mergeCell ref="V4:Y4"/>
    <mergeCell ref="CT4:CW4"/>
    <mergeCell ref="CX4:DA4"/>
    <mergeCell ref="CT5:CW5"/>
    <mergeCell ref="CX5:DA5"/>
    <mergeCell ref="Z4:AC4"/>
    <mergeCell ref="AD4:AG4"/>
    <mergeCell ref="AH4:AK4"/>
    <mergeCell ref="AL4:AO4"/>
    <mergeCell ref="CH4:CK4"/>
    <mergeCell ref="AH5:AK5"/>
    <mergeCell ref="AL5:AO5"/>
    <mergeCell ref="CH5:CK5"/>
    <mergeCell ref="CL4:CO4"/>
    <mergeCell ref="CP4:CS4"/>
    <mergeCell ref="CL5:CO5"/>
    <mergeCell ref="CP5:CS5"/>
    <mergeCell ref="BR5:BU5"/>
    <mergeCell ref="AX5:BA5"/>
    <mergeCell ref="BB5:BE5"/>
    <mergeCell ref="BF5:BI5"/>
    <mergeCell ref="BJ5:BM5"/>
    <mergeCell ref="BN5:BQ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W36"/>
  <sheetViews>
    <sheetView showZeros="0" view="pageBreakPreview" zoomScale="55" zoomScaleNormal="85" zoomScaleSheetLayoutView="55" workbookViewId="0">
      <pane xSplit="7" ySplit="5" topLeftCell="H6" activePane="bottomRight" state="frozen"/>
      <selection activeCell="AR78" sqref="AR78:AT81"/>
      <selection pane="topRight" activeCell="AR78" sqref="AR78:AT81"/>
      <selection pane="bottomLeft" activeCell="AR78" sqref="AR78:AT81"/>
      <selection pane="bottomRight" activeCell="EV32" sqref="EV32"/>
    </sheetView>
  </sheetViews>
  <sheetFormatPr defaultColWidth="9.109375" defaultRowHeight="28.5" customHeight="1"/>
  <cols>
    <col min="1" max="2" width="9.109375" style="2"/>
    <col min="3" max="3" width="54.88671875" style="2" customWidth="1"/>
    <col min="4" max="5" width="11.33203125" style="2" customWidth="1"/>
    <col min="6" max="6" width="12.5546875" style="2" customWidth="1"/>
    <col min="7" max="7" width="9.109375" style="2" customWidth="1"/>
    <col min="8" max="43" width="4" style="1" customWidth="1"/>
    <col min="44" max="47" width="4" style="98" customWidth="1"/>
    <col min="48" max="151" width="4" style="1" customWidth="1"/>
    <col min="152" max="152" width="13.33203125" style="68" customWidth="1"/>
    <col min="153" max="16384" width="9.109375" style="2"/>
  </cols>
  <sheetData>
    <row r="1" spans="2:153" ht="28.5" customHeight="1">
      <c r="C1" s="471" t="s">
        <v>0</v>
      </c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  <c r="AD1" s="471"/>
      <c r="AE1" s="471"/>
      <c r="AF1" s="471"/>
      <c r="AG1" s="471"/>
      <c r="AH1" s="471"/>
      <c r="AI1" s="471"/>
      <c r="AJ1" s="471"/>
      <c r="AK1" s="471"/>
      <c r="AL1" s="471"/>
      <c r="AM1" s="471"/>
      <c r="AN1" s="471"/>
      <c r="AO1" s="471"/>
      <c r="AP1" s="471"/>
      <c r="AQ1" s="471"/>
      <c r="AR1" s="471"/>
      <c r="AS1" s="471"/>
      <c r="AT1" s="471"/>
      <c r="AU1" s="471"/>
      <c r="AV1" s="471"/>
      <c r="AW1" s="471"/>
      <c r="AX1" s="471"/>
      <c r="AY1" s="471"/>
      <c r="AZ1" s="471"/>
      <c r="BA1" s="471"/>
      <c r="BB1" s="471"/>
      <c r="BC1" s="471"/>
      <c r="BD1" s="471"/>
      <c r="BE1" s="471"/>
      <c r="BF1" s="471"/>
      <c r="BG1" s="471"/>
      <c r="BH1" s="471"/>
      <c r="BI1" s="471"/>
      <c r="BJ1" s="471"/>
      <c r="BK1" s="471"/>
      <c r="BL1" s="471"/>
      <c r="BM1" s="471"/>
      <c r="BN1" s="471"/>
      <c r="BO1" s="471"/>
      <c r="BP1" s="471"/>
      <c r="BQ1" s="471"/>
      <c r="BR1" s="471"/>
      <c r="BS1" s="471"/>
      <c r="BT1" s="471"/>
      <c r="BU1" s="471"/>
      <c r="BV1" s="471"/>
      <c r="BW1" s="471"/>
      <c r="BX1" s="471"/>
      <c r="BY1" s="471"/>
      <c r="BZ1" s="471"/>
      <c r="CA1" s="471"/>
      <c r="CB1" s="471"/>
      <c r="CC1" s="471"/>
      <c r="CD1" s="471"/>
      <c r="CE1" s="471"/>
      <c r="CF1" s="471"/>
      <c r="CG1" s="471"/>
      <c r="CH1" s="471"/>
      <c r="CI1" s="471"/>
      <c r="CJ1" s="471"/>
      <c r="CK1" s="471"/>
      <c r="CL1" s="471"/>
      <c r="CM1" s="471"/>
      <c r="CN1" s="471"/>
      <c r="CO1" s="471"/>
      <c r="CP1" s="471"/>
      <c r="CQ1" s="471"/>
      <c r="CR1" s="471"/>
      <c r="CS1" s="471"/>
      <c r="CT1" s="471"/>
      <c r="CU1" s="471"/>
      <c r="CV1" s="471"/>
      <c r="CW1" s="471"/>
      <c r="CX1" s="471"/>
      <c r="CY1" s="471"/>
      <c r="CZ1" s="471"/>
      <c r="DA1" s="471"/>
      <c r="DB1" s="471"/>
      <c r="DC1" s="471"/>
      <c r="DD1" s="440"/>
      <c r="DE1" s="440"/>
      <c r="DF1" s="440"/>
      <c r="DG1" s="440"/>
      <c r="DH1" s="453"/>
      <c r="DI1" s="453"/>
      <c r="DJ1" s="453"/>
      <c r="DK1" s="453"/>
      <c r="DL1" s="453"/>
      <c r="DM1" s="453"/>
      <c r="DN1" s="453"/>
      <c r="DO1" s="453"/>
      <c r="DP1" s="453"/>
      <c r="DQ1" s="453"/>
      <c r="DR1" s="453"/>
      <c r="DS1" s="453"/>
      <c r="DT1" s="453"/>
      <c r="DU1" s="453"/>
      <c r="DV1" s="453"/>
      <c r="DW1" s="453"/>
      <c r="DX1" s="453"/>
      <c r="DY1" s="453"/>
      <c r="DZ1" s="453"/>
      <c r="EA1" s="453"/>
      <c r="EB1" s="453"/>
      <c r="EC1" s="453"/>
      <c r="ED1" s="453"/>
      <c r="EE1" s="453"/>
      <c r="EF1" s="453"/>
      <c r="EG1" s="453"/>
      <c r="EH1" s="453"/>
      <c r="EI1" s="453"/>
      <c r="EJ1" s="453"/>
      <c r="EK1" s="453"/>
      <c r="EL1" s="453"/>
      <c r="EM1" s="453"/>
      <c r="EN1" s="453"/>
      <c r="EO1" s="453"/>
      <c r="EP1" s="453"/>
      <c r="EQ1" s="453"/>
      <c r="ER1" s="453"/>
      <c r="ES1" s="453"/>
      <c r="ET1" s="453"/>
      <c r="EU1" s="453"/>
    </row>
    <row r="2" spans="2:153" ht="28.5" customHeight="1">
      <c r="C2" s="4" t="s">
        <v>1</v>
      </c>
      <c r="D2" s="472" t="str">
        <f>+schedule_ARAS!D2</f>
        <v>FİLYOS LİMANI TAHKİMAT İŞİ</v>
      </c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  <c r="AB2" s="472"/>
      <c r="AC2" s="472"/>
      <c r="AD2" s="472"/>
      <c r="AE2" s="472"/>
      <c r="AF2" s="472"/>
      <c r="AG2" s="472"/>
      <c r="AH2" s="472"/>
      <c r="AI2" s="472"/>
      <c r="AJ2" s="472"/>
      <c r="AK2" s="472"/>
      <c r="AL2" s="472"/>
      <c r="AM2" s="472"/>
      <c r="AN2" s="472"/>
      <c r="AO2" s="472"/>
      <c r="AP2" s="472"/>
      <c r="AQ2" s="472"/>
      <c r="AR2" s="472"/>
      <c r="AS2" s="472"/>
      <c r="AT2" s="472"/>
      <c r="AU2" s="472"/>
      <c r="AV2" s="472"/>
      <c r="AW2" s="472"/>
      <c r="AX2" s="472"/>
      <c r="AY2" s="472"/>
      <c r="AZ2" s="472"/>
      <c r="BA2" s="472"/>
      <c r="BB2" s="472"/>
      <c r="BC2" s="472"/>
      <c r="BD2" s="472"/>
      <c r="BE2" s="472"/>
      <c r="BF2" s="472"/>
      <c r="BG2" s="472"/>
      <c r="BH2" s="472"/>
      <c r="BI2" s="472"/>
      <c r="BJ2" s="472"/>
      <c r="BK2" s="472"/>
      <c r="BL2" s="472"/>
      <c r="BM2" s="472"/>
      <c r="BN2" s="472"/>
      <c r="BO2" s="472"/>
      <c r="BP2" s="472"/>
      <c r="BQ2" s="472"/>
      <c r="BR2" s="472"/>
      <c r="BS2" s="472"/>
      <c r="BT2" s="472"/>
      <c r="BU2" s="472"/>
      <c r="BV2" s="472"/>
      <c r="BW2" s="472"/>
      <c r="BX2" s="472"/>
      <c r="BY2" s="472"/>
      <c r="BZ2" s="472"/>
      <c r="CA2" s="472"/>
      <c r="CB2" s="472"/>
      <c r="CC2" s="472"/>
      <c r="CD2" s="472"/>
      <c r="CE2" s="472"/>
      <c r="CF2" s="472"/>
      <c r="CG2" s="472"/>
      <c r="CH2" s="472"/>
      <c r="CI2" s="472"/>
      <c r="CJ2" s="472"/>
      <c r="CK2" s="472"/>
      <c r="CL2" s="472"/>
      <c r="CM2" s="472"/>
      <c r="CN2" s="472"/>
      <c r="CO2" s="472"/>
      <c r="CP2" s="472"/>
      <c r="CQ2" s="472"/>
      <c r="CR2" s="472"/>
      <c r="CS2" s="472"/>
      <c r="CT2" s="472"/>
      <c r="CU2" s="472"/>
      <c r="CV2" s="472"/>
      <c r="CW2" s="472"/>
      <c r="CX2" s="472"/>
      <c r="CY2" s="472"/>
      <c r="CZ2" s="472"/>
      <c r="DA2" s="472"/>
      <c r="DB2" s="472"/>
      <c r="DC2" s="472"/>
      <c r="DD2" s="441"/>
      <c r="DE2" s="441"/>
      <c r="DF2" s="441"/>
      <c r="DG2" s="441"/>
      <c r="DH2" s="454"/>
      <c r="DI2" s="454"/>
      <c r="DJ2" s="454"/>
      <c r="DK2" s="454"/>
      <c r="DL2" s="454"/>
      <c r="DM2" s="454"/>
      <c r="DN2" s="454"/>
      <c r="DO2" s="454"/>
      <c r="DP2" s="454"/>
      <c r="DQ2" s="454"/>
      <c r="DR2" s="454"/>
      <c r="DS2" s="454"/>
      <c r="DT2" s="454"/>
      <c r="DU2" s="454"/>
      <c r="DV2" s="454"/>
      <c r="DW2" s="454"/>
      <c r="DX2" s="454"/>
      <c r="DY2" s="454"/>
      <c r="DZ2" s="454"/>
      <c r="EA2" s="454"/>
      <c r="EB2" s="454"/>
      <c r="EC2" s="454"/>
      <c r="ED2" s="454"/>
      <c r="EE2" s="454"/>
      <c r="EF2" s="454"/>
      <c r="EG2" s="454"/>
      <c r="EH2" s="454"/>
      <c r="EI2" s="454"/>
      <c r="EJ2" s="454"/>
      <c r="EK2" s="454"/>
      <c r="EL2" s="454"/>
      <c r="EM2" s="454"/>
      <c r="EN2" s="454"/>
      <c r="EO2" s="454"/>
      <c r="EP2" s="454"/>
      <c r="EQ2" s="454"/>
      <c r="ER2" s="454"/>
      <c r="ES2" s="454"/>
      <c r="ET2" s="454"/>
      <c r="EU2" s="454"/>
    </row>
    <row r="3" spans="2:153" ht="17.399999999999999" thickBot="1">
      <c r="C3" s="4" t="s">
        <v>2</v>
      </c>
      <c r="D3" s="5">
        <f>+schedule_ARAS!D3</f>
        <v>36</v>
      </c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9"/>
      <c r="AS3" s="69"/>
      <c r="AT3" s="69"/>
      <c r="AU3" s="69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</row>
    <row r="4" spans="2:153" ht="44.25" customHeight="1" thickBot="1">
      <c r="H4" s="468"/>
      <c r="I4" s="469"/>
      <c r="J4" s="469"/>
      <c r="K4" s="470"/>
      <c r="L4" s="468"/>
      <c r="M4" s="469"/>
      <c r="N4" s="469"/>
      <c r="O4" s="470"/>
      <c r="P4" s="468"/>
      <c r="Q4" s="469"/>
      <c r="R4" s="469"/>
      <c r="S4" s="470"/>
      <c r="T4" s="468"/>
      <c r="U4" s="469"/>
      <c r="V4" s="469"/>
      <c r="W4" s="470"/>
      <c r="X4" s="468"/>
      <c r="Y4" s="469"/>
      <c r="Z4" s="469"/>
      <c r="AA4" s="470"/>
      <c r="AB4" s="468"/>
      <c r="AC4" s="469"/>
      <c r="AD4" s="469"/>
      <c r="AE4" s="470"/>
      <c r="AF4" s="468"/>
      <c r="AG4" s="469"/>
      <c r="AH4" s="469"/>
      <c r="AI4" s="470"/>
      <c r="AJ4" s="468"/>
      <c r="AK4" s="469"/>
      <c r="AL4" s="469"/>
      <c r="AM4" s="470"/>
      <c r="AN4" s="468"/>
      <c r="AO4" s="469"/>
      <c r="AP4" s="469"/>
      <c r="AQ4" s="470"/>
      <c r="AR4" s="468"/>
      <c r="AS4" s="469"/>
      <c r="AT4" s="469"/>
      <c r="AU4" s="470"/>
      <c r="AV4" s="468"/>
      <c r="AW4" s="469"/>
      <c r="AX4" s="469"/>
      <c r="AY4" s="470"/>
      <c r="AZ4" s="468"/>
      <c r="BA4" s="469"/>
      <c r="BB4" s="469"/>
      <c r="BC4" s="470"/>
      <c r="BD4" s="468"/>
      <c r="BE4" s="469"/>
      <c r="BF4" s="469"/>
      <c r="BG4" s="470"/>
      <c r="BH4" s="468"/>
      <c r="BI4" s="469"/>
      <c r="BJ4" s="469"/>
      <c r="BK4" s="470"/>
      <c r="BL4" s="468"/>
      <c r="BM4" s="469"/>
      <c r="BN4" s="469"/>
      <c r="BO4" s="470"/>
      <c r="BP4" s="468"/>
      <c r="BQ4" s="469"/>
      <c r="BR4" s="469"/>
      <c r="BS4" s="470"/>
      <c r="BT4" s="468"/>
      <c r="BU4" s="469"/>
      <c r="BV4" s="469"/>
      <c r="BW4" s="470"/>
      <c r="BX4" s="468"/>
      <c r="BY4" s="469"/>
      <c r="BZ4" s="469"/>
      <c r="CA4" s="470"/>
      <c r="CB4" s="468"/>
      <c r="CC4" s="469"/>
      <c r="CD4" s="469"/>
      <c r="CE4" s="470"/>
      <c r="CF4" s="468"/>
      <c r="CG4" s="469"/>
      <c r="CH4" s="469"/>
      <c r="CI4" s="470"/>
      <c r="CJ4" s="468"/>
      <c r="CK4" s="469"/>
      <c r="CL4" s="469"/>
      <c r="CM4" s="470"/>
      <c r="CN4" s="468"/>
      <c r="CO4" s="469"/>
      <c r="CP4" s="469"/>
      <c r="CQ4" s="470"/>
      <c r="CR4" s="468"/>
      <c r="CS4" s="469"/>
      <c r="CT4" s="469"/>
      <c r="CU4" s="470"/>
      <c r="CV4" s="468"/>
      <c r="CW4" s="469"/>
      <c r="CX4" s="469"/>
      <c r="CY4" s="470"/>
      <c r="CZ4" s="468"/>
      <c r="DA4" s="469"/>
      <c r="DB4" s="469"/>
      <c r="DC4" s="470"/>
      <c r="DD4" s="468"/>
      <c r="DE4" s="469"/>
      <c r="DF4" s="469"/>
      <c r="DG4" s="470"/>
      <c r="DH4" s="497"/>
      <c r="DI4" s="497"/>
      <c r="DJ4" s="497"/>
      <c r="DK4" s="497"/>
      <c r="DL4" s="497"/>
      <c r="DM4" s="497"/>
      <c r="DN4" s="497"/>
      <c r="DO4" s="497"/>
      <c r="DP4" s="497"/>
      <c r="DQ4" s="497"/>
      <c r="DR4" s="497"/>
      <c r="DS4" s="497"/>
      <c r="DT4" s="497"/>
      <c r="DU4" s="497"/>
      <c r="DV4" s="497"/>
      <c r="DW4" s="497"/>
      <c r="DX4" s="497"/>
      <c r="DY4" s="497"/>
      <c r="DZ4" s="497"/>
      <c r="EA4" s="497"/>
      <c r="EB4" s="497"/>
      <c r="EC4" s="497"/>
      <c r="ED4" s="497"/>
      <c r="EE4" s="497"/>
      <c r="EF4" s="497"/>
      <c r="EG4" s="497"/>
      <c r="EH4" s="497"/>
      <c r="EI4" s="497"/>
      <c r="EJ4" s="497"/>
      <c r="EK4" s="497"/>
      <c r="EL4" s="497"/>
      <c r="EM4" s="497"/>
      <c r="EN4" s="497"/>
      <c r="EO4" s="497"/>
      <c r="EP4" s="497"/>
      <c r="EQ4" s="497"/>
      <c r="ER4" s="497"/>
      <c r="ES4" s="497"/>
      <c r="ET4" s="497"/>
      <c r="EU4" s="497"/>
    </row>
    <row r="5" spans="2:153" s="9" customFormat="1" ht="44.25" customHeight="1" thickBot="1">
      <c r="B5" s="7" t="s">
        <v>4</v>
      </c>
      <c r="C5" s="7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468" t="s">
        <v>10</v>
      </c>
      <c r="I5" s="469"/>
      <c r="J5" s="469"/>
      <c r="K5" s="470"/>
      <c r="L5" s="468" t="s">
        <v>11</v>
      </c>
      <c r="M5" s="469"/>
      <c r="N5" s="469"/>
      <c r="O5" s="470"/>
      <c r="P5" s="468" t="s">
        <v>12</v>
      </c>
      <c r="Q5" s="469"/>
      <c r="R5" s="469"/>
      <c r="S5" s="470"/>
      <c r="T5" s="468" t="s">
        <v>13</v>
      </c>
      <c r="U5" s="469"/>
      <c r="V5" s="469"/>
      <c r="W5" s="470"/>
      <c r="X5" s="468" t="s">
        <v>14</v>
      </c>
      <c r="Y5" s="469"/>
      <c r="Z5" s="469"/>
      <c r="AA5" s="470"/>
      <c r="AB5" s="468" t="s">
        <v>15</v>
      </c>
      <c r="AC5" s="469"/>
      <c r="AD5" s="469"/>
      <c r="AE5" s="470"/>
      <c r="AF5" s="468" t="s">
        <v>16</v>
      </c>
      <c r="AG5" s="469"/>
      <c r="AH5" s="469"/>
      <c r="AI5" s="470"/>
      <c r="AJ5" s="468" t="s">
        <v>17</v>
      </c>
      <c r="AK5" s="469"/>
      <c r="AL5" s="469"/>
      <c r="AM5" s="470"/>
      <c r="AN5" s="468" t="s">
        <v>18</v>
      </c>
      <c r="AO5" s="469"/>
      <c r="AP5" s="469"/>
      <c r="AQ5" s="470"/>
      <c r="AR5" s="468" t="s">
        <v>19</v>
      </c>
      <c r="AS5" s="469"/>
      <c r="AT5" s="469"/>
      <c r="AU5" s="470"/>
      <c r="AV5" s="468" t="s">
        <v>20</v>
      </c>
      <c r="AW5" s="469"/>
      <c r="AX5" s="469"/>
      <c r="AY5" s="470"/>
      <c r="AZ5" s="468" t="s">
        <v>166</v>
      </c>
      <c r="BA5" s="469"/>
      <c r="BB5" s="469"/>
      <c r="BC5" s="470"/>
      <c r="BD5" s="468" t="s">
        <v>167</v>
      </c>
      <c r="BE5" s="469"/>
      <c r="BF5" s="469"/>
      <c r="BG5" s="470"/>
      <c r="BH5" s="468" t="s">
        <v>168</v>
      </c>
      <c r="BI5" s="469"/>
      <c r="BJ5" s="469"/>
      <c r="BK5" s="470"/>
      <c r="BL5" s="468" t="s">
        <v>169</v>
      </c>
      <c r="BM5" s="469"/>
      <c r="BN5" s="469"/>
      <c r="BO5" s="470"/>
      <c r="BP5" s="468" t="s">
        <v>174</v>
      </c>
      <c r="BQ5" s="469"/>
      <c r="BR5" s="469"/>
      <c r="BS5" s="470"/>
      <c r="BT5" s="468" t="s">
        <v>193</v>
      </c>
      <c r="BU5" s="469"/>
      <c r="BV5" s="469"/>
      <c r="BW5" s="470"/>
      <c r="BX5" s="468" t="s">
        <v>194</v>
      </c>
      <c r="BY5" s="469"/>
      <c r="BZ5" s="469"/>
      <c r="CA5" s="470"/>
      <c r="CB5" s="468" t="s">
        <v>197</v>
      </c>
      <c r="CC5" s="469"/>
      <c r="CD5" s="469"/>
      <c r="CE5" s="470"/>
      <c r="CF5" s="468" t="s">
        <v>198</v>
      </c>
      <c r="CG5" s="469"/>
      <c r="CH5" s="469"/>
      <c r="CI5" s="470"/>
      <c r="CJ5" s="468" t="s">
        <v>199</v>
      </c>
      <c r="CK5" s="469"/>
      <c r="CL5" s="469"/>
      <c r="CM5" s="470"/>
      <c r="CN5" s="468" t="s">
        <v>200</v>
      </c>
      <c r="CO5" s="469"/>
      <c r="CP5" s="469"/>
      <c r="CQ5" s="470"/>
      <c r="CR5" s="468" t="s">
        <v>201</v>
      </c>
      <c r="CS5" s="469"/>
      <c r="CT5" s="469"/>
      <c r="CU5" s="470"/>
      <c r="CV5" s="468" t="s">
        <v>202</v>
      </c>
      <c r="CW5" s="469"/>
      <c r="CX5" s="469"/>
      <c r="CY5" s="470"/>
      <c r="CZ5" s="468" t="s">
        <v>203</v>
      </c>
      <c r="DA5" s="469"/>
      <c r="DB5" s="469"/>
      <c r="DC5" s="470"/>
      <c r="DD5" s="468" t="s">
        <v>220</v>
      </c>
      <c r="DE5" s="469"/>
      <c r="DF5" s="469"/>
      <c r="DG5" s="470"/>
      <c r="DH5" s="468" t="s">
        <v>227</v>
      </c>
      <c r="DI5" s="469"/>
      <c r="DJ5" s="469"/>
      <c r="DK5" s="470"/>
      <c r="DL5" s="468" t="s">
        <v>228</v>
      </c>
      <c r="DM5" s="469"/>
      <c r="DN5" s="469"/>
      <c r="DO5" s="470"/>
      <c r="DP5" s="468" t="s">
        <v>229</v>
      </c>
      <c r="DQ5" s="469"/>
      <c r="DR5" s="469"/>
      <c r="DS5" s="470"/>
      <c r="DT5" s="468" t="s">
        <v>230</v>
      </c>
      <c r="DU5" s="469"/>
      <c r="DV5" s="469"/>
      <c r="DW5" s="470"/>
      <c r="DX5" s="468" t="s">
        <v>231</v>
      </c>
      <c r="DY5" s="469"/>
      <c r="DZ5" s="469"/>
      <c r="EA5" s="470"/>
      <c r="EB5" s="468" t="s">
        <v>232</v>
      </c>
      <c r="EC5" s="469"/>
      <c r="ED5" s="469"/>
      <c r="EE5" s="470"/>
      <c r="EF5" s="468" t="s">
        <v>233</v>
      </c>
      <c r="EG5" s="469"/>
      <c r="EH5" s="469"/>
      <c r="EI5" s="470"/>
      <c r="EJ5" s="468" t="s">
        <v>234</v>
      </c>
      <c r="EK5" s="469"/>
      <c r="EL5" s="469"/>
      <c r="EM5" s="470"/>
      <c r="EN5" s="468" t="s">
        <v>235</v>
      </c>
      <c r="EO5" s="469"/>
      <c r="EP5" s="469"/>
      <c r="EQ5" s="470"/>
      <c r="ER5" s="468" t="s">
        <v>236</v>
      </c>
      <c r="ES5" s="469"/>
      <c r="ET5" s="469"/>
      <c r="EU5" s="470"/>
      <c r="EV5" s="70"/>
    </row>
    <row r="6" spans="2:153" s="43" customFormat="1" ht="29.25" customHeight="1">
      <c r="B6" s="71"/>
      <c r="C6" s="72" t="s">
        <v>46</v>
      </c>
      <c r="D6" s="73"/>
      <c r="E6" s="36"/>
      <c r="F6" s="37"/>
      <c r="G6" s="38"/>
      <c r="H6" s="56"/>
      <c r="I6" s="57"/>
      <c r="J6" s="57"/>
      <c r="K6" s="58"/>
      <c r="L6" s="56"/>
      <c r="M6" s="57"/>
      <c r="N6" s="57"/>
      <c r="O6" s="58"/>
      <c r="P6" s="56"/>
      <c r="Q6" s="57"/>
      <c r="R6" s="57"/>
      <c r="S6" s="58"/>
      <c r="T6" s="56"/>
      <c r="U6" s="57"/>
      <c r="V6" s="57"/>
      <c r="W6" s="58"/>
      <c r="X6" s="56"/>
      <c r="Y6" s="57"/>
      <c r="Z6" s="57"/>
      <c r="AA6" s="58"/>
      <c r="AB6" s="56"/>
      <c r="AC6" s="57"/>
      <c r="AD6" s="57"/>
      <c r="AE6" s="58"/>
      <c r="AF6" s="56"/>
      <c r="AG6" s="57"/>
      <c r="AH6" s="57"/>
      <c r="AI6" s="58"/>
      <c r="AJ6" s="56"/>
      <c r="AK6" s="57"/>
      <c r="AL6" s="57"/>
      <c r="AM6" s="58"/>
      <c r="AN6" s="56"/>
      <c r="AO6" s="57"/>
      <c r="AP6" s="57"/>
      <c r="AQ6" s="58"/>
      <c r="AR6" s="74"/>
      <c r="AS6" s="75"/>
      <c r="AT6" s="75"/>
      <c r="AU6" s="76"/>
      <c r="AV6" s="56"/>
      <c r="AW6" s="57"/>
      <c r="AX6" s="57"/>
      <c r="AY6" s="58"/>
      <c r="AZ6" s="56"/>
      <c r="BA6" s="57"/>
      <c r="BB6" s="57"/>
      <c r="BC6" s="58"/>
      <c r="BD6" s="56"/>
      <c r="BE6" s="57"/>
      <c r="BF6" s="57"/>
      <c r="BG6" s="58"/>
      <c r="BH6" s="56"/>
      <c r="BI6" s="57"/>
      <c r="BJ6" s="57"/>
      <c r="BK6" s="58"/>
      <c r="BL6" s="56"/>
      <c r="BM6" s="57"/>
      <c r="BN6" s="57"/>
      <c r="BO6" s="58"/>
      <c r="BP6" s="56"/>
      <c r="BQ6" s="57"/>
      <c r="BR6" s="57"/>
      <c r="BS6" s="58"/>
      <c r="BT6" s="56"/>
      <c r="BU6" s="57"/>
      <c r="BV6" s="57"/>
      <c r="BW6" s="58"/>
      <c r="BX6" s="56"/>
      <c r="BY6" s="57"/>
      <c r="BZ6" s="57"/>
      <c r="CA6" s="58"/>
      <c r="CB6" s="56"/>
      <c r="CC6" s="57"/>
      <c r="CD6" s="57"/>
      <c r="CE6" s="58"/>
      <c r="CF6" s="56"/>
      <c r="CG6" s="57"/>
      <c r="CH6" s="57"/>
      <c r="CI6" s="58"/>
      <c r="CJ6" s="56"/>
      <c r="CK6" s="57"/>
      <c r="CL6" s="57"/>
      <c r="CM6" s="58"/>
      <c r="CN6" s="56"/>
      <c r="CO6" s="57"/>
      <c r="CP6" s="57"/>
      <c r="CQ6" s="58"/>
      <c r="CR6" s="56"/>
      <c r="CS6" s="57"/>
      <c r="CT6" s="57"/>
      <c r="CU6" s="58"/>
      <c r="CV6" s="56"/>
      <c r="CW6" s="57"/>
      <c r="CX6" s="57"/>
      <c r="CY6" s="58"/>
      <c r="CZ6" s="56"/>
      <c r="DA6" s="57"/>
      <c r="DB6" s="57"/>
      <c r="DC6" s="58"/>
      <c r="DD6" s="56"/>
      <c r="DE6" s="57"/>
      <c r="DF6" s="57"/>
      <c r="DG6" s="58"/>
      <c r="DH6" s="56"/>
      <c r="DI6" s="57"/>
      <c r="DJ6" s="57"/>
      <c r="DK6" s="58"/>
      <c r="DL6" s="56"/>
      <c r="DM6" s="57"/>
      <c r="DN6" s="57"/>
      <c r="DO6" s="58"/>
      <c r="DP6" s="56"/>
      <c r="DQ6" s="57"/>
      <c r="DR6" s="57"/>
      <c r="DS6" s="58"/>
      <c r="DT6" s="56"/>
      <c r="DU6" s="57"/>
      <c r="DV6" s="57"/>
      <c r="DW6" s="58"/>
      <c r="DX6" s="56"/>
      <c r="DY6" s="57"/>
      <c r="DZ6" s="57"/>
      <c r="EA6" s="58"/>
      <c r="EB6" s="56"/>
      <c r="EC6" s="57"/>
      <c r="ED6" s="57"/>
      <c r="EE6" s="58"/>
      <c r="EF6" s="56"/>
      <c r="EG6" s="57"/>
      <c r="EH6" s="57"/>
      <c r="EI6" s="58"/>
      <c r="EJ6" s="56"/>
      <c r="EK6" s="57"/>
      <c r="EL6" s="57"/>
      <c r="EM6" s="58"/>
      <c r="EN6" s="56"/>
      <c r="EO6" s="57"/>
      <c r="EP6" s="57"/>
      <c r="EQ6" s="58"/>
      <c r="ER6" s="56"/>
      <c r="ES6" s="57"/>
      <c r="ET6" s="57"/>
      <c r="EU6" s="58"/>
    </row>
    <row r="7" spans="2:153" s="30" customFormat="1" ht="29.25" customHeight="1">
      <c r="B7" s="22"/>
      <c r="C7" s="77" t="str">
        <f>+schedule_ARAS!C43</f>
        <v>Formen</v>
      </c>
      <c r="D7" s="31" t="s">
        <v>153</v>
      </c>
      <c r="E7" s="24">
        <f>+schedule_ARAS!E43</f>
        <v>6</v>
      </c>
      <c r="F7" s="25"/>
      <c r="G7" s="26"/>
      <c r="H7" s="78"/>
      <c r="I7" s="79"/>
      <c r="J7" s="79"/>
      <c r="K7" s="80"/>
      <c r="L7" s="78"/>
      <c r="M7" s="79"/>
      <c r="N7" s="79"/>
      <c r="O7" s="80"/>
      <c r="P7" s="78"/>
      <c r="Q7" s="79"/>
      <c r="R7" s="79"/>
      <c r="S7" s="80"/>
      <c r="T7" s="78"/>
      <c r="U7" s="79"/>
      <c r="V7" s="79"/>
      <c r="W7" s="80"/>
      <c r="X7" s="78"/>
      <c r="Y7" s="79"/>
      <c r="Z7" s="79"/>
      <c r="AA7" s="80"/>
      <c r="AB7" s="78"/>
      <c r="AC7" s="79"/>
      <c r="AD7" s="79"/>
      <c r="AE7" s="80"/>
      <c r="AF7" s="78">
        <f>+E7</f>
        <v>6</v>
      </c>
      <c r="AG7" s="79">
        <f>+E7</f>
        <v>6</v>
      </c>
      <c r="AH7" s="79">
        <f>+E7</f>
        <v>6</v>
      </c>
      <c r="AI7" s="80">
        <f>+E7</f>
        <v>6</v>
      </c>
      <c r="AJ7" s="78">
        <f>+E7</f>
        <v>6</v>
      </c>
      <c r="AK7" s="79">
        <f>+E7</f>
        <v>6</v>
      </c>
      <c r="AL7" s="79">
        <f>+E7</f>
        <v>6</v>
      </c>
      <c r="AM7" s="80">
        <f>+E7</f>
        <v>6</v>
      </c>
      <c r="AN7" s="78">
        <f>+E7</f>
        <v>6</v>
      </c>
      <c r="AO7" s="79">
        <f>+E7</f>
        <v>6</v>
      </c>
      <c r="AP7" s="79">
        <f>+E7</f>
        <v>6</v>
      </c>
      <c r="AQ7" s="80">
        <f>+E7</f>
        <v>6</v>
      </c>
      <c r="AR7" s="78">
        <f>+E7</f>
        <v>6</v>
      </c>
      <c r="AS7" s="79">
        <f>+E7</f>
        <v>6</v>
      </c>
      <c r="AT7" s="79">
        <f>+E7</f>
        <v>6</v>
      </c>
      <c r="AU7" s="80">
        <f>+E7</f>
        <v>6</v>
      </c>
      <c r="AV7" s="78">
        <f>+E7</f>
        <v>6</v>
      </c>
      <c r="AW7" s="79">
        <f>+E7</f>
        <v>6</v>
      </c>
      <c r="AX7" s="79">
        <f>+E7</f>
        <v>6</v>
      </c>
      <c r="AY7" s="80">
        <f>+E7</f>
        <v>6</v>
      </c>
      <c r="AZ7" s="78">
        <f t="shared" ref="AZ7" si="0">+AG7</f>
        <v>6</v>
      </c>
      <c r="BA7" s="79">
        <f t="shared" ref="BA7" si="1">+AG7</f>
        <v>6</v>
      </c>
      <c r="BB7" s="79">
        <f t="shared" ref="BB7" si="2">+AG7</f>
        <v>6</v>
      </c>
      <c r="BC7" s="80">
        <f t="shared" ref="BC7" si="3">+AG7</f>
        <v>6</v>
      </c>
      <c r="BD7" s="78">
        <f t="shared" ref="BD7" si="4">+AK7</f>
        <v>6</v>
      </c>
      <c r="BE7" s="79">
        <f t="shared" ref="BE7" si="5">+AK7</f>
        <v>6</v>
      </c>
      <c r="BF7" s="79">
        <f t="shared" ref="BF7" si="6">+AK7</f>
        <v>6</v>
      </c>
      <c r="BG7" s="80">
        <f t="shared" ref="BG7" si="7">+AK7</f>
        <v>6</v>
      </c>
      <c r="BH7" s="78">
        <f t="shared" ref="BH7" si="8">+AO7</f>
        <v>6</v>
      </c>
      <c r="BI7" s="79">
        <f t="shared" ref="BI7" si="9">+AO7</f>
        <v>6</v>
      </c>
      <c r="BJ7" s="79">
        <f t="shared" ref="BJ7" si="10">+AO7</f>
        <v>6</v>
      </c>
      <c r="BK7" s="80">
        <f t="shared" ref="BK7" si="11">+AO7</f>
        <v>6</v>
      </c>
      <c r="BL7" s="78">
        <f t="shared" ref="BL7" si="12">+AS7</f>
        <v>6</v>
      </c>
      <c r="BM7" s="79">
        <f t="shared" ref="BM7" si="13">+AS7</f>
        <v>6</v>
      </c>
      <c r="BN7" s="79">
        <f t="shared" ref="BN7" si="14">+AS7</f>
        <v>6</v>
      </c>
      <c r="BO7" s="80">
        <f t="shared" ref="BO7" si="15">+AS7</f>
        <v>6</v>
      </c>
      <c r="BP7" s="78">
        <f t="shared" ref="BP7" si="16">+AW7</f>
        <v>6</v>
      </c>
      <c r="BQ7" s="79">
        <f t="shared" ref="BQ7" si="17">+AW7</f>
        <v>6</v>
      </c>
      <c r="BR7" s="79">
        <f t="shared" ref="BR7" si="18">+AW7</f>
        <v>6</v>
      </c>
      <c r="BS7" s="80">
        <f t="shared" ref="BS7" si="19">+AW7</f>
        <v>6</v>
      </c>
      <c r="BT7" s="78">
        <f t="shared" ref="BT7" si="20">+BA7</f>
        <v>6</v>
      </c>
      <c r="BU7" s="79">
        <f t="shared" ref="BU7" si="21">+BA7</f>
        <v>6</v>
      </c>
      <c r="BV7" s="79">
        <f t="shared" ref="BV7" si="22">+BA7</f>
        <v>6</v>
      </c>
      <c r="BW7" s="80">
        <f t="shared" ref="BW7" si="23">+BA7</f>
        <v>6</v>
      </c>
      <c r="BX7" s="78">
        <f t="shared" ref="BX7" si="24">+BE7</f>
        <v>6</v>
      </c>
      <c r="BY7" s="79">
        <f t="shared" ref="BY7" si="25">+BE7</f>
        <v>6</v>
      </c>
      <c r="BZ7" s="79">
        <f t="shared" ref="BZ7" si="26">+BE7</f>
        <v>6</v>
      </c>
      <c r="CA7" s="80">
        <f t="shared" ref="CA7" si="27">+BE7</f>
        <v>6</v>
      </c>
      <c r="CB7" s="78">
        <f t="shared" ref="CB7" si="28">+BI7</f>
        <v>6</v>
      </c>
      <c r="CC7" s="79">
        <f t="shared" ref="CC7" si="29">+BI7</f>
        <v>6</v>
      </c>
      <c r="CD7" s="79">
        <f t="shared" ref="CD7" si="30">+BI7</f>
        <v>6</v>
      </c>
      <c r="CE7" s="80">
        <f t="shared" ref="CE7" si="31">+BI7</f>
        <v>6</v>
      </c>
      <c r="CF7" s="78">
        <f t="shared" ref="CF7" si="32">+BM7</f>
        <v>6</v>
      </c>
      <c r="CG7" s="79">
        <f t="shared" ref="CG7" si="33">+BM7</f>
        <v>6</v>
      </c>
      <c r="CH7" s="79">
        <f t="shared" ref="CH7" si="34">+BM7</f>
        <v>6</v>
      </c>
      <c r="CI7" s="80">
        <f t="shared" ref="CI7" si="35">+BM7</f>
        <v>6</v>
      </c>
      <c r="CJ7" s="78">
        <f t="shared" ref="CJ7" si="36">+BQ7</f>
        <v>6</v>
      </c>
      <c r="CK7" s="79">
        <f t="shared" ref="CK7" si="37">+BQ7</f>
        <v>6</v>
      </c>
      <c r="CL7" s="79">
        <f t="shared" ref="CL7" si="38">+BQ7</f>
        <v>6</v>
      </c>
      <c r="CM7" s="80">
        <f t="shared" ref="CM7" si="39">+BQ7</f>
        <v>6</v>
      </c>
      <c r="CN7" s="78">
        <f t="shared" ref="CN7" si="40">+BU7</f>
        <v>6</v>
      </c>
      <c r="CO7" s="79">
        <f t="shared" ref="CO7" si="41">+BU7</f>
        <v>6</v>
      </c>
      <c r="CP7" s="79">
        <f t="shared" ref="CP7" si="42">+BU7</f>
        <v>6</v>
      </c>
      <c r="CQ7" s="80">
        <f t="shared" ref="CQ7" si="43">+BU7</f>
        <v>6</v>
      </c>
      <c r="CR7" s="78">
        <f t="shared" ref="CR7" si="44">+BY7</f>
        <v>6</v>
      </c>
      <c r="CS7" s="79">
        <f t="shared" ref="CS7" si="45">+BY7</f>
        <v>6</v>
      </c>
      <c r="CT7" s="79">
        <f t="shared" ref="CT7" si="46">+BY7</f>
        <v>6</v>
      </c>
      <c r="CU7" s="80">
        <f t="shared" ref="CU7" si="47">+BY7</f>
        <v>6</v>
      </c>
      <c r="CV7" s="78">
        <f t="shared" ref="CV7" si="48">+CC7</f>
        <v>6</v>
      </c>
      <c r="CW7" s="79">
        <f t="shared" ref="CW7" si="49">+CC7</f>
        <v>6</v>
      </c>
      <c r="CX7" s="79">
        <f t="shared" ref="CX7" si="50">+CC7</f>
        <v>6</v>
      </c>
      <c r="CY7" s="80">
        <f t="shared" ref="CY7" si="51">+CC7</f>
        <v>6</v>
      </c>
      <c r="CZ7" s="78">
        <f>+BY7</f>
        <v>6</v>
      </c>
      <c r="DA7" s="79">
        <f>+BY7</f>
        <v>6</v>
      </c>
      <c r="DB7" s="79">
        <f>+BY7</f>
        <v>6</v>
      </c>
      <c r="DC7" s="80">
        <f>+BY7</f>
        <v>6</v>
      </c>
      <c r="DD7" s="78">
        <f>+BY7</f>
        <v>6</v>
      </c>
      <c r="DE7" s="79">
        <f>+BY7</f>
        <v>6</v>
      </c>
      <c r="DF7" s="79">
        <f>+BY7</f>
        <v>6</v>
      </c>
      <c r="DG7" s="80">
        <f>+BY7</f>
        <v>6</v>
      </c>
      <c r="DH7" s="78">
        <f t="shared" ref="DH7" si="52">+CC7</f>
        <v>6</v>
      </c>
      <c r="DI7" s="79">
        <f t="shared" ref="DI7" si="53">+CC7</f>
        <v>6</v>
      </c>
      <c r="DJ7" s="79">
        <f t="shared" ref="DJ7" si="54">+CC7</f>
        <v>6</v>
      </c>
      <c r="DK7" s="80">
        <f t="shared" ref="DK7" si="55">+CC7</f>
        <v>6</v>
      </c>
      <c r="DL7" s="78">
        <f t="shared" ref="DL7" si="56">+CG7</f>
        <v>6</v>
      </c>
      <c r="DM7" s="79">
        <f t="shared" ref="DM7" si="57">+CG7</f>
        <v>6</v>
      </c>
      <c r="DN7" s="79">
        <f t="shared" ref="DN7" si="58">+CG7</f>
        <v>6</v>
      </c>
      <c r="DO7" s="80">
        <f t="shared" ref="DO7" si="59">+CG7</f>
        <v>6</v>
      </c>
      <c r="DP7" s="78">
        <f t="shared" ref="DP7" si="60">+CK7</f>
        <v>6</v>
      </c>
      <c r="DQ7" s="79">
        <f t="shared" ref="DQ7" si="61">+CK7</f>
        <v>6</v>
      </c>
      <c r="DR7" s="79">
        <f t="shared" ref="DR7" si="62">+CK7</f>
        <v>6</v>
      </c>
      <c r="DS7" s="80">
        <f t="shared" ref="DS7" si="63">+CK7</f>
        <v>6</v>
      </c>
      <c r="DT7" s="78">
        <f t="shared" ref="DT7" si="64">+CO7</f>
        <v>6</v>
      </c>
      <c r="DU7" s="79">
        <f t="shared" ref="DU7" si="65">+CO7</f>
        <v>6</v>
      </c>
      <c r="DV7" s="79">
        <f t="shared" ref="DV7" si="66">+CO7</f>
        <v>6</v>
      </c>
      <c r="DW7" s="80">
        <f t="shared" ref="DW7" si="67">+CO7</f>
        <v>6</v>
      </c>
      <c r="DX7" s="78">
        <f t="shared" ref="DX7" si="68">+CS7</f>
        <v>6</v>
      </c>
      <c r="DY7" s="79">
        <f t="shared" ref="DY7" si="69">+CS7</f>
        <v>6</v>
      </c>
      <c r="DZ7" s="79">
        <f t="shared" ref="DZ7" si="70">+CS7</f>
        <v>6</v>
      </c>
      <c r="EA7" s="80">
        <f t="shared" ref="EA7" si="71">+CS7</f>
        <v>6</v>
      </c>
      <c r="EB7" s="78">
        <f t="shared" ref="EB7" si="72">+CW7</f>
        <v>6</v>
      </c>
      <c r="EC7" s="79">
        <f t="shared" ref="EC7" si="73">+CW7</f>
        <v>6</v>
      </c>
      <c r="ED7" s="79">
        <f t="shared" ref="ED7" si="74">+CW7</f>
        <v>6</v>
      </c>
      <c r="EE7" s="80">
        <f t="shared" ref="EE7" si="75">+CW7</f>
        <v>6</v>
      </c>
      <c r="EF7" s="78">
        <f t="shared" ref="EF7" si="76">+DA7</f>
        <v>6</v>
      </c>
      <c r="EG7" s="79">
        <f t="shared" ref="EG7" si="77">+DA7</f>
        <v>6</v>
      </c>
      <c r="EH7" s="79">
        <f t="shared" ref="EH7" si="78">+DA7</f>
        <v>6</v>
      </c>
      <c r="EI7" s="80">
        <f t="shared" ref="EI7" si="79">+DA7</f>
        <v>6</v>
      </c>
      <c r="EJ7" s="78">
        <f t="shared" ref="EJ7" si="80">+DE7</f>
        <v>6</v>
      </c>
      <c r="EK7" s="79">
        <f t="shared" ref="EK7" si="81">+DE7</f>
        <v>6</v>
      </c>
      <c r="EL7" s="79">
        <f t="shared" ref="EL7" si="82">+DE7</f>
        <v>6</v>
      </c>
      <c r="EM7" s="80">
        <f t="shared" ref="EM7" si="83">+DE7</f>
        <v>6</v>
      </c>
      <c r="EN7" s="78">
        <f t="shared" ref="EN7" si="84">+DI7</f>
        <v>6</v>
      </c>
      <c r="EO7" s="79">
        <f t="shared" ref="EO7" si="85">+DI7</f>
        <v>6</v>
      </c>
      <c r="EP7" s="79">
        <f t="shared" ref="EP7" si="86">+DI7</f>
        <v>6</v>
      </c>
      <c r="EQ7" s="80">
        <f t="shared" ref="EQ7" si="87">+DI7</f>
        <v>6</v>
      </c>
      <c r="ER7" s="78">
        <f t="shared" ref="ER7" si="88">+DM7</f>
        <v>6</v>
      </c>
      <c r="ES7" s="79">
        <f t="shared" ref="ES7" si="89">+DM7</f>
        <v>6</v>
      </c>
      <c r="ET7" s="79">
        <f t="shared" ref="ET7" si="90">+DM7</f>
        <v>6</v>
      </c>
      <c r="EU7" s="80">
        <f t="shared" ref="EU7" si="91">+DM7</f>
        <v>6</v>
      </c>
      <c r="EV7" s="81">
        <f>SUM(H7:DC7)/4</f>
        <v>114</v>
      </c>
    </row>
    <row r="8" spans="2:153" s="30" customFormat="1" ht="29.25" customHeight="1">
      <c r="B8" s="22"/>
      <c r="C8" s="77" t="str">
        <f>+schedule_ARAS!C44</f>
        <v>Operator</v>
      </c>
      <c r="D8" s="31" t="s">
        <v>153</v>
      </c>
      <c r="E8" s="24">
        <f>+schedule_ARAS!E44</f>
        <v>21</v>
      </c>
      <c r="F8" s="25"/>
      <c r="G8" s="26"/>
      <c r="H8" s="78"/>
      <c r="I8" s="79"/>
      <c r="J8" s="79"/>
      <c r="K8" s="80"/>
      <c r="L8" s="78"/>
      <c r="M8" s="79"/>
      <c r="N8" s="79"/>
      <c r="O8" s="80"/>
      <c r="P8" s="78"/>
      <c r="Q8" s="79"/>
      <c r="R8" s="79"/>
      <c r="S8" s="80"/>
      <c r="T8" s="78"/>
      <c r="U8" s="79"/>
      <c r="V8" s="79"/>
      <c r="W8" s="80"/>
      <c r="X8" s="78"/>
      <c r="Y8" s="79"/>
      <c r="Z8" s="79"/>
      <c r="AA8" s="80"/>
      <c r="AB8" s="78"/>
      <c r="AC8" s="79"/>
      <c r="AD8" s="79"/>
      <c r="AE8" s="80"/>
      <c r="AF8" s="78">
        <f t="shared" ref="AF8:AF15" si="92">+E8</f>
        <v>21</v>
      </c>
      <c r="AG8" s="79">
        <f t="shared" ref="AG8:AG15" si="93">+E8</f>
        <v>21</v>
      </c>
      <c r="AH8" s="79">
        <f t="shared" ref="AH8:AH15" si="94">+E8</f>
        <v>21</v>
      </c>
      <c r="AI8" s="80">
        <f t="shared" ref="AI8:AI15" si="95">+E8</f>
        <v>21</v>
      </c>
      <c r="AJ8" s="78">
        <f t="shared" ref="AJ8:AJ15" si="96">+E8</f>
        <v>21</v>
      </c>
      <c r="AK8" s="79">
        <f t="shared" ref="AK8:AK15" si="97">+E8</f>
        <v>21</v>
      </c>
      <c r="AL8" s="79">
        <f t="shared" ref="AL8:AL15" si="98">+E8</f>
        <v>21</v>
      </c>
      <c r="AM8" s="80">
        <f t="shared" ref="AM8:AM15" si="99">+E8</f>
        <v>21</v>
      </c>
      <c r="AN8" s="78">
        <f t="shared" ref="AN8:AN15" si="100">+E8</f>
        <v>21</v>
      </c>
      <c r="AO8" s="79">
        <f t="shared" ref="AO8:AO15" si="101">+E8</f>
        <v>21</v>
      </c>
      <c r="AP8" s="79">
        <f t="shared" ref="AP8:AP15" si="102">+E8</f>
        <v>21</v>
      </c>
      <c r="AQ8" s="80">
        <f t="shared" ref="AQ8:AQ15" si="103">+E8</f>
        <v>21</v>
      </c>
      <c r="AR8" s="78">
        <f t="shared" ref="AR8:AR15" si="104">+E8</f>
        <v>21</v>
      </c>
      <c r="AS8" s="79">
        <f t="shared" ref="AS8:AS15" si="105">+E8</f>
        <v>21</v>
      </c>
      <c r="AT8" s="79">
        <f t="shared" ref="AT8:AT15" si="106">+E8</f>
        <v>21</v>
      </c>
      <c r="AU8" s="80">
        <f t="shared" ref="AU8:AU15" si="107">+E8</f>
        <v>21</v>
      </c>
      <c r="AV8" s="78">
        <f t="shared" ref="AV8:AV15" si="108">+E8</f>
        <v>21</v>
      </c>
      <c r="AW8" s="79">
        <f t="shared" ref="AW8:AW15" si="109">+E8</f>
        <v>21</v>
      </c>
      <c r="AX8" s="79">
        <f t="shared" ref="AX8:AX15" si="110">+E8</f>
        <v>21</v>
      </c>
      <c r="AY8" s="80">
        <f t="shared" ref="AY8:AY15" si="111">+E8</f>
        <v>21</v>
      </c>
      <c r="AZ8" s="78">
        <f t="shared" ref="AZ8:AZ15" si="112">+AG8</f>
        <v>21</v>
      </c>
      <c r="BA8" s="79">
        <f t="shared" ref="BA8:BA15" si="113">+AG8</f>
        <v>21</v>
      </c>
      <c r="BB8" s="79">
        <f t="shared" ref="BB8:BB15" si="114">+AG8</f>
        <v>21</v>
      </c>
      <c r="BC8" s="80">
        <f t="shared" ref="BC8:BC15" si="115">+AG8</f>
        <v>21</v>
      </c>
      <c r="BD8" s="78">
        <f t="shared" ref="BD8:BD15" si="116">+AK8</f>
        <v>21</v>
      </c>
      <c r="BE8" s="79">
        <f t="shared" ref="BE8:BE15" si="117">+AK8</f>
        <v>21</v>
      </c>
      <c r="BF8" s="79">
        <f t="shared" ref="BF8:BF15" si="118">+AK8</f>
        <v>21</v>
      </c>
      <c r="BG8" s="80">
        <f t="shared" ref="BG8:BG15" si="119">+AK8</f>
        <v>21</v>
      </c>
      <c r="BH8" s="78">
        <f t="shared" ref="BH8:BH15" si="120">+AO8</f>
        <v>21</v>
      </c>
      <c r="BI8" s="79">
        <f t="shared" ref="BI8:BI15" si="121">+AO8</f>
        <v>21</v>
      </c>
      <c r="BJ8" s="79">
        <f t="shared" ref="BJ8:BJ15" si="122">+AO8</f>
        <v>21</v>
      </c>
      <c r="BK8" s="80">
        <f t="shared" ref="BK8:BK15" si="123">+AO8</f>
        <v>21</v>
      </c>
      <c r="BL8" s="78">
        <f t="shared" ref="BL8:BL15" si="124">+AS8</f>
        <v>21</v>
      </c>
      <c r="BM8" s="79">
        <f t="shared" ref="BM8:BM15" si="125">+AS8</f>
        <v>21</v>
      </c>
      <c r="BN8" s="79">
        <f t="shared" ref="BN8:BN15" si="126">+AS8</f>
        <v>21</v>
      </c>
      <c r="BO8" s="80">
        <f t="shared" ref="BO8:BO15" si="127">+AS8</f>
        <v>21</v>
      </c>
      <c r="BP8" s="78">
        <f t="shared" ref="BP8:BP15" si="128">+AW8</f>
        <v>21</v>
      </c>
      <c r="BQ8" s="79">
        <f t="shared" ref="BQ8:BQ15" si="129">+AW8</f>
        <v>21</v>
      </c>
      <c r="BR8" s="79">
        <f t="shared" ref="BR8:BR15" si="130">+AW8</f>
        <v>21</v>
      </c>
      <c r="BS8" s="80">
        <f t="shared" ref="BS8:BS15" si="131">+AW8</f>
        <v>21</v>
      </c>
      <c r="BT8" s="78">
        <f t="shared" ref="BT8:BT15" si="132">+BA8</f>
        <v>21</v>
      </c>
      <c r="BU8" s="79">
        <f t="shared" ref="BU8:BU15" si="133">+BA8</f>
        <v>21</v>
      </c>
      <c r="BV8" s="79">
        <f t="shared" ref="BV8:BV15" si="134">+BA8</f>
        <v>21</v>
      </c>
      <c r="BW8" s="80">
        <f t="shared" ref="BW8:BW15" si="135">+BA8</f>
        <v>21</v>
      </c>
      <c r="BX8" s="78">
        <f t="shared" ref="BX8:BX15" si="136">+BE8</f>
        <v>21</v>
      </c>
      <c r="BY8" s="79">
        <f t="shared" ref="BY8:BY15" si="137">+BE8</f>
        <v>21</v>
      </c>
      <c r="BZ8" s="79">
        <f t="shared" ref="BZ8:BZ15" si="138">+BE8</f>
        <v>21</v>
      </c>
      <c r="CA8" s="80">
        <f t="shared" ref="CA8:CA15" si="139">+BE8</f>
        <v>21</v>
      </c>
      <c r="CB8" s="78">
        <f t="shared" ref="CB8:CB15" si="140">+BI8</f>
        <v>21</v>
      </c>
      <c r="CC8" s="79">
        <f t="shared" ref="CC8:CC15" si="141">+BI8</f>
        <v>21</v>
      </c>
      <c r="CD8" s="79">
        <f t="shared" ref="CD8:CD15" si="142">+BI8</f>
        <v>21</v>
      </c>
      <c r="CE8" s="80">
        <f t="shared" ref="CE8:CE15" si="143">+BI8</f>
        <v>21</v>
      </c>
      <c r="CF8" s="78">
        <f t="shared" ref="CF8:CF15" si="144">+BM8</f>
        <v>21</v>
      </c>
      <c r="CG8" s="79">
        <f t="shared" ref="CG8:CG15" si="145">+BM8</f>
        <v>21</v>
      </c>
      <c r="CH8" s="79">
        <f t="shared" ref="CH8:CH15" si="146">+BM8</f>
        <v>21</v>
      </c>
      <c r="CI8" s="80">
        <f t="shared" ref="CI8:CI15" si="147">+BM8</f>
        <v>21</v>
      </c>
      <c r="CJ8" s="78">
        <f t="shared" ref="CJ8:CJ15" si="148">+BQ8</f>
        <v>21</v>
      </c>
      <c r="CK8" s="79">
        <f t="shared" ref="CK8:CK15" si="149">+BQ8</f>
        <v>21</v>
      </c>
      <c r="CL8" s="79">
        <f t="shared" ref="CL8:CL15" si="150">+BQ8</f>
        <v>21</v>
      </c>
      <c r="CM8" s="80">
        <f t="shared" ref="CM8:CM15" si="151">+BQ8</f>
        <v>21</v>
      </c>
      <c r="CN8" s="78">
        <f t="shared" ref="CN8:CN15" si="152">+BU8</f>
        <v>21</v>
      </c>
      <c r="CO8" s="79">
        <f t="shared" ref="CO8:CO15" si="153">+BU8</f>
        <v>21</v>
      </c>
      <c r="CP8" s="79">
        <f t="shared" ref="CP8:CP15" si="154">+BU8</f>
        <v>21</v>
      </c>
      <c r="CQ8" s="80">
        <f t="shared" ref="CQ8:CQ15" si="155">+BU8</f>
        <v>21</v>
      </c>
      <c r="CR8" s="78">
        <f t="shared" ref="CR8:CR15" si="156">+BY8</f>
        <v>21</v>
      </c>
      <c r="CS8" s="79">
        <f t="shared" ref="CS8:CS15" si="157">+BY8</f>
        <v>21</v>
      </c>
      <c r="CT8" s="79">
        <f t="shared" ref="CT8:CT15" si="158">+BY8</f>
        <v>21</v>
      </c>
      <c r="CU8" s="80">
        <f t="shared" ref="CU8:CU15" si="159">+BY8</f>
        <v>21</v>
      </c>
      <c r="CV8" s="78">
        <f t="shared" ref="CV8:CV15" si="160">+CC8</f>
        <v>21</v>
      </c>
      <c r="CW8" s="79">
        <f t="shared" ref="CW8:CW15" si="161">+CC8</f>
        <v>21</v>
      </c>
      <c r="CX8" s="79">
        <f t="shared" ref="CX8:CX15" si="162">+CC8</f>
        <v>21</v>
      </c>
      <c r="CY8" s="80">
        <f t="shared" ref="CY8:CY15" si="163">+CC8</f>
        <v>21</v>
      </c>
      <c r="CZ8" s="78">
        <f t="shared" ref="CZ8:CZ15" si="164">+BY8</f>
        <v>21</v>
      </c>
      <c r="DA8" s="79">
        <f t="shared" ref="DA8:DA15" si="165">+BY8</f>
        <v>21</v>
      </c>
      <c r="DB8" s="79">
        <f t="shared" ref="DB8:DB15" si="166">+BY8</f>
        <v>21</v>
      </c>
      <c r="DC8" s="80">
        <f t="shared" ref="DC8:DC15" si="167">+BY8</f>
        <v>21</v>
      </c>
      <c r="DD8" s="78">
        <f t="shared" ref="DD8:DD15" si="168">+BY8</f>
        <v>21</v>
      </c>
      <c r="DE8" s="79">
        <f t="shared" ref="DE8:DE15" si="169">+BY8</f>
        <v>21</v>
      </c>
      <c r="DF8" s="79">
        <f t="shared" ref="DF8:DF15" si="170">+BY8</f>
        <v>21</v>
      </c>
      <c r="DG8" s="80">
        <f t="shared" ref="DG8:DG15" si="171">+BY8</f>
        <v>21</v>
      </c>
      <c r="DH8" s="78">
        <f t="shared" ref="DH8:DH15" si="172">+CC8</f>
        <v>21</v>
      </c>
      <c r="DI8" s="79">
        <f t="shared" ref="DI8:DI15" si="173">+CC8</f>
        <v>21</v>
      </c>
      <c r="DJ8" s="79">
        <f t="shared" ref="DJ8:DJ15" si="174">+CC8</f>
        <v>21</v>
      </c>
      <c r="DK8" s="80">
        <f t="shared" ref="DK8:DK15" si="175">+CC8</f>
        <v>21</v>
      </c>
      <c r="DL8" s="78">
        <f t="shared" ref="DL8:DL15" si="176">+CG8</f>
        <v>21</v>
      </c>
      <c r="DM8" s="79">
        <f t="shared" ref="DM8:DM15" si="177">+CG8</f>
        <v>21</v>
      </c>
      <c r="DN8" s="79">
        <f t="shared" ref="DN8:DN15" si="178">+CG8</f>
        <v>21</v>
      </c>
      <c r="DO8" s="80">
        <f t="shared" ref="DO8:DO15" si="179">+CG8</f>
        <v>21</v>
      </c>
      <c r="DP8" s="78">
        <f t="shared" ref="DP8:DP15" si="180">+CK8</f>
        <v>21</v>
      </c>
      <c r="DQ8" s="79">
        <f t="shared" ref="DQ8:DQ15" si="181">+CK8</f>
        <v>21</v>
      </c>
      <c r="DR8" s="79">
        <f t="shared" ref="DR8:DR15" si="182">+CK8</f>
        <v>21</v>
      </c>
      <c r="DS8" s="80">
        <f t="shared" ref="DS8:DS15" si="183">+CK8</f>
        <v>21</v>
      </c>
      <c r="DT8" s="78">
        <f t="shared" ref="DT8:DT15" si="184">+CO8</f>
        <v>21</v>
      </c>
      <c r="DU8" s="79">
        <f t="shared" ref="DU8:DU15" si="185">+CO8</f>
        <v>21</v>
      </c>
      <c r="DV8" s="79">
        <f t="shared" ref="DV8:DV15" si="186">+CO8</f>
        <v>21</v>
      </c>
      <c r="DW8" s="80">
        <f t="shared" ref="DW8:DW15" si="187">+CO8</f>
        <v>21</v>
      </c>
      <c r="DX8" s="78">
        <f t="shared" ref="DX8:DX15" si="188">+CS8</f>
        <v>21</v>
      </c>
      <c r="DY8" s="79">
        <f t="shared" ref="DY8:DY15" si="189">+CS8</f>
        <v>21</v>
      </c>
      <c r="DZ8" s="79">
        <f t="shared" ref="DZ8:DZ15" si="190">+CS8</f>
        <v>21</v>
      </c>
      <c r="EA8" s="80">
        <f t="shared" ref="EA8:EA15" si="191">+CS8</f>
        <v>21</v>
      </c>
      <c r="EB8" s="78">
        <f t="shared" ref="EB8:EB15" si="192">+CW8</f>
        <v>21</v>
      </c>
      <c r="EC8" s="79">
        <f t="shared" ref="EC8:EC15" si="193">+CW8</f>
        <v>21</v>
      </c>
      <c r="ED8" s="79">
        <f t="shared" ref="ED8:ED15" si="194">+CW8</f>
        <v>21</v>
      </c>
      <c r="EE8" s="80">
        <f t="shared" ref="EE8:EE15" si="195">+CW8</f>
        <v>21</v>
      </c>
      <c r="EF8" s="78">
        <f t="shared" ref="EF8:EF15" si="196">+DA8</f>
        <v>21</v>
      </c>
      <c r="EG8" s="79">
        <f t="shared" ref="EG8:EG15" si="197">+DA8</f>
        <v>21</v>
      </c>
      <c r="EH8" s="79">
        <f t="shared" ref="EH8:EH15" si="198">+DA8</f>
        <v>21</v>
      </c>
      <c r="EI8" s="80">
        <f t="shared" ref="EI8:EI15" si="199">+DA8</f>
        <v>21</v>
      </c>
      <c r="EJ8" s="78">
        <f t="shared" ref="EJ8:EJ15" si="200">+DE8</f>
        <v>21</v>
      </c>
      <c r="EK8" s="79">
        <f t="shared" ref="EK8:EK15" si="201">+DE8</f>
        <v>21</v>
      </c>
      <c r="EL8" s="79">
        <f t="shared" ref="EL8:EL15" si="202">+DE8</f>
        <v>21</v>
      </c>
      <c r="EM8" s="80">
        <f t="shared" ref="EM8:EM15" si="203">+DE8</f>
        <v>21</v>
      </c>
      <c r="EN8" s="78">
        <f t="shared" ref="EN8:EN15" si="204">+DI8</f>
        <v>21</v>
      </c>
      <c r="EO8" s="79">
        <f t="shared" ref="EO8:EO15" si="205">+DI8</f>
        <v>21</v>
      </c>
      <c r="EP8" s="79">
        <f t="shared" ref="EP8:EP15" si="206">+DI8</f>
        <v>21</v>
      </c>
      <c r="EQ8" s="80">
        <f t="shared" ref="EQ8:EQ15" si="207">+DI8</f>
        <v>21</v>
      </c>
      <c r="ER8" s="78">
        <f t="shared" ref="ER8:ER15" si="208">+DM8</f>
        <v>21</v>
      </c>
      <c r="ES8" s="79">
        <f t="shared" ref="ES8:ES15" si="209">+DM8</f>
        <v>21</v>
      </c>
      <c r="ET8" s="79">
        <f t="shared" ref="ET8:ET15" si="210">+DM8</f>
        <v>21</v>
      </c>
      <c r="EU8" s="80">
        <f t="shared" ref="EU8:EU15" si="211">+DM8</f>
        <v>21</v>
      </c>
      <c r="EV8" s="81">
        <f>SUM(H8:DC8)/4</f>
        <v>399</v>
      </c>
    </row>
    <row r="9" spans="2:153" s="30" customFormat="1" ht="29.25" customHeight="1">
      <c r="B9" s="22"/>
      <c r="C9" s="77" t="str">
        <f>+schedule_ARAS!C45</f>
        <v>Kaptan</v>
      </c>
      <c r="D9" s="31" t="s">
        <v>153</v>
      </c>
      <c r="E9" s="24">
        <f>+schedule_ARAS!E45</f>
        <v>15</v>
      </c>
      <c r="F9" s="25"/>
      <c r="G9" s="26"/>
      <c r="H9" s="78"/>
      <c r="I9" s="79"/>
      <c r="J9" s="79"/>
      <c r="K9" s="80"/>
      <c r="L9" s="78"/>
      <c r="M9" s="79"/>
      <c r="N9" s="79"/>
      <c r="O9" s="80"/>
      <c r="P9" s="78"/>
      <c r="Q9" s="79"/>
      <c r="R9" s="79"/>
      <c r="S9" s="80"/>
      <c r="T9" s="78"/>
      <c r="U9" s="79"/>
      <c r="V9" s="79"/>
      <c r="W9" s="80"/>
      <c r="X9" s="78"/>
      <c r="Y9" s="79"/>
      <c r="Z9" s="79"/>
      <c r="AA9" s="80"/>
      <c r="AB9" s="78"/>
      <c r="AC9" s="79"/>
      <c r="AD9" s="79"/>
      <c r="AE9" s="80"/>
      <c r="AF9" s="78">
        <f t="shared" si="92"/>
        <v>15</v>
      </c>
      <c r="AG9" s="79">
        <f t="shared" si="93"/>
        <v>15</v>
      </c>
      <c r="AH9" s="79">
        <f t="shared" si="94"/>
        <v>15</v>
      </c>
      <c r="AI9" s="80">
        <f t="shared" si="95"/>
        <v>15</v>
      </c>
      <c r="AJ9" s="78">
        <f t="shared" si="96"/>
        <v>15</v>
      </c>
      <c r="AK9" s="79">
        <f t="shared" si="97"/>
        <v>15</v>
      </c>
      <c r="AL9" s="79">
        <f t="shared" si="98"/>
        <v>15</v>
      </c>
      <c r="AM9" s="80">
        <f t="shared" si="99"/>
        <v>15</v>
      </c>
      <c r="AN9" s="78">
        <f t="shared" si="100"/>
        <v>15</v>
      </c>
      <c r="AO9" s="79">
        <f t="shared" si="101"/>
        <v>15</v>
      </c>
      <c r="AP9" s="79">
        <f t="shared" si="102"/>
        <v>15</v>
      </c>
      <c r="AQ9" s="80">
        <f t="shared" si="103"/>
        <v>15</v>
      </c>
      <c r="AR9" s="78">
        <f t="shared" si="104"/>
        <v>15</v>
      </c>
      <c r="AS9" s="79">
        <f t="shared" si="105"/>
        <v>15</v>
      </c>
      <c r="AT9" s="79">
        <f t="shared" si="106"/>
        <v>15</v>
      </c>
      <c r="AU9" s="80">
        <f t="shared" si="107"/>
        <v>15</v>
      </c>
      <c r="AV9" s="78">
        <f t="shared" si="108"/>
        <v>15</v>
      </c>
      <c r="AW9" s="79">
        <f t="shared" si="109"/>
        <v>15</v>
      </c>
      <c r="AX9" s="79">
        <f t="shared" si="110"/>
        <v>15</v>
      </c>
      <c r="AY9" s="80">
        <f t="shared" si="111"/>
        <v>15</v>
      </c>
      <c r="AZ9" s="78">
        <f t="shared" si="112"/>
        <v>15</v>
      </c>
      <c r="BA9" s="79">
        <f t="shared" si="113"/>
        <v>15</v>
      </c>
      <c r="BB9" s="79">
        <f t="shared" si="114"/>
        <v>15</v>
      </c>
      <c r="BC9" s="80">
        <f t="shared" si="115"/>
        <v>15</v>
      </c>
      <c r="BD9" s="78">
        <f t="shared" si="116"/>
        <v>15</v>
      </c>
      <c r="BE9" s="79">
        <f t="shared" si="117"/>
        <v>15</v>
      </c>
      <c r="BF9" s="79">
        <f t="shared" si="118"/>
        <v>15</v>
      </c>
      <c r="BG9" s="80">
        <f t="shared" si="119"/>
        <v>15</v>
      </c>
      <c r="BH9" s="78">
        <f t="shared" si="120"/>
        <v>15</v>
      </c>
      <c r="BI9" s="79">
        <f t="shared" si="121"/>
        <v>15</v>
      </c>
      <c r="BJ9" s="79">
        <f t="shared" si="122"/>
        <v>15</v>
      </c>
      <c r="BK9" s="80">
        <f t="shared" si="123"/>
        <v>15</v>
      </c>
      <c r="BL9" s="78">
        <f t="shared" si="124"/>
        <v>15</v>
      </c>
      <c r="BM9" s="79">
        <f t="shared" si="125"/>
        <v>15</v>
      </c>
      <c r="BN9" s="79">
        <f t="shared" si="126"/>
        <v>15</v>
      </c>
      <c r="BO9" s="80">
        <f t="shared" si="127"/>
        <v>15</v>
      </c>
      <c r="BP9" s="78">
        <f t="shared" si="128"/>
        <v>15</v>
      </c>
      <c r="BQ9" s="79">
        <f t="shared" si="129"/>
        <v>15</v>
      </c>
      <c r="BR9" s="79">
        <f t="shared" si="130"/>
        <v>15</v>
      </c>
      <c r="BS9" s="80">
        <f t="shared" si="131"/>
        <v>15</v>
      </c>
      <c r="BT9" s="78">
        <f t="shared" si="132"/>
        <v>15</v>
      </c>
      <c r="BU9" s="79">
        <f t="shared" si="133"/>
        <v>15</v>
      </c>
      <c r="BV9" s="79">
        <f t="shared" si="134"/>
        <v>15</v>
      </c>
      <c r="BW9" s="80">
        <f t="shared" si="135"/>
        <v>15</v>
      </c>
      <c r="BX9" s="78">
        <f t="shared" si="136"/>
        <v>15</v>
      </c>
      <c r="BY9" s="79">
        <f t="shared" si="137"/>
        <v>15</v>
      </c>
      <c r="BZ9" s="79">
        <f t="shared" si="138"/>
        <v>15</v>
      </c>
      <c r="CA9" s="80">
        <f t="shared" si="139"/>
        <v>15</v>
      </c>
      <c r="CB9" s="78">
        <f t="shared" si="140"/>
        <v>15</v>
      </c>
      <c r="CC9" s="79">
        <f t="shared" si="141"/>
        <v>15</v>
      </c>
      <c r="CD9" s="79">
        <f t="shared" si="142"/>
        <v>15</v>
      </c>
      <c r="CE9" s="80">
        <f t="shared" si="143"/>
        <v>15</v>
      </c>
      <c r="CF9" s="78">
        <f t="shared" si="144"/>
        <v>15</v>
      </c>
      <c r="CG9" s="79">
        <f t="shared" si="145"/>
        <v>15</v>
      </c>
      <c r="CH9" s="79">
        <f t="shared" si="146"/>
        <v>15</v>
      </c>
      <c r="CI9" s="80">
        <f t="shared" si="147"/>
        <v>15</v>
      </c>
      <c r="CJ9" s="78">
        <f t="shared" si="148"/>
        <v>15</v>
      </c>
      <c r="CK9" s="79">
        <f t="shared" si="149"/>
        <v>15</v>
      </c>
      <c r="CL9" s="79">
        <f t="shared" si="150"/>
        <v>15</v>
      </c>
      <c r="CM9" s="80">
        <f t="shared" si="151"/>
        <v>15</v>
      </c>
      <c r="CN9" s="78">
        <f t="shared" si="152"/>
        <v>15</v>
      </c>
      <c r="CO9" s="79">
        <f t="shared" si="153"/>
        <v>15</v>
      </c>
      <c r="CP9" s="79">
        <f t="shared" si="154"/>
        <v>15</v>
      </c>
      <c r="CQ9" s="80">
        <f t="shared" si="155"/>
        <v>15</v>
      </c>
      <c r="CR9" s="78">
        <f t="shared" si="156"/>
        <v>15</v>
      </c>
      <c r="CS9" s="79">
        <f t="shared" si="157"/>
        <v>15</v>
      </c>
      <c r="CT9" s="79">
        <f t="shared" si="158"/>
        <v>15</v>
      </c>
      <c r="CU9" s="80">
        <f t="shared" si="159"/>
        <v>15</v>
      </c>
      <c r="CV9" s="78">
        <f t="shared" si="160"/>
        <v>15</v>
      </c>
      <c r="CW9" s="79">
        <f t="shared" si="161"/>
        <v>15</v>
      </c>
      <c r="CX9" s="79">
        <f t="shared" si="162"/>
        <v>15</v>
      </c>
      <c r="CY9" s="80">
        <f t="shared" si="163"/>
        <v>15</v>
      </c>
      <c r="CZ9" s="78">
        <f t="shared" si="164"/>
        <v>15</v>
      </c>
      <c r="DA9" s="79">
        <f t="shared" si="165"/>
        <v>15</v>
      </c>
      <c r="DB9" s="79">
        <f t="shared" si="166"/>
        <v>15</v>
      </c>
      <c r="DC9" s="80">
        <f t="shared" si="167"/>
        <v>15</v>
      </c>
      <c r="DD9" s="78">
        <f t="shared" si="168"/>
        <v>15</v>
      </c>
      <c r="DE9" s="79">
        <f t="shared" si="169"/>
        <v>15</v>
      </c>
      <c r="DF9" s="79">
        <f t="shared" si="170"/>
        <v>15</v>
      </c>
      <c r="DG9" s="80">
        <f t="shared" si="171"/>
        <v>15</v>
      </c>
      <c r="DH9" s="78">
        <f t="shared" si="172"/>
        <v>15</v>
      </c>
      <c r="DI9" s="79">
        <f t="shared" si="173"/>
        <v>15</v>
      </c>
      <c r="DJ9" s="79">
        <f t="shared" si="174"/>
        <v>15</v>
      </c>
      <c r="DK9" s="80">
        <f t="shared" si="175"/>
        <v>15</v>
      </c>
      <c r="DL9" s="78">
        <f t="shared" si="176"/>
        <v>15</v>
      </c>
      <c r="DM9" s="79">
        <f t="shared" si="177"/>
        <v>15</v>
      </c>
      <c r="DN9" s="79">
        <f t="shared" si="178"/>
        <v>15</v>
      </c>
      <c r="DO9" s="80">
        <f t="shared" si="179"/>
        <v>15</v>
      </c>
      <c r="DP9" s="78">
        <f t="shared" si="180"/>
        <v>15</v>
      </c>
      <c r="DQ9" s="79">
        <f t="shared" si="181"/>
        <v>15</v>
      </c>
      <c r="DR9" s="79">
        <f t="shared" si="182"/>
        <v>15</v>
      </c>
      <c r="DS9" s="80">
        <f t="shared" si="183"/>
        <v>15</v>
      </c>
      <c r="DT9" s="78">
        <f t="shared" si="184"/>
        <v>15</v>
      </c>
      <c r="DU9" s="79">
        <f t="shared" si="185"/>
        <v>15</v>
      </c>
      <c r="DV9" s="79">
        <f t="shared" si="186"/>
        <v>15</v>
      </c>
      <c r="DW9" s="80">
        <f t="shared" si="187"/>
        <v>15</v>
      </c>
      <c r="DX9" s="78">
        <f t="shared" si="188"/>
        <v>15</v>
      </c>
      <c r="DY9" s="79">
        <f t="shared" si="189"/>
        <v>15</v>
      </c>
      <c r="DZ9" s="79">
        <f t="shared" si="190"/>
        <v>15</v>
      </c>
      <c r="EA9" s="80">
        <f t="shared" si="191"/>
        <v>15</v>
      </c>
      <c r="EB9" s="78">
        <f t="shared" si="192"/>
        <v>15</v>
      </c>
      <c r="EC9" s="79">
        <f t="shared" si="193"/>
        <v>15</v>
      </c>
      <c r="ED9" s="79">
        <f t="shared" si="194"/>
        <v>15</v>
      </c>
      <c r="EE9" s="80">
        <f t="shared" si="195"/>
        <v>15</v>
      </c>
      <c r="EF9" s="78">
        <f t="shared" si="196"/>
        <v>15</v>
      </c>
      <c r="EG9" s="79">
        <f t="shared" si="197"/>
        <v>15</v>
      </c>
      <c r="EH9" s="79">
        <f t="shared" si="198"/>
        <v>15</v>
      </c>
      <c r="EI9" s="80">
        <f t="shared" si="199"/>
        <v>15</v>
      </c>
      <c r="EJ9" s="78">
        <f t="shared" si="200"/>
        <v>15</v>
      </c>
      <c r="EK9" s="79">
        <f t="shared" si="201"/>
        <v>15</v>
      </c>
      <c r="EL9" s="79">
        <f t="shared" si="202"/>
        <v>15</v>
      </c>
      <c r="EM9" s="80">
        <f t="shared" si="203"/>
        <v>15</v>
      </c>
      <c r="EN9" s="78">
        <f t="shared" si="204"/>
        <v>15</v>
      </c>
      <c r="EO9" s="79">
        <f t="shared" si="205"/>
        <v>15</v>
      </c>
      <c r="EP9" s="79">
        <f t="shared" si="206"/>
        <v>15</v>
      </c>
      <c r="EQ9" s="80">
        <f t="shared" si="207"/>
        <v>15</v>
      </c>
      <c r="ER9" s="78">
        <f t="shared" si="208"/>
        <v>15</v>
      </c>
      <c r="ES9" s="79">
        <f t="shared" si="209"/>
        <v>15</v>
      </c>
      <c r="ET9" s="79">
        <f t="shared" si="210"/>
        <v>15</v>
      </c>
      <c r="EU9" s="80">
        <f t="shared" si="211"/>
        <v>15</v>
      </c>
      <c r="EV9" s="81">
        <f>SUM(H9:DC9)/4</f>
        <v>285</v>
      </c>
    </row>
    <row r="10" spans="2:153" s="30" customFormat="1" ht="29.25" customHeight="1">
      <c r="B10" s="22"/>
      <c r="C10" s="77" t="str">
        <f>+schedule_ARAS!C46</f>
        <v>Çarkçı</v>
      </c>
      <c r="D10" s="31" t="s">
        <v>153</v>
      </c>
      <c r="E10" s="24">
        <f>+schedule_ARAS!E46</f>
        <v>10</v>
      </c>
      <c r="F10" s="25"/>
      <c r="G10" s="26"/>
      <c r="H10" s="78"/>
      <c r="I10" s="79"/>
      <c r="J10" s="79"/>
      <c r="K10" s="80"/>
      <c r="L10" s="78"/>
      <c r="M10" s="79"/>
      <c r="N10" s="79"/>
      <c r="O10" s="80"/>
      <c r="P10" s="78"/>
      <c r="Q10" s="79"/>
      <c r="R10" s="79"/>
      <c r="S10" s="80"/>
      <c r="T10" s="78"/>
      <c r="U10" s="79"/>
      <c r="V10" s="79"/>
      <c r="W10" s="80"/>
      <c r="X10" s="78"/>
      <c r="Y10" s="79"/>
      <c r="Z10" s="79"/>
      <c r="AA10" s="80"/>
      <c r="AB10" s="78"/>
      <c r="AC10" s="79"/>
      <c r="AD10" s="79"/>
      <c r="AE10" s="80"/>
      <c r="AF10" s="78">
        <f t="shared" si="92"/>
        <v>10</v>
      </c>
      <c r="AG10" s="79">
        <f t="shared" si="93"/>
        <v>10</v>
      </c>
      <c r="AH10" s="79">
        <f t="shared" si="94"/>
        <v>10</v>
      </c>
      <c r="AI10" s="80">
        <f t="shared" si="95"/>
        <v>10</v>
      </c>
      <c r="AJ10" s="78">
        <f t="shared" si="96"/>
        <v>10</v>
      </c>
      <c r="AK10" s="79">
        <f t="shared" si="97"/>
        <v>10</v>
      </c>
      <c r="AL10" s="79">
        <f t="shared" si="98"/>
        <v>10</v>
      </c>
      <c r="AM10" s="80">
        <f t="shared" si="99"/>
        <v>10</v>
      </c>
      <c r="AN10" s="78">
        <f t="shared" si="100"/>
        <v>10</v>
      </c>
      <c r="AO10" s="79">
        <f t="shared" si="101"/>
        <v>10</v>
      </c>
      <c r="AP10" s="79">
        <f t="shared" si="102"/>
        <v>10</v>
      </c>
      <c r="AQ10" s="80">
        <f t="shared" si="103"/>
        <v>10</v>
      </c>
      <c r="AR10" s="78">
        <f t="shared" si="104"/>
        <v>10</v>
      </c>
      <c r="AS10" s="79">
        <f t="shared" si="105"/>
        <v>10</v>
      </c>
      <c r="AT10" s="79">
        <f t="shared" si="106"/>
        <v>10</v>
      </c>
      <c r="AU10" s="80">
        <f t="shared" si="107"/>
        <v>10</v>
      </c>
      <c r="AV10" s="78">
        <f t="shared" si="108"/>
        <v>10</v>
      </c>
      <c r="AW10" s="79">
        <f t="shared" si="109"/>
        <v>10</v>
      </c>
      <c r="AX10" s="79">
        <f t="shared" si="110"/>
        <v>10</v>
      </c>
      <c r="AY10" s="80">
        <f t="shared" si="111"/>
        <v>10</v>
      </c>
      <c r="AZ10" s="78">
        <f t="shared" si="112"/>
        <v>10</v>
      </c>
      <c r="BA10" s="79">
        <f t="shared" si="113"/>
        <v>10</v>
      </c>
      <c r="BB10" s="79">
        <f t="shared" si="114"/>
        <v>10</v>
      </c>
      <c r="BC10" s="80">
        <f t="shared" si="115"/>
        <v>10</v>
      </c>
      <c r="BD10" s="78">
        <f t="shared" si="116"/>
        <v>10</v>
      </c>
      <c r="BE10" s="79">
        <f t="shared" si="117"/>
        <v>10</v>
      </c>
      <c r="BF10" s="79">
        <f t="shared" si="118"/>
        <v>10</v>
      </c>
      <c r="BG10" s="80">
        <f t="shared" si="119"/>
        <v>10</v>
      </c>
      <c r="BH10" s="78">
        <f t="shared" si="120"/>
        <v>10</v>
      </c>
      <c r="BI10" s="79">
        <f t="shared" si="121"/>
        <v>10</v>
      </c>
      <c r="BJ10" s="79">
        <f t="shared" si="122"/>
        <v>10</v>
      </c>
      <c r="BK10" s="80">
        <f t="shared" si="123"/>
        <v>10</v>
      </c>
      <c r="BL10" s="78">
        <f t="shared" si="124"/>
        <v>10</v>
      </c>
      <c r="BM10" s="79">
        <f t="shared" si="125"/>
        <v>10</v>
      </c>
      <c r="BN10" s="79">
        <f t="shared" si="126"/>
        <v>10</v>
      </c>
      <c r="BO10" s="80">
        <f t="shared" si="127"/>
        <v>10</v>
      </c>
      <c r="BP10" s="78">
        <f t="shared" si="128"/>
        <v>10</v>
      </c>
      <c r="BQ10" s="79">
        <f t="shared" si="129"/>
        <v>10</v>
      </c>
      <c r="BR10" s="79">
        <f t="shared" si="130"/>
        <v>10</v>
      </c>
      <c r="BS10" s="80">
        <f t="shared" si="131"/>
        <v>10</v>
      </c>
      <c r="BT10" s="78">
        <f t="shared" si="132"/>
        <v>10</v>
      </c>
      <c r="BU10" s="79">
        <f t="shared" si="133"/>
        <v>10</v>
      </c>
      <c r="BV10" s="79">
        <f t="shared" si="134"/>
        <v>10</v>
      </c>
      <c r="BW10" s="80">
        <f t="shared" si="135"/>
        <v>10</v>
      </c>
      <c r="BX10" s="78">
        <f t="shared" si="136"/>
        <v>10</v>
      </c>
      <c r="BY10" s="79">
        <f t="shared" si="137"/>
        <v>10</v>
      </c>
      <c r="BZ10" s="79">
        <f t="shared" si="138"/>
        <v>10</v>
      </c>
      <c r="CA10" s="80">
        <f t="shared" si="139"/>
        <v>10</v>
      </c>
      <c r="CB10" s="78">
        <f t="shared" si="140"/>
        <v>10</v>
      </c>
      <c r="CC10" s="79">
        <f t="shared" si="141"/>
        <v>10</v>
      </c>
      <c r="CD10" s="79">
        <f t="shared" si="142"/>
        <v>10</v>
      </c>
      <c r="CE10" s="80">
        <f t="shared" si="143"/>
        <v>10</v>
      </c>
      <c r="CF10" s="78">
        <f t="shared" si="144"/>
        <v>10</v>
      </c>
      <c r="CG10" s="79">
        <f t="shared" si="145"/>
        <v>10</v>
      </c>
      <c r="CH10" s="79">
        <f t="shared" si="146"/>
        <v>10</v>
      </c>
      <c r="CI10" s="80">
        <f t="shared" si="147"/>
        <v>10</v>
      </c>
      <c r="CJ10" s="78">
        <f t="shared" si="148"/>
        <v>10</v>
      </c>
      <c r="CK10" s="79">
        <f t="shared" si="149"/>
        <v>10</v>
      </c>
      <c r="CL10" s="79">
        <f t="shared" si="150"/>
        <v>10</v>
      </c>
      <c r="CM10" s="80">
        <f t="shared" si="151"/>
        <v>10</v>
      </c>
      <c r="CN10" s="78">
        <f t="shared" si="152"/>
        <v>10</v>
      </c>
      <c r="CO10" s="79">
        <f t="shared" si="153"/>
        <v>10</v>
      </c>
      <c r="CP10" s="79">
        <f t="shared" si="154"/>
        <v>10</v>
      </c>
      <c r="CQ10" s="80">
        <f t="shared" si="155"/>
        <v>10</v>
      </c>
      <c r="CR10" s="78">
        <f t="shared" si="156"/>
        <v>10</v>
      </c>
      <c r="CS10" s="79">
        <f t="shared" si="157"/>
        <v>10</v>
      </c>
      <c r="CT10" s="79">
        <f t="shared" si="158"/>
        <v>10</v>
      </c>
      <c r="CU10" s="80">
        <f t="shared" si="159"/>
        <v>10</v>
      </c>
      <c r="CV10" s="78">
        <f t="shared" si="160"/>
        <v>10</v>
      </c>
      <c r="CW10" s="79">
        <f t="shared" si="161"/>
        <v>10</v>
      </c>
      <c r="CX10" s="79">
        <f t="shared" si="162"/>
        <v>10</v>
      </c>
      <c r="CY10" s="80">
        <f t="shared" si="163"/>
        <v>10</v>
      </c>
      <c r="CZ10" s="78">
        <f t="shared" si="164"/>
        <v>10</v>
      </c>
      <c r="DA10" s="79">
        <f t="shared" si="165"/>
        <v>10</v>
      </c>
      <c r="DB10" s="79">
        <f t="shared" si="166"/>
        <v>10</v>
      </c>
      <c r="DC10" s="80">
        <f t="shared" si="167"/>
        <v>10</v>
      </c>
      <c r="DD10" s="78">
        <f t="shared" si="168"/>
        <v>10</v>
      </c>
      <c r="DE10" s="79">
        <f t="shared" si="169"/>
        <v>10</v>
      </c>
      <c r="DF10" s="79">
        <f t="shared" si="170"/>
        <v>10</v>
      </c>
      <c r="DG10" s="80">
        <f t="shared" si="171"/>
        <v>10</v>
      </c>
      <c r="DH10" s="78">
        <f t="shared" si="172"/>
        <v>10</v>
      </c>
      <c r="DI10" s="79">
        <f t="shared" si="173"/>
        <v>10</v>
      </c>
      <c r="DJ10" s="79">
        <f t="shared" si="174"/>
        <v>10</v>
      </c>
      <c r="DK10" s="80">
        <f t="shared" si="175"/>
        <v>10</v>
      </c>
      <c r="DL10" s="78">
        <f t="shared" si="176"/>
        <v>10</v>
      </c>
      <c r="DM10" s="79">
        <f t="shared" si="177"/>
        <v>10</v>
      </c>
      <c r="DN10" s="79">
        <f t="shared" si="178"/>
        <v>10</v>
      </c>
      <c r="DO10" s="80">
        <f t="shared" si="179"/>
        <v>10</v>
      </c>
      <c r="DP10" s="78">
        <f t="shared" si="180"/>
        <v>10</v>
      </c>
      <c r="DQ10" s="79">
        <f t="shared" si="181"/>
        <v>10</v>
      </c>
      <c r="DR10" s="79">
        <f t="shared" si="182"/>
        <v>10</v>
      </c>
      <c r="DS10" s="80">
        <f t="shared" si="183"/>
        <v>10</v>
      </c>
      <c r="DT10" s="78">
        <f t="shared" si="184"/>
        <v>10</v>
      </c>
      <c r="DU10" s="79">
        <f t="shared" si="185"/>
        <v>10</v>
      </c>
      <c r="DV10" s="79">
        <f t="shared" si="186"/>
        <v>10</v>
      </c>
      <c r="DW10" s="80">
        <f t="shared" si="187"/>
        <v>10</v>
      </c>
      <c r="DX10" s="78">
        <f t="shared" si="188"/>
        <v>10</v>
      </c>
      <c r="DY10" s="79">
        <f t="shared" si="189"/>
        <v>10</v>
      </c>
      <c r="DZ10" s="79">
        <f t="shared" si="190"/>
        <v>10</v>
      </c>
      <c r="EA10" s="80">
        <f t="shared" si="191"/>
        <v>10</v>
      </c>
      <c r="EB10" s="78">
        <f t="shared" si="192"/>
        <v>10</v>
      </c>
      <c r="EC10" s="79">
        <f t="shared" si="193"/>
        <v>10</v>
      </c>
      <c r="ED10" s="79">
        <f t="shared" si="194"/>
        <v>10</v>
      </c>
      <c r="EE10" s="80">
        <f t="shared" si="195"/>
        <v>10</v>
      </c>
      <c r="EF10" s="78">
        <f t="shared" si="196"/>
        <v>10</v>
      </c>
      <c r="EG10" s="79">
        <f t="shared" si="197"/>
        <v>10</v>
      </c>
      <c r="EH10" s="79">
        <f t="shared" si="198"/>
        <v>10</v>
      </c>
      <c r="EI10" s="80">
        <f t="shared" si="199"/>
        <v>10</v>
      </c>
      <c r="EJ10" s="78">
        <f t="shared" si="200"/>
        <v>10</v>
      </c>
      <c r="EK10" s="79">
        <f t="shared" si="201"/>
        <v>10</v>
      </c>
      <c r="EL10" s="79">
        <f t="shared" si="202"/>
        <v>10</v>
      </c>
      <c r="EM10" s="80">
        <f t="shared" si="203"/>
        <v>10</v>
      </c>
      <c r="EN10" s="78">
        <f t="shared" si="204"/>
        <v>10</v>
      </c>
      <c r="EO10" s="79">
        <f t="shared" si="205"/>
        <v>10</v>
      </c>
      <c r="EP10" s="79">
        <f t="shared" si="206"/>
        <v>10</v>
      </c>
      <c r="EQ10" s="80">
        <f t="shared" si="207"/>
        <v>10</v>
      </c>
      <c r="ER10" s="78">
        <f t="shared" si="208"/>
        <v>10</v>
      </c>
      <c r="ES10" s="79">
        <f t="shared" si="209"/>
        <v>10</v>
      </c>
      <c r="ET10" s="79">
        <f t="shared" si="210"/>
        <v>10</v>
      </c>
      <c r="EU10" s="80">
        <f t="shared" si="211"/>
        <v>10</v>
      </c>
      <c r="EV10" s="81">
        <f t="shared" ref="EV10:EV12" si="212">SUM(H10:DC10)/4</f>
        <v>190</v>
      </c>
    </row>
    <row r="11" spans="2:153" s="30" customFormat="1" ht="29.25" customHeight="1">
      <c r="B11" s="22"/>
      <c r="C11" s="77" t="str">
        <f>+schedule_ARAS!C47</f>
        <v>Yağcı</v>
      </c>
      <c r="D11" s="31" t="s">
        <v>153</v>
      </c>
      <c r="E11" s="24">
        <f>+schedule_ARAS!E47</f>
        <v>15</v>
      </c>
      <c r="F11" s="25"/>
      <c r="G11" s="26"/>
      <c r="H11" s="78"/>
      <c r="I11" s="79"/>
      <c r="J11" s="79"/>
      <c r="K11" s="80"/>
      <c r="L11" s="78"/>
      <c r="M11" s="79"/>
      <c r="N11" s="79"/>
      <c r="O11" s="80"/>
      <c r="P11" s="78"/>
      <c r="Q11" s="79"/>
      <c r="R11" s="79"/>
      <c r="S11" s="80"/>
      <c r="T11" s="78"/>
      <c r="U11" s="79"/>
      <c r="V11" s="79"/>
      <c r="W11" s="80"/>
      <c r="X11" s="78"/>
      <c r="Y11" s="79"/>
      <c r="Z11" s="79"/>
      <c r="AA11" s="80"/>
      <c r="AB11" s="78"/>
      <c r="AC11" s="79"/>
      <c r="AD11" s="79"/>
      <c r="AE11" s="80"/>
      <c r="AF11" s="78">
        <f t="shared" si="92"/>
        <v>15</v>
      </c>
      <c r="AG11" s="79">
        <f t="shared" si="93"/>
        <v>15</v>
      </c>
      <c r="AH11" s="79">
        <f t="shared" si="94"/>
        <v>15</v>
      </c>
      <c r="AI11" s="80">
        <f t="shared" si="95"/>
        <v>15</v>
      </c>
      <c r="AJ11" s="78">
        <f t="shared" si="96"/>
        <v>15</v>
      </c>
      <c r="AK11" s="79">
        <f t="shared" si="97"/>
        <v>15</v>
      </c>
      <c r="AL11" s="79">
        <f t="shared" si="98"/>
        <v>15</v>
      </c>
      <c r="AM11" s="80">
        <f t="shared" si="99"/>
        <v>15</v>
      </c>
      <c r="AN11" s="78">
        <f t="shared" si="100"/>
        <v>15</v>
      </c>
      <c r="AO11" s="79">
        <f t="shared" si="101"/>
        <v>15</v>
      </c>
      <c r="AP11" s="79">
        <f t="shared" si="102"/>
        <v>15</v>
      </c>
      <c r="AQ11" s="80">
        <f t="shared" si="103"/>
        <v>15</v>
      </c>
      <c r="AR11" s="78">
        <f t="shared" si="104"/>
        <v>15</v>
      </c>
      <c r="AS11" s="79">
        <f t="shared" si="105"/>
        <v>15</v>
      </c>
      <c r="AT11" s="79">
        <f t="shared" si="106"/>
        <v>15</v>
      </c>
      <c r="AU11" s="80">
        <f t="shared" si="107"/>
        <v>15</v>
      </c>
      <c r="AV11" s="78">
        <f t="shared" si="108"/>
        <v>15</v>
      </c>
      <c r="AW11" s="79">
        <f t="shared" si="109"/>
        <v>15</v>
      </c>
      <c r="AX11" s="79">
        <f t="shared" si="110"/>
        <v>15</v>
      </c>
      <c r="AY11" s="80">
        <f t="shared" si="111"/>
        <v>15</v>
      </c>
      <c r="AZ11" s="78">
        <f t="shared" si="112"/>
        <v>15</v>
      </c>
      <c r="BA11" s="79">
        <f t="shared" si="113"/>
        <v>15</v>
      </c>
      <c r="BB11" s="79">
        <f t="shared" si="114"/>
        <v>15</v>
      </c>
      <c r="BC11" s="80">
        <f t="shared" si="115"/>
        <v>15</v>
      </c>
      <c r="BD11" s="78">
        <f t="shared" si="116"/>
        <v>15</v>
      </c>
      <c r="BE11" s="79">
        <f t="shared" si="117"/>
        <v>15</v>
      </c>
      <c r="BF11" s="79">
        <f t="shared" si="118"/>
        <v>15</v>
      </c>
      <c r="BG11" s="80">
        <f t="shared" si="119"/>
        <v>15</v>
      </c>
      <c r="BH11" s="78">
        <f t="shared" si="120"/>
        <v>15</v>
      </c>
      <c r="BI11" s="79">
        <f t="shared" si="121"/>
        <v>15</v>
      </c>
      <c r="BJ11" s="79">
        <f t="shared" si="122"/>
        <v>15</v>
      </c>
      <c r="BK11" s="80">
        <f t="shared" si="123"/>
        <v>15</v>
      </c>
      <c r="BL11" s="78">
        <f t="shared" si="124"/>
        <v>15</v>
      </c>
      <c r="BM11" s="79">
        <f t="shared" si="125"/>
        <v>15</v>
      </c>
      <c r="BN11" s="79">
        <f t="shared" si="126"/>
        <v>15</v>
      </c>
      <c r="BO11" s="80">
        <f t="shared" si="127"/>
        <v>15</v>
      </c>
      <c r="BP11" s="78">
        <f t="shared" si="128"/>
        <v>15</v>
      </c>
      <c r="BQ11" s="79">
        <f t="shared" si="129"/>
        <v>15</v>
      </c>
      <c r="BR11" s="79">
        <f t="shared" si="130"/>
        <v>15</v>
      </c>
      <c r="BS11" s="80">
        <f t="shared" si="131"/>
        <v>15</v>
      </c>
      <c r="BT11" s="78">
        <f t="shared" si="132"/>
        <v>15</v>
      </c>
      <c r="BU11" s="79">
        <f t="shared" si="133"/>
        <v>15</v>
      </c>
      <c r="BV11" s="79">
        <f t="shared" si="134"/>
        <v>15</v>
      </c>
      <c r="BW11" s="80">
        <f t="shared" si="135"/>
        <v>15</v>
      </c>
      <c r="BX11" s="78">
        <f t="shared" si="136"/>
        <v>15</v>
      </c>
      <c r="BY11" s="79">
        <f t="shared" si="137"/>
        <v>15</v>
      </c>
      <c r="BZ11" s="79">
        <f t="shared" si="138"/>
        <v>15</v>
      </c>
      <c r="CA11" s="80">
        <f t="shared" si="139"/>
        <v>15</v>
      </c>
      <c r="CB11" s="78">
        <f t="shared" si="140"/>
        <v>15</v>
      </c>
      <c r="CC11" s="79">
        <f t="shared" si="141"/>
        <v>15</v>
      </c>
      <c r="CD11" s="79">
        <f t="shared" si="142"/>
        <v>15</v>
      </c>
      <c r="CE11" s="80">
        <f t="shared" si="143"/>
        <v>15</v>
      </c>
      <c r="CF11" s="78">
        <f t="shared" si="144"/>
        <v>15</v>
      </c>
      <c r="CG11" s="79">
        <f t="shared" si="145"/>
        <v>15</v>
      </c>
      <c r="CH11" s="79">
        <f t="shared" si="146"/>
        <v>15</v>
      </c>
      <c r="CI11" s="80">
        <f t="shared" si="147"/>
        <v>15</v>
      </c>
      <c r="CJ11" s="78">
        <f t="shared" si="148"/>
        <v>15</v>
      </c>
      <c r="CK11" s="79">
        <f t="shared" si="149"/>
        <v>15</v>
      </c>
      <c r="CL11" s="79">
        <f t="shared" si="150"/>
        <v>15</v>
      </c>
      <c r="CM11" s="80">
        <f t="shared" si="151"/>
        <v>15</v>
      </c>
      <c r="CN11" s="78">
        <f t="shared" si="152"/>
        <v>15</v>
      </c>
      <c r="CO11" s="79">
        <f t="shared" si="153"/>
        <v>15</v>
      </c>
      <c r="CP11" s="79">
        <f t="shared" si="154"/>
        <v>15</v>
      </c>
      <c r="CQ11" s="80">
        <f t="shared" si="155"/>
        <v>15</v>
      </c>
      <c r="CR11" s="78">
        <f t="shared" si="156"/>
        <v>15</v>
      </c>
      <c r="CS11" s="79">
        <f t="shared" si="157"/>
        <v>15</v>
      </c>
      <c r="CT11" s="79">
        <f t="shared" si="158"/>
        <v>15</v>
      </c>
      <c r="CU11" s="80">
        <f t="shared" si="159"/>
        <v>15</v>
      </c>
      <c r="CV11" s="78">
        <f t="shared" si="160"/>
        <v>15</v>
      </c>
      <c r="CW11" s="79">
        <f t="shared" si="161"/>
        <v>15</v>
      </c>
      <c r="CX11" s="79">
        <f t="shared" si="162"/>
        <v>15</v>
      </c>
      <c r="CY11" s="80">
        <f t="shared" si="163"/>
        <v>15</v>
      </c>
      <c r="CZ11" s="78">
        <f t="shared" si="164"/>
        <v>15</v>
      </c>
      <c r="DA11" s="79">
        <f t="shared" si="165"/>
        <v>15</v>
      </c>
      <c r="DB11" s="79">
        <f t="shared" si="166"/>
        <v>15</v>
      </c>
      <c r="DC11" s="80">
        <f t="shared" si="167"/>
        <v>15</v>
      </c>
      <c r="DD11" s="78">
        <f t="shared" si="168"/>
        <v>15</v>
      </c>
      <c r="DE11" s="79">
        <f t="shared" si="169"/>
        <v>15</v>
      </c>
      <c r="DF11" s="79">
        <f t="shared" si="170"/>
        <v>15</v>
      </c>
      <c r="DG11" s="80">
        <f t="shared" si="171"/>
        <v>15</v>
      </c>
      <c r="DH11" s="78">
        <f t="shared" si="172"/>
        <v>15</v>
      </c>
      <c r="DI11" s="79">
        <f t="shared" si="173"/>
        <v>15</v>
      </c>
      <c r="DJ11" s="79">
        <f t="shared" si="174"/>
        <v>15</v>
      </c>
      <c r="DK11" s="80">
        <f t="shared" si="175"/>
        <v>15</v>
      </c>
      <c r="DL11" s="78">
        <f t="shared" si="176"/>
        <v>15</v>
      </c>
      <c r="DM11" s="79">
        <f t="shared" si="177"/>
        <v>15</v>
      </c>
      <c r="DN11" s="79">
        <f t="shared" si="178"/>
        <v>15</v>
      </c>
      <c r="DO11" s="80">
        <f t="shared" si="179"/>
        <v>15</v>
      </c>
      <c r="DP11" s="78">
        <f t="shared" si="180"/>
        <v>15</v>
      </c>
      <c r="DQ11" s="79">
        <f t="shared" si="181"/>
        <v>15</v>
      </c>
      <c r="DR11" s="79">
        <f t="shared" si="182"/>
        <v>15</v>
      </c>
      <c r="DS11" s="80">
        <f t="shared" si="183"/>
        <v>15</v>
      </c>
      <c r="DT11" s="78">
        <f t="shared" si="184"/>
        <v>15</v>
      </c>
      <c r="DU11" s="79">
        <f t="shared" si="185"/>
        <v>15</v>
      </c>
      <c r="DV11" s="79">
        <f t="shared" si="186"/>
        <v>15</v>
      </c>
      <c r="DW11" s="80">
        <f t="shared" si="187"/>
        <v>15</v>
      </c>
      <c r="DX11" s="78">
        <f t="shared" si="188"/>
        <v>15</v>
      </c>
      <c r="DY11" s="79">
        <f t="shared" si="189"/>
        <v>15</v>
      </c>
      <c r="DZ11" s="79">
        <f t="shared" si="190"/>
        <v>15</v>
      </c>
      <c r="EA11" s="80">
        <f t="shared" si="191"/>
        <v>15</v>
      </c>
      <c r="EB11" s="78">
        <f t="shared" si="192"/>
        <v>15</v>
      </c>
      <c r="EC11" s="79">
        <f t="shared" si="193"/>
        <v>15</v>
      </c>
      <c r="ED11" s="79">
        <f t="shared" si="194"/>
        <v>15</v>
      </c>
      <c r="EE11" s="80">
        <f t="shared" si="195"/>
        <v>15</v>
      </c>
      <c r="EF11" s="78">
        <f t="shared" si="196"/>
        <v>15</v>
      </c>
      <c r="EG11" s="79">
        <f t="shared" si="197"/>
        <v>15</v>
      </c>
      <c r="EH11" s="79">
        <f t="shared" si="198"/>
        <v>15</v>
      </c>
      <c r="EI11" s="80">
        <f t="shared" si="199"/>
        <v>15</v>
      </c>
      <c r="EJ11" s="78">
        <f t="shared" si="200"/>
        <v>15</v>
      </c>
      <c r="EK11" s="79">
        <f t="shared" si="201"/>
        <v>15</v>
      </c>
      <c r="EL11" s="79">
        <f t="shared" si="202"/>
        <v>15</v>
      </c>
      <c r="EM11" s="80">
        <f t="shared" si="203"/>
        <v>15</v>
      </c>
      <c r="EN11" s="78">
        <f t="shared" si="204"/>
        <v>15</v>
      </c>
      <c r="EO11" s="79">
        <f t="shared" si="205"/>
        <v>15</v>
      </c>
      <c r="EP11" s="79">
        <f t="shared" si="206"/>
        <v>15</v>
      </c>
      <c r="EQ11" s="80">
        <f t="shared" si="207"/>
        <v>15</v>
      </c>
      <c r="ER11" s="78">
        <f t="shared" si="208"/>
        <v>15</v>
      </c>
      <c r="ES11" s="79">
        <f t="shared" si="209"/>
        <v>15</v>
      </c>
      <c r="ET11" s="79">
        <f t="shared" si="210"/>
        <v>15</v>
      </c>
      <c r="EU11" s="80">
        <f t="shared" si="211"/>
        <v>15</v>
      </c>
      <c r="EV11" s="81">
        <f t="shared" si="212"/>
        <v>285</v>
      </c>
    </row>
    <row r="12" spans="2:153" s="30" customFormat="1" ht="29.25" customHeight="1">
      <c r="B12" s="22"/>
      <c r="C12" s="77" t="str">
        <f>+schedule_ARAS!C48</f>
        <v>Gemici</v>
      </c>
      <c r="D12" s="31" t="s">
        <v>153</v>
      </c>
      <c r="E12" s="24">
        <f>+schedule_ARAS!E48</f>
        <v>30</v>
      </c>
      <c r="F12" s="25"/>
      <c r="G12" s="26"/>
      <c r="H12" s="78"/>
      <c r="I12" s="79"/>
      <c r="J12" s="79"/>
      <c r="K12" s="80"/>
      <c r="L12" s="78"/>
      <c r="M12" s="79"/>
      <c r="N12" s="79"/>
      <c r="O12" s="80"/>
      <c r="P12" s="78"/>
      <c r="Q12" s="79"/>
      <c r="R12" s="79"/>
      <c r="S12" s="80"/>
      <c r="T12" s="78"/>
      <c r="U12" s="79"/>
      <c r="V12" s="79"/>
      <c r="W12" s="80"/>
      <c r="X12" s="78"/>
      <c r="Y12" s="79"/>
      <c r="Z12" s="79"/>
      <c r="AA12" s="80"/>
      <c r="AB12" s="78"/>
      <c r="AC12" s="79"/>
      <c r="AD12" s="79"/>
      <c r="AE12" s="80"/>
      <c r="AF12" s="78">
        <f t="shared" si="92"/>
        <v>30</v>
      </c>
      <c r="AG12" s="79">
        <f t="shared" si="93"/>
        <v>30</v>
      </c>
      <c r="AH12" s="79">
        <f t="shared" si="94"/>
        <v>30</v>
      </c>
      <c r="AI12" s="80">
        <f t="shared" si="95"/>
        <v>30</v>
      </c>
      <c r="AJ12" s="78">
        <f t="shared" si="96"/>
        <v>30</v>
      </c>
      <c r="AK12" s="79">
        <f t="shared" si="97"/>
        <v>30</v>
      </c>
      <c r="AL12" s="79">
        <f t="shared" si="98"/>
        <v>30</v>
      </c>
      <c r="AM12" s="80">
        <f t="shared" si="99"/>
        <v>30</v>
      </c>
      <c r="AN12" s="78">
        <f t="shared" si="100"/>
        <v>30</v>
      </c>
      <c r="AO12" s="79">
        <f t="shared" si="101"/>
        <v>30</v>
      </c>
      <c r="AP12" s="79">
        <f t="shared" si="102"/>
        <v>30</v>
      </c>
      <c r="AQ12" s="80">
        <f t="shared" si="103"/>
        <v>30</v>
      </c>
      <c r="AR12" s="78">
        <f t="shared" si="104"/>
        <v>30</v>
      </c>
      <c r="AS12" s="79">
        <f t="shared" si="105"/>
        <v>30</v>
      </c>
      <c r="AT12" s="79">
        <f t="shared" si="106"/>
        <v>30</v>
      </c>
      <c r="AU12" s="80">
        <f t="shared" si="107"/>
        <v>30</v>
      </c>
      <c r="AV12" s="78">
        <f t="shared" si="108"/>
        <v>30</v>
      </c>
      <c r="AW12" s="79">
        <f t="shared" si="109"/>
        <v>30</v>
      </c>
      <c r="AX12" s="79">
        <f t="shared" si="110"/>
        <v>30</v>
      </c>
      <c r="AY12" s="80">
        <f t="shared" si="111"/>
        <v>30</v>
      </c>
      <c r="AZ12" s="78">
        <f t="shared" si="112"/>
        <v>30</v>
      </c>
      <c r="BA12" s="79">
        <f t="shared" si="113"/>
        <v>30</v>
      </c>
      <c r="BB12" s="79">
        <f t="shared" si="114"/>
        <v>30</v>
      </c>
      <c r="BC12" s="80">
        <f t="shared" si="115"/>
        <v>30</v>
      </c>
      <c r="BD12" s="78">
        <f t="shared" si="116"/>
        <v>30</v>
      </c>
      <c r="BE12" s="79">
        <f t="shared" si="117"/>
        <v>30</v>
      </c>
      <c r="BF12" s="79">
        <f t="shared" si="118"/>
        <v>30</v>
      </c>
      <c r="BG12" s="80">
        <f t="shared" si="119"/>
        <v>30</v>
      </c>
      <c r="BH12" s="78">
        <f t="shared" si="120"/>
        <v>30</v>
      </c>
      <c r="BI12" s="79">
        <f t="shared" si="121"/>
        <v>30</v>
      </c>
      <c r="BJ12" s="79">
        <f t="shared" si="122"/>
        <v>30</v>
      </c>
      <c r="BK12" s="80">
        <f t="shared" si="123"/>
        <v>30</v>
      </c>
      <c r="BL12" s="78">
        <f t="shared" si="124"/>
        <v>30</v>
      </c>
      <c r="BM12" s="79">
        <f t="shared" si="125"/>
        <v>30</v>
      </c>
      <c r="BN12" s="79">
        <f t="shared" si="126"/>
        <v>30</v>
      </c>
      <c r="BO12" s="80">
        <f t="shared" si="127"/>
        <v>30</v>
      </c>
      <c r="BP12" s="78">
        <f t="shared" si="128"/>
        <v>30</v>
      </c>
      <c r="BQ12" s="79">
        <f t="shared" si="129"/>
        <v>30</v>
      </c>
      <c r="BR12" s="79">
        <f t="shared" si="130"/>
        <v>30</v>
      </c>
      <c r="BS12" s="80">
        <f t="shared" si="131"/>
        <v>30</v>
      </c>
      <c r="BT12" s="78">
        <f t="shared" si="132"/>
        <v>30</v>
      </c>
      <c r="BU12" s="79">
        <f t="shared" si="133"/>
        <v>30</v>
      </c>
      <c r="BV12" s="79">
        <f t="shared" si="134"/>
        <v>30</v>
      </c>
      <c r="BW12" s="80">
        <f t="shared" si="135"/>
        <v>30</v>
      </c>
      <c r="BX12" s="78">
        <f t="shared" si="136"/>
        <v>30</v>
      </c>
      <c r="BY12" s="79">
        <f t="shared" si="137"/>
        <v>30</v>
      </c>
      <c r="BZ12" s="79">
        <f t="shared" si="138"/>
        <v>30</v>
      </c>
      <c r="CA12" s="80">
        <f t="shared" si="139"/>
        <v>30</v>
      </c>
      <c r="CB12" s="78">
        <f t="shared" si="140"/>
        <v>30</v>
      </c>
      <c r="CC12" s="79">
        <f t="shared" si="141"/>
        <v>30</v>
      </c>
      <c r="CD12" s="79">
        <f t="shared" si="142"/>
        <v>30</v>
      </c>
      <c r="CE12" s="80">
        <f t="shared" si="143"/>
        <v>30</v>
      </c>
      <c r="CF12" s="78">
        <f t="shared" si="144"/>
        <v>30</v>
      </c>
      <c r="CG12" s="79">
        <f t="shared" si="145"/>
        <v>30</v>
      </c>
      <c r="CH12" s="79">
        <f t="shared" si="146"/>
        <v>30</v>
      </c>
      <c r="CI12" s="80">
        <f t="shared" si="147"/>
        <v>30</v>
      </c>
      <c r="CJ12" s="78">
        <f t="shared" si="148"/>
        <v>30</v>
      </c>
      <c r="CK12" s="79">
        <f t="shared" si="149"/>
        <v>30</v>
      </c>
      <c r="CL12" s="79">
        <f t="shared" si="150"/>
        <v>30</v>
      </c>
      <c r="CM12" s="80">
        <f t="shared" si="151"/>
        <v>30</v>
      </c>
      <c r="CN12" s="78">
        <f t="shared" si="152"/>
        <v>30</v>
      </c>
      <c r="CO12" s="79">
        <f t="shared" si="153"/>
        <v>30</v>
      </c>
      <c r="CP12" s="79">
        <f t="shared" si="154"/>
        <v>30</v>
      </c>
      <c r="CQ12" s="80">
        <f t="shared" si="155"/>
        <v>30</v>
      </c>
      <c r="CR12" s="78">
        <f t="shared" si="156"/>
        <v>30</v>
      </c>
      <c r="CS12" s="79">
        <f t="shared" si="157"/>
        <v>30</v>
      </c>
      <c r="CT12" s="79">
        <f t="shared" si="158"/>
        <v>30</v>
      </c>
      <c r="CU12" s="80">
        <f t="shared" si="159"/>
        <v>30</v>
      </c>
      <c r="CV12" s="78">
        <f t="shared" si="160"/>
        <v>30</v>
      </c>
      <c r="CW12" s="79">
        <f t="shared" si="161"/>
        <v>30</v>
      </c>
      <c r="CX12" s="79">
        <f t="shared" si="162"/>
        <v>30</v>
      </c>
      <c r="CY12" s="80">
        <f t="shared" si="163"/>
        <v>30</v>
      </c>
      <c r="CZ12" s="78">
        <f t="shared" si="164"/>
        <v>30</v>
      </c>
      <c r="DA12" s="79">
        <f t="shared" si="165"/>
        <v>30</v>
      </c>
      <c r="DB12" s="79">
        <f t="shared" si="166"/>
        <v>30</v>
      </c>
      <c r="DC12" s="80">
        <f t="shared" si="167"/>
        <v>30</v>
      </c>
      <c r="DD12" s="78">
        <f t="shared" si="168"/>
        <v>30</v>
      </c>
      <c r="DE12" s="79">
        <f t="shared" si="169"/>
        <v>30</v>
      </c>
      <c r="DF12" s="79">
        <f t="shared" si="170"/>
        <v>30</v>
      </c>
      <c r="DG12" s="80">
        <f t="shared" si="171"/>
        <v>30</v>
      </c>
      <c r="DH12" s="78">
        <f t="shared" si="172"/>
        <v>30</v>
      </c>
      <c r="DI12" s="79">
        <f t="shared" si="173"/>
        <v>30</v>
      </c>
      <c r="DJ12" s="79">
        <f t="shared" si="174"/>
        <v>30</v>
      </c>
      <c r="DK12" s="80">
        <f t="shared" si="175"/>
        <v>30</v>
      </c>
      <c r="DL12" s="78">
        <f t="shared" si="176"/>
        <v>30</v>
      </c>
      <c r="DM12" s="79">
        <f t="shared" si="177"/>
        <v>30</v>
      </c>
      <c r="DN12" s="79">
        <f t="shared" si="178"/>
        <v>30</v>
      </c>
      <c r="DO12" s="80">
        <f t="shared" si="179"/>
        <v>30</v>
      </c>
      <c r="DP12" s="78">
        <f t="shared" si="180"/>
        <v>30</v>
      </c>
      <c r="DQ12" s="79">
        <f t="shared" si="181"/>
        <v>30</v>
      </c>
      <c r="DR12" s="79">
        <f t="shared" si="182"/>
        <v>30</v>
      </c>
      <c r="DS12" s="80">
        <f t="shared" si="183"/>
        <v>30</v>
      </c>
      <c r="DT12" s="78">
        <f t="shared" si="184"/>
        <v>30</v>
      </c>
      <c r="DU12" s="79">
        <f t="shared" si="185"/>
        <v>30</v>
      </c>
      <c r="DV12" s="79">
        <f t="shared" si="186"/>
        <v>30</v>
      </c>
      <c r="DW12" s="80">
        <f t="shared" si="187"/>
        <v>30</v>
      </c>
      <c r="DX12" s="78">
        <f t="shared" si="188"/>
        <v>30</v>
      </c>
      <c r="DY12" s="79">
        <f t="shared" si="189"/>
        <v>30</v>
      </c>
      <c r="DZ12" s="79">
        <f t="shared" si="190"/>
        <v>30</v>
      </c>
      <c r="EA12" s="80">
        <f t="shared" si="191"/>
        <v>30</v>
      </c>
      <c r="EB12" s="78">
        <f t="shared" si="192"/>
        <v>30</v>
      </c>
      <c r="EC12" s="79">
        <f t="shared" si="193"/>
        <v>30</v>
      </c>
      <c r="ED12" s="79">
        <f t="shared" si="194"/>
        <v>30</v>
      </c>
      <c r="EE12" s="80">
        <f t="shared" si="195"/>
        <v>30</v>
      </c>
      <c r="EF12" s="78">
        <f t="shared" si="196"/>
        <v>30</v>
      </c>
      <c r="EG12" s="79">
        <f t="shared" si="197"/>
        <v>30</v>
      </c>
      <c r="EH12" s="79">
        <f t="shared" si="198"/>
        <v>30</v>
      </c>
      <c r="EI12" s="80">
        <f t="shared" si="199"/>
        <v>30</v>
      </c>
      <c r="EJ12" s="78">
        <f t="shared" si="200"/>
        <v>30</v>
      </c>
      <c r="EK12" s="79">
        <f t="shared" si="201"/>
        <v>30</v>
      </c>
      <c r="EL12" s="79">
        <f t="shared" si="202"/>
        <v>30</v>
      </c>
      <c r="EM12" s="80">
        <f t="shared" si="203"/>
        <v>30</v>
      </c>
      <c r="EN12" s="78">
        <f t="shared" si="204"/>
        <v>30</v>
      </c>
      <c r="EO12" s="79">
        <f t="shared" si="205"/>
        <v>30</v>
      </c>
      <c r="EP12" s="79">
        <f t="shared" si="206"/>
        <v>30</v>
      </c>
      <c r="EQ12" s="80">
        <f t="shared" si="207"/>
        <v>30</v>
      </c>
      <c r="ER12" s="78">
        <f t="shared" si="208"/>
        <v>30</v>
      </c>
      <c r="ES12" s="79">
        <f t="shared" si="209"/>
        <v>30</v>
      </c>
      <c r="ET12" s="79">
        <f t="shared" si="210"/>
        <v>30</v>
      </c>
      <c r="EU12" s="80">
        <f t="shared" si="211"/>
        <v>30</v>
      </c>
      <c r="EV12" s="81">
        <f t="shared" si="212"/>
        <v>570</v>
      </c>
    </row>
    <row r="13" spans="2:153" s="30" customFormat="1" ht="29.25" customHeight="1">
      <c r="B13" s="22"/>
      <c r="C13" s="77" t="str">
        <f>+schedule_ARAS!C49</f>
        <v>İşçi</v>
      </c>
      <c r="D13" s="31" t="s">
        <v>153</v>
      </c>
      <c r="E13" s="24">
        <f>+schedule_ARAS!E49</f>
        <v>40</v>
      </c>
      <c r="F13" s="25"/>
      <c r="G13" s="26"/>
      <c r="H13" s="78"/>
      <c r="I13" s="79"/>
      <c r="J13" s="79"/>
      <c r="K13" s="80"/>
      <c r="L13" s="78"/>
      <c r="M13" s="79"/>
      <c r="N13" s="79"/>
      <c r="O13" s="80"/>
      <c r="P13" s="78"/>
      <c r="Q13" s="79"/>
      <c r="R13" s="79"/>
      <c r="S13" s="80"/>
      <c r="T13" s="78"/>
      <c r="U13" s="79"/>
      <c r="V13" s="79"/>
      <c r="W13" s="80"/>
      <c r="X13" s="78"/>
      <c r="Y13" s="79"/>
      <c r="Z13" s="79"/>
      <c r="AA13" s="80"/>
      <c r="AB13" s="78"/>
      <c r="AC13" s="79"/>
      <c r="AD13" s="79"/>
      <c r="AE13" s="80"/>
      <c r="AF13" s="78">
        <f t="shared" si="92"/>
        <v>40</v>
      </c>
      <c r="AG13" s="79">
        <f t="shared" si="93"/>
        <v>40</v>
      </c>
      <c r="AH13" s="79">
        <f t="shared" si="94"/>
        <v>40</v>
      </c>
      <c r="AI13" s="80">
        <f t="shared" si="95"/>
        <v>40</v>
      </c>
      <c r="AJ13" s="78">
        <f t="shared" si="96"/>
        <v>40</v>
      </c>
      <c r="AK13" s="79">
        <f t="shared" si="97"/>
        <v>40</v>
      </c>
      <c r="AL13" s="79">
        <f t="shared" si="98"/>
        <v>40</v>
      </c>
      <c r="AM13" s="80">
        <f t="shared" si="99"/>
        <v>40</v>
      </c>
      <c r="AN13" s="78">
        <f t="shared" si="100"/>
        <v>40</v>
      </c>
      <c r="AO13" s="79">
        <f t="shared" si="101"/>
        <v>40</v>
      </c>
      <c r="AP13" s="79">
        <f t="shared" si="102"/>
        <v>40</v>
      </c>
      <c r="AQ13" s="80">
        <f t="shared" si="103"/>
        <v>40</v>
      </c>
      <c r="AR13" s="78">
        <f t="shared" si="104"/>
        <v>40</v>
      </c>
      <c r="AS13" s="79">
        <f t="shared" si="105"/>
        <v>40</v>
      </c>
      <c r="AT13" s="79">
        <f t="shared" si="106"/>
        <v>40</v>
      </c>
      <c r="AU13" s="80">
        <f t="shared" si="107"/>
        <v>40</v>
      </c>
      <c r="AV13" s="78">
        <f t="shared" si="108"/>
        <v>40</v>
      </c>
      <c r="AW13" s="79">
        <f t="shared" si="109"/>
        <v>40</v>
      </c>
      <c r="AX13" s="79">
        <f t="shared" si="110"/>
        <v>40</v>
      </c>
      <c r="AY13" s="80">
        <f t="shared" si="111"/>
        <v>40</v>
      </c>
      <c r="AZ13" s="78">
        <f t="shared" si="112"/>
        <v>40</v>
      </c>
      <c r="BA13" s="79">
        <f t="shared" si="113"/>
        <v>40</v>
      </c>
      <c r="BB13" s="79">
        <f t="shared" si="114"/>
        <v>40</v>
      </c>
      <c r="BC13" s="80">
        <f t="shared" si="115"/>
        <v>40</v>
      </c>
      <c r="BD13" s="78">
        <f t="shared" si="116"/>
        <v>40</v>
      </c>
      <c r="BE13" s="79">
        <f t="shared" si="117"/>
        <v>40</v>
      </c>
      <c r="BF13" s="79">
        <f t="shared" si="118"/>
        <v>40</v>
      </c>
      <c r="BG13" s="80">
        <f t="shared" si="119"/>
        <v>40</v>
      </c>
      <c r="BH13" s="78">
        <f t="shared" si="120"/>
        <v>40</v>
      </c>
      <c r="BI13" s="79">
        <f t="shared" si="121"/>
        <v>40</v>
      </c>
      <c r="BJ13" s="79">
        <f t="shared" si="122"/>
        <v>40</v>
      </c>
      <c r="BK13" s="80">
        <f t="shared" si="123"/>
        <v>40</v>
      </c>
      <c r="BL13" s="78">
        <f t="shared" si="124"/>
        <v>40</v>
      </c>
      <c r="BM13" s="79">
        <f t="shared" si="125"/>
        <v>40</v>
      </c>
      <c r="BN13" s="79">
        <f t="shared" si="126"/>
        <v>40</v>
      </c>
      <c r="BO13" s="80">
        <f t="shared" si="127"/>
        <v>40</v>
      </c>
      <c r="BP13" s="78">
        <f t="shared" si="128"/>
        <v>40</v>
      </c>
      <c r="BQ13" s="79">
        <f t="shared" si="129"/>
        <v>40</v>
      </c>
      <c r="BR13" s="79">
        <f t="shared" si="130"/>
        <v>40</v>
      </c>
      <c r="BS13" s="80">
        <f t="shared" si="131"/>
        <v>40</v>
      </c>
      <c r="BT13" s="78">
        <f t="shared" si="132"/>
        <v>40</v>
      </c>
      <c r="BU13" s="79">
        <f t="shared" si="133"/>
        <v>40</v>
      </c>
      <c r="BV13" s="79">
        <f t="shared" si="134"/>
        <v>40</v>
      </c>
      <c r="BW13" s="80">
        <f t="shared" si="135"/>
        <v>40</v>
      </c>
      <c r="BX13" s="78">
        <f t="shared" si="136"/>
        <v>40</v>
      </c>
      <c r="BY13" s="79">
        <f t="shared" si="137"/>
        <v>40</v>
      </c>
      <c r="BZ13" s="79">
        <f t="shared" si="138"/>
        <v>40</v>
      </c>
      <c r="CA13" s="80">
        <f t="shared" si="139"/>
        <v>40</v>
      </c>
      <c r="CB13" s="78">
        <f t="shared" si="140"/>
        <v>40</v>
      </c>
      <c r="CC13" s="79">
        <f t="shared" si="141"/>
        <v>40</v>
      </c>
      <c r="CD13" s="79">
        <f t="shared" si="142"/>
        <v>40</v>
      </c>
      <c r="CE13" s="80">
        <f t="shared" si="143"/>
        <v>40</v>
      </c>
      <c r="CF13" s="78">
        <f t="shared" si="144"/>
        <v>40</v>
      </c>
      <c r="CG13" s="79">
        <f t="shared" si="145"/>
        <v>40</v>
      </c>
      <c r="CH13" s="79">
        <f t="shared" si="146"/>
        <v>40</v>
      </c>
      <c r="CI13" s="80">
        <f t="shared" si="147"/>
        <v>40</v>
      </c>
      <c r="CJ13" s="78">
        <f t="shared" si="148"/>
        <v>40</v>
      </c>
      <c r="CK13" s="79">
        <f t="shared" si="149"/>
        <v>40</v>
      </c>
      <c r="CL13" s="79">
        <f t="shared" si="150"/>
        <v>40</v>
      </c>
      <c r="CM13" s="80">
        <f t="shared" si="151"/>
        <v>40</v>
      </c>
      <c r="CN13" s="78">
        <f t="shared" si="152"/>
        <v>40</v>
      </c>
      <c r="CO13" s="79">
        <f t="shared" si="153"/>
        <v>40</v>
      </c>
      <c r="CP13" s="79">
        <f t="shared" si="154"/>
        <v>40</v>
      </c>
      <c r="CQ13" s="80">
        <f t="shared" si="155"/>
        <v>40</v>
      </c>
      <c r="CR13" s="78">
        <f t="shared" si="156"/>
        <v>40</v>
      </c>
      <c r="CS13" s="79">
        <f t="shared" si="157"/>
        <v>40</v>
      </c>
      <c r="CT13" s="79">
        <f t="shared" si="158"/>
        <v>40</v>
      </c>
      <c r="CU13" s="80">
        <f t="shared" si="159"/>
        <v>40</v>
      </c>
      <c r="CV13" s="78">
        <f t="shared" si="160"/>
        <v>40</v>
      </c>
      <c r="CW13" s="79">
        <f t="shared" si="161"/>
        <v>40</v>
      </c>
      <c r="CX13" s="79">
        <f t="shared" si="162"/>
        <v>40</v>
      </c>
      <c r="CY13" s="80">
        <f t="shared" si="163"/>
        <v>40</v>
      </c>
      <c r="CZ13" s="78">
        <f t="shared" si="164"/>
        <v>40</v>
      </c>
      <c r="DA13" s="79">
        <f t="shared" si="165"/>
        <v>40</v>
      </c>
      <c r="DB13" s="79">
        <f t="shared" si="166"/>
        <v>40</v>
      </c>
      <c r="DC13" s="80">
        <f t="shared" si="167"/>
        <v>40</v>
      </c>
      <c r="DD13" s="78">
        <f t="shared" si="168"/>
        <v>40</v>
      </c>
      <c r="DE13" s="79">
        <f t="shared" si="169"/>
        <v>40</v>
      </c>
      <c r="DF13" s="79">
        <f t="shared" si="170"/>
        <v>40</v>
      </c>
      <c r="DG13" s="80">
        <f t="shared" si="171"/>
        <v>40</v>
      </c>
      <c r="DH13" s="78">
        <f t="shared" si="172"/>
        <v>40</v>
      </c>
      <c r="DI13" s="79">
        <f t="shared" si="173"/>
        <v>40</v>
      </c>
      <c r="DJ13" s="79">
        <f t="shared" si="174"/>
        <v>40</v>
      </c>
      <c r="DK13" s="80">
        <f t="shared" si="175"/>
        <v>40</v>
      </c>
      <c r="DL13" s="78">
        <f t="shared" si="176"/>
        <v>40</v>
      </c>
      <c r="DM13" s="79">
        <f t="shared" si="177"/>
        <v>40</v>
      </c>
      <c r="DN13" s="79">
        <f t="shared" si="178"/>
        <v>40</v>
      </c>
      <c r="DO13" s="80">
        <f t="shared" si="179"/>
        <v>40</v>
      </c>
      <c r="DP13" s="78">
        <f t="shared" si="180"/>
        <v>40</v>
      </c>
      <c r="DQ13" s="79">
        <f t="shared" si="181"/>
        <v>40</v>
      </c>
      <c r="DR13" s="79">
        <f t="shared" si="182"/>
        <v>40</v>
      </c>
      <c r="DS13" s="80">
        <f t="shared" si="183"/>
        <v>40</v>
      </c>
      <c r="DT13" s="78">
        <f t="shared" si="184"/>
        <v>40</v>
      </c>
      <c r="DU13" s="79">
        <f t="shared" si="185"/>
        <v>40</v>
      </c>
      <c r="DV13" s="79">
        <f t="shared" si="186"/>
        <v>40</v>
      </c>
      <c r="DW13" s="80">
        <f t="shared" si="187"/>
        <v>40</v>
      </c>
      <c r="DX13" s="78">
        <f t="shared" si="188"/>
        <v>40</v>
      </c>
      <c r="DY13" s="79">
        <f t="shared" si="189"/>
        <v>40</v>
      </c>
      <c r="DZ13" s="79">
        <f t="shared" si="190"/>
        <v>40</v>
      </c>
      <c r="EA13" s="80">
        <f t="shared" si="191"/>
        <v>40</v>
      </c>
      <c r="EB13" s="78">
        <f t="shared" si="192"/>
        <v>40</v>
      </c>
      <c r="EC13" s="79">
        <f t="shared" si="193"/>
        <v>40</v>
      </c>
      <c r="ED13" s="79">
        <f t="shared" si="194"/>
        <v>40</v>
      </c>
      <c r="EE13" s="80">
        <f t="shared" si="195"/>
        <v>40</v>
      </c>
      <c r="EF13" s="78">
        <f t="shared" si="196"/>
        <v>40</v>
      </c>
      <c r="EG13" s="79">
        <f t="shared" si="197"/>
        <v>40</v>
      </c>
      <c r="EH13" s="79">
        <f t="shared" si="198"/>
        <v>40</v>
      </c>
      <c r="EI13" s="80">
        <f t="shared" si="199"/>
        <v>40</v>
      </c>
      <c r="EJ13" s="78">
        <f t="shared" si="200"/>
        <v>40</v>
      </c>
      <c r="EK13" s="79">
        <f t="shared" si="201"/>
        <v>40</v>
      </c>
      <c r="EL13" s="79">
        <f t="shared" si="202"/>
        <v>40</v>
      </c>
      <c r="EM13" s="80">
        <f t="shared" si="203"/>
        <v>40</v>
      </c>
      <c r="EN13" s="78">
        <f t="shared" si="204"/>
        <v>40</v>
      </c>
      <c r="EO13" s="79">
        <f t="shared" si="205"/>
        <v>40</v>
      </c>
      <c r="EP13" s="79">
        <f t="shared" si="206"/>
        <v>40</v>
      </c>
      <c r="EQ13" s="80">
        <f t="shared" si="207"/>
        <v>40</v>
      </c>
      <c r="ER13" s="78">
        <f t="shared" si="208"/>
        <v>40</v>
      </c>
      <c r="ES13" s="79">
        <f t="shared" si="209"/>
        <v>40</v>
      </c>
      <c r="ET13" s="79">
        <f t="shared" si="210"/>
        <v>40</v>
      </c>
      <c r="EU13" s="80">
        <f t="shared" si="211"/>
        <v>40</v>
      </c>
      <c r="EV13" s="81">
        <f>SUM(H13:DC13)/4</f>
        <v>760</v>
      </c>
    </row>
    <row r="14" spans="2:153" s="30" customFormat="1" ht="29.25" customHeight="1">
      <c r="B14" s="22"/>
      <c r="C14" s="77"/>
      <c r="D14" s="31"/>
      <c r="E14" s="24"/>
      <c r="F14" s="25"/>
      <c r="G14" s="26"/>
      <c r="H14" s="78"/>
      <c r="I14" s="79"/>
      <c r="J14" s="79"/>
      <c r="K14" s="80"/>
      <c r="L14" s="78"/>
      <c r="M14" s="79"/>
      <c r="N14" s="79"/>
      <c r="O14" s="80"/>
      <c r="P14" s="78"/>
      <c r="Q14" s="79"/>
      <c r="R14" s="79"/>
      <c r="S14" s="80"/>
      <c r="T14" s="78"/>
      <c r="U14" s="79"/>
      <c r="V14" s="79"/>
      <c r="W14" s="80"/>
      <c r="X14" s="78"/>
      <c r="Y14" s="79"/>
      <c r="Z14" s="79"/>
      <c r="AA14" s="80"/>
      <c r="AB14" s="78"/>
      <c r="AC14" s="79"/>
      <c r="AD14" s="79"/>
      <c r="AE14" s="80"/>
      <c r="AF14" s="78">
        <f t="shared" si="92"/>
        <v>0</v>
      </c>
      <c r="AG14" s="79">
        <f t="shared" si="93"/>
        <v>0</v>
      </c>
      <c r="AH14" s="79">
        <f t="shared" si="94"/>
        <v>0</v>
      </c>
      <c r="AI14" s="80">
        <f t="shared" si="95"/>
        <v>0</v>
      </c>
      <c r="AJ14" s="78">
        <f t="shared" si="96"/>
        <v>0</v>
      </c>
      <c r="AK14" s="79">
        <f t="shared" si="97"/>
        <v>0</v>
      </c>
      <c r="AL14" s="79">
        <f t="shared" si="98"/>
        <v>0</v>
      </c>
      <c r="AM14" s="80">
        <f t="shared" si="99"/>
        <v>0</v>
      </c>
      <c r="AN14" s="78">
        <f t="shared" si="100"/>
        <v>0</v>
      </c>
      <c r="AO14" s="79">
        <f t="shared" si="101"/>
        <v>0</v>
      </c>
      <c r="AP14" s="79">
        <f t="shared" si="102"/>
        <v>0</v>
      </c>
      <c r="AQ14" s="80">
        <f t="shared" si="103"/>
        <v>0</v>
      </c>
      <c r="AR14" s="78">
        <f t="shared" si="104"/>
        <v>0</v>
      </c>
      <c r="AS14" s="79">
        <f t="shared" si="105"/>
        <v>0</v>
      </c>
      <c r="AT14" s="79">
        <f t="shared" si="106"/>
        <v>0</v>
      </c>
      <c r="AU14" s="80">
        <f t="shared" si="107"/>
        <v>0</v>
      </c>
      <c r="AV14" s="78">
        <f t="shared" si="108"/>
        <v>0</v>
      </c>
      <c r="AW14" s="79">
        <f t="shared" si="109"/>
        <v>0</v>
      </c>
      <c r="AX14" s="79">
        <f t="shared" si="110"/>
        <v>0</v>
      </c>
      <c r="AY14" s="80">
        <f t="shared" si="111"/>
        <v>0</v>
      </c>
      <c r="AZ14" s="78">
        <f t="shared" si="112"/>
        <v>0</v>
      </c>
      <c r="BA14" s="79">
        <f t="shared" si="113"/>
        <v>0</v>
      </c>
      <c r="BB14" s="79">
        <f t="shared" si="114"/>
        <v>0</v>
      </c>
      <c r="BC14" s="80">
        <f t="shared" si="115"/>
        <v>0</v>
      </c>
      <c r="BD14" s="78">
        <f t="shared" si="116"/>
        <v>0</v>
      </c>
      <c r="BE14" s="79">
        <f t="shared" si="117"/>
        <v>0</v>
      </c>
      <c r="BF14" s="79">
        <f t="shared" si="118"/>
        <v>0</v>
      </c>
      <c r="BG14" s="80">
        <f t="shared" si="119"/>
        <v>0</v>
      </c>
      <c r="BH14" s="78">
        <f t="shared" si="120"/>
        <v>0</v>
      </c>
      <c r="BI14" s="79">
        <f t="shared" si="121"/>
        <v>0</v>
      </c>
      <c r="BJ14" s="79">
        <f t="shared" si="122"/>
        <v>0</v>
      </c>
      <c r="BK14" s="80">
        <f t="shared" si="123"/>
        <v>0</v>
      </c>
      <c r="BL14" s="78">
        <f t="shared" si="124"/>
        <v>0</v>
      </c>
      <c r="BM14" s="79">
        <f t="shared" si="125"/>
        <v>0</v>
      </c>
      <c r="BN14" s="79">
        <f t="shared" si="126"/>
        <v>0</v>
      </c>
      <c r="BO14" s="80">
        <f t="shared" si="127"/>
        <v>0</v>
      </c>
      <c r="BP14" s="78">
        <f t="shared" si="128"/>
        <v>0</v>
      </c>
      <c r="BQ14" s="79">
        <f t="shared" si="129"/>
        <v>0</v>
      </c>
      <c r="BR14" s="79">
        <f t="shared" si="130"/>
        <v>0</v>
      </c>
      <c r="BS14" s="80">
        <f t="shared" si="131"/>
        <v>0</v>
      </c>
      <c r="BT14" s="78">
        <f t="shared" si="132"/>
        <v>0</v>
      </c>
      <c r="BU14" s="79">
        <f t="shared" si="133"/>
        <v>0</v>
      </c>
      <c r="BV14" s="79">
        <f t="shared" si="134"/>
        <v>0</v>
      </c>
      <c r="BW14" s="80">
        <f t="shared" si="135"/>
        <v>0</v>
      </c>
      <c r="BX14" s="78">
        <f t="shared" si="136"/>
        <v>0</v>
      </c>
      <c r="BY14" s="79">
        <f t="shared" si="137"/>
        <v>0</v>
      </c>
      <c r="BZ14" s="79">
        <f t="shared" si="138"/>
        <v>0</v>
      </c>
      <c r="CA14" s="80">
        <f t="shared" si="139"/>
        <v>0</v>
      </c>
      <c r="CB14" s="78">
        <f t="shared" si="140"/>
        <v>0</v>
      </c>
      <c r="CC14" s="79">
        <f t="shared" si="141"/>
        <v>0</v>
      </c>
      <c r="CD14" s="79">
        <f t="shared" si="142"/>
        <v>0</v>
      </c>
      <c r="CE14" s="80">
        <f t="shared" si="143"/>
        <v>0</v>
      </c>
      <c r="CF14" s="78">
        <f t="shared" si="144"/>
        <v>0</v>
      </c>
      <c r="CG14" s="79">
        <f t="shared" si="145"/>
        <v>0</v>
      </c>
      <c r="CH14" s="79">
        <f t="shared" si="146"/>
        <v>0</v>
      </c>
      <c r="CI14" s="80">
        <f t="shared" si="147"/>
        <v>0</v>
      </c>
      <c r="CJ14" s="78">
        <f t="shared" si="148"/>
        <v>0</v>
      </c>
      <c r="CK14" s="79">
        <f t="shared" si="149"/>
        <v>0</v>
      </c>
      <c r="CL14" s="79">
        <f t="shared" si="150"/>
        <v>0</v>
      </c>
      <c r="CM14" s="80">
        <f t="shared" si="151"/>
        <v>0</v>
      </c>
      <c r="CN14" s="78">
        <f t="shared" si="152"/>
        <v>0</v>
      </c>
      <c r="CO14" s="79">
        <f t="shared" si="153"/>
        <v>0</v>
      </c>
      <c r="CP14" s="79">
        <f t="shared" si="154"/>
        <v>0</v>
      </c>
      <c r="CQ14" s="80">
        <f t="shared" si="155"/>
        <v>0</v>
      </c>
      <c r="CR14" s="78">
        <f t="shared" si="156"/>
        <v>0</v>
      </c>
      <c r="CS14" s="79">
        <f t="shared" si="157"/>
        <v>0</v>
      </c>
      <c r="CT14" s="79">
        <f t="shared" si="158"/>
        <v>0</v>
      </c>
      <c r="CU14" s="80">
        <f t="shared" si="159"/>
        <v>0</v>
      </c>
      <c r="CV14" s="78">
        <f t="shared" si="160"/>
        <v>0</v>
      </c>
      <c r="CW14" s="79">
        <f t="shared" si="161"/>
        <v>0</v>
      </c>
      <c r="CX14" s="79">
        <f t="shared" si="162"/>
        <v>0</v>
      </c>
      <c r="CY14" s="80">
        <f t="shared" si="163"/>
        <v>0</v>
      </c>
      <c r="CZ14" s="78">
        <f t="shared" si="164"/>
        <v>0</v>
      </c>
      <c r="DA14" s="79">
        <f t="shared" si="165"/>
        <v>0</v>
      </c>
      <c r="DB14" s="79">
        <f t="shared" si="166"/>
        <v>0</v>
      </c>
      <c r="DC14" s="80">
        <f t="shared" si="167"/>
        <v>0</v>
      </c>
      <c r="DD14" s="78">
        <f t="shared" si="168"/>
        <v>0</v>
      </c>
      <c r="DE14" s="79">
        <f t="shared" si="169"/>
        <v>0</v>
      </c>
      <c r="DF14" s="79">
        <f t="shared" si="170"/>
        <v>0</v>
      </c>
      <c r="DG14" s="80">
        <f t="shared" si="171"/>
        <v>0</v>
      </c>
      <c r="DH14" s="78">
        <f t="shared" si="172"/>
        <v>0</v>
      </c>
      <c r="DI14" s="79">
        <f t="shared" si="173"/>
        <v>0</v>
      </c>
      <c r="DJ14" s="79">
        <f t="shared" si="174"/>
        <v>0</v>
      </c>
      <c r="DK14" s="80">
        <f t="shared" si="175"/>
        <v>0</v>
      </c>
      <c r="DL14" s="78">
        <f t="shared" si="176"/>
        <v>0</v>
      </c>
      <c r="DM14" s="79">
        <f t="shared" si="177"/>
        <v>0</v>
      </c>
      <c r="DN14" s="79">
        <f t="shared" si="178"/>
        <v>0</v>
      </c>
      <c r="DO14" s="80">
        <f t="shared" si="179"/>
        <v>0</v>
      </c>
      <c r="DP14" s="78">
        <f t="shared" si="180"/>
        <v>0</v>
      </c>
      <c r="DQ14" s="79">
        <f t="shared" si="181"/>
        <v>0</v>
      </c>
      <c r="DR14" s="79">
        <f t="shared" si="182"/>
        <v>0</v>
      </c>
      <c r="DS14" s="80">
        <f t="shared" si="183"/>
        <v>0</v>
      </c>
      <c r="DT14" s="78">
        <f t="shared" si="184"/>
        <v>0</v>
      </c>
      <c r="DU14" s="79">
        <f t="shared" si="185"/>
        <v>0</v>
      </c>
      <c r="DV14" s="79">
        <f t="shared" si="186"/>
        <v>0</v>
      </c>
      <c r="DW14" s="80">
        <f t="shared" si="187"/>
        <v>0</v>
      </c>
      <c r="DX14" s="78">
        <f t="shared" si="188"/>
        <v>0</v>
      </c>
      <c r="DY14" s="79">
        <f t="shared" si="189"/>
        <v>0</v>
      </c>
      <c r="DZ14" s="79">
        <f t="shared" si="190"/>
        <v>0</v>
      </c>
      <c r="EA14" s="80">
        <f t="shared" si="191"/>
        <v>0</v>
      </c>
      <c r="EB14" s="78">
        <f t="shared" si="192"/>
        <v>0</v>
      </c>
      <c r="EC14" s="79">
        <f t="shared" si="193"/>
        <v>0</v>
      </c>
      <c r="ED14" s="79">
        <f t="shared" si="194"/>
        <v>0</v>
      </c>
      <c r="EE14" s="80">
        <f t="shared" si="195"/>
        <v>0</v>
      </c>
      <c r="EF14" s="78">
        <f t="shared" si="196"/>
        <v>0</v>
      </c>
      <c r="EG14" s="79">
        <f t="shared" si="197"/>
        <v>0</v>
      </c>
      <c r="EH14" s="79">
        <f t="shared" si="198"/>
        <v>0</v>
      </c>
      <c r="EI14" s="80">
        <f t="shared" si="199"/>
        <v>0</v>
      </c>
      <c r="EJ14" s="78">
        <f t="shared" si="200"/>
        <v>0</v>
      </c>
      <c r="EK14" s="79">
        <f t="shared" si="201"/>
        <v>0</v>
      </c>
      <c r="EL14" s="79">
        <f t="shared" si="202"/>
        <v>0</v>
      </c>
      <c r="EM14" s="80">
        <f t="shared" si="203"/>
        <v>0</v>
      </c>
      <c r="EN14" s="78">
        <f t="shared" si="204"/>
        <v>0</v>
      </c>
      <c r="EO14" s="79">
        <f t="shared" si="205"/>
        <v>0</v>
      </c>
      <c r="EP14" s="79">
        <f t="shared" si="206"/>
        <v>0</v>
      </c>
      <c r="EQ14" s="80">
        <f t="shared" si="207"/>
        <v>0</v>
      </c>
      <c r="ER14" s="78">
        <f t="shared" si="208"/>
        <v>0</v>
      </c>
      <c r="ES14" s="79">
        <f t="shared" si="209"/>
        <v>0</v>
      </c>
      <c r="ET14" s="79">
        <f t="shared" si="210"/>
        <v>0</v>
      </c>
      <c r="EU14" s="80">
        <f t="shared" si="211"/>
        <v>0</v>
      </c>
      <c r="EV14" s="81">
        <f t="shared" ref="EV14" si="213">SUM(H14:DC14)/4</f>
        <v>0</v>
      </c>
    </row>
    <row r="15" spans="2:153" s="30" customFormat="1" ht="29.25" customHeight="1" thickBot="1">
      <c r="B15" s="22"/>
      <c r="C15" s="77"/>
      <c r="D15" s="31"/>
      <c r="E15" s="24"/>
      <c r="F15" s="25"/>
      <c r="G15" s="26"/>
      <c r="H15" s="78"/>
      <c r="I15" s="79"/>
      <c r="J15" s="79"/>
      <c r="K15" s="80"/>
      <c r="L15" s="78"/>
      <c r="M15" s="79"/>
      <c r="N15" s="79"/>
      <c r="O15" s="80"/>
      <c r="P15" s="78"/>
      <c r="Q15" s="79"/>
      <c r="R15" s="79"/>
      <c r="S15" s="80"/>
      <c r="T15" s="78"/>
      <c r="U15" s="79"/>
      <c r="V15" s="79"/>
      <c r="W15" s="80"/>
      <c r="X15" s="78"/>
      <c r="Y15" s="79"/>
      <c r="Z15" s="79"/>
      <c r="AA15" s="80"/>
      <c r="AB15" s="78"/>
      <c r="AC15" s="79"/>
      <c r="AD15" s="79"/>
      <c r="AE15" s="80"/>
      <c r="AF15" s="78">
        <f t="shared" si="92"/>
        <v>0</v>
      </c>
      <c r="AG15" s="79">
        <f t="shared" si="93"/>
        <v>0</v>
      </c>
      <c r="AH15" s="79">
        <f t="shared" si="94"/>
        <v>0</v>
      </c>
      <c r="AI15" s="80">
        <f t="shared" si="95"/>
        <v>0</v>
      </c>
      <c r="AJ15" s="78">
        <f t="shared" si="96"/>
        <v>0</v>
      </c>
      <c r="AK15" s="79">
        <f t="shared" si="97"/>
        <v>0</v>
      </c>
      <c r="AL15" s="79">
        <f t="shared" si="98"/>
        <v>0</v>
      </c>
      <c r="AM15" s="80">
        <f t="shared" si="99"/>
        <v>0</v>
      </c>
      <c r="AN15" s="78">
        <f t="shared" si="100"/>
        <v>0</v>
      </c>
      <c r="AO15" s="79">
        <f t="shared" si="101"/>
        <v>0</v>
      </c>
      <c r="AP15" s="79">
        <f t="shared" si="102"/>
        <v>0</v>
      </c>
      <c r="AQ15" s="80">
        <f t="shared" si="103"/>
        <v>0</v>
      </c>
      <c r="AR15" s="78">
        <f t="shared" si="104"/>
        <v>0</v>
      </c>
      <c r="AS15" s="79">
        <f t="shared" si="105"/>
        <v>0</v>
      </c>
      <c r="AT15" s="79">
        <f t="shared" si="106"/>
        <v>0</v>
      </c>
      <c r="AU15" s="80">
        <f t="shared" si="107"/>
        <v>0</v>
      </c>
      <c r="AV15" s="78">
        <f t="shared" si="108"/>
        <v>0</v>
      </c>
      <c r="AW15" s="79">
        <f t="shared" si="109"/>
        <v>0</v>
      </c>
      <c r="AX15" s="79">
        <f t="shared" si="110"/>
        <v>0</v>
      </c>
      <c r="AY15" s="80">
        <f t="shared" si="111"/>
        <v>0</v>
      </c>
      <c r="AZ15" s="78">
        <f t="shared" si="112"/>
        <v>0</v>
      </c>
      <c r="BA15" s="79">
        <f t="shared" si="113"/>
        <v>0</v>
      </c>
      <c r="BB15" s="79">
        <f t="shared" si="114"/>
        <v>0</v>
      </c>
      <c r="BC15" s="80">
        <f t="shared" si="115"/>
        <v>0</v>
      </c>
      <c r="BD15" s="78">
        <f t="shared" si="116"/>
        <v>0</v>
      </c>
      <c r="BE15" s="79">
        <f t="shared" si="117"/>
        <v>0</v>
      </c>
      <c r="BF15" s="79">
        <f t="shared" si="118"/>
        <v>0</v>
      </c>
      <c r="BG15" s="80">
        <f t="shared" si="119"/>
        <v>0</v>
      </c>
      <c r="BH15" s="78">
        <f t="shared" si="120"/>
        <v>0</v>
      </c>
      <c r="BI15" s="79">
        <f t="shared" si="121"/>
        <v>0</v>
      </c>
      <c r="BJ15" s="79">
        <f t="shared" si="122"/>
        <v>0</v>
      </c>
      <c r="BK15" s="80">
        <f t="shared" si="123"/>
        <v>0</v>
      </c>
      <c r="BL15" s="78">
        <f t="shared" si="124"/>
        <v>0</v>
      </c>
      <c r="BM15" s="79">
        <f t="shared" si="125"/>
        <v>0</v>
      </c>
      <c r="BN15" s="79">
        <f t="shared" si="126"/>
        <v>0</v>
      </c>
      <c r="BO15" s="80">
        <f t="shared" si="127"/>
        <v>0</v>
      </c>
      <c r="BP15" s="78">
        <f t="shared" si="128"/>
        <v>0</v>
      </c>
      <c r="BQ15" s="79">
        <f t="shared" si="129"/>
        <v>0</v>
      </c>
      <c r="BR15" s="79">
        <f t="shared" si="130"/>
        <v>0</v>
      </c>
      <c r="BS15" s="80">
        <f t="shared" si="131"/>
        <v>0</v>
      </c>
      <c r="BT15" s="78">
        <f t="shared" si="132"/>
        <v>0</v>
      </c>
      <c r="BU15" s="79">
        <f t="shared" si="133"/>
        <v>0</v>
      </c>
      <c r="BV15" s="79">
        <f t="shared" si="134"/>
        <v>0</v>
      </c>
      <c r="BW15" s="80">
        <f t="shared" si="135"/>
        <v>0</v>
      </c>
      <c r="BX15" s="78">
        <f t="shared" si="136"/>
        <v>0</v>
      </c>
      <c r="BY15" s="79">
        <f t="shared" si="137"/>
        <v>0</v>
      </c>
      <c r="BZ15" s="79">
        <f t="shared" si="138"/>
        <v>0</v>
      </c>
      <c r="CA15" s="80">
        <f t="shared" si="139"/>
        <v>0</v>
      </c>
      <c r="CB15" s="78">
        <f t="shared" si="140"/>
        <v>0</v>
      </c>
      <c r="CC15" s="79">
        <f t="shared" si="141"/>
        <v>0</v>
      </c>
      <c r="CD15" s="79">
        <f t="shared" si="142"/>
        <v>0</v>
      </c>
      <c r="CE15" s="80">
        <f t="shared" si="143"/>
        <v>0</v>
      </c>
      <c r="CF15" s="78">
        <f t="shared" si="144"/>
        <v>0</v>
      </c>
      <c r="CG15" s="79">
        <f t="shared" si="145"/>
        <v>0</v>
      </c>
      <c r="CH15" s="79">
        <f t="shared" si="146"/>
        <v>0</v>
      </c>
      <c r="CI15" s="80">
        <f t="shared" si="147"/>
        <v>0</v>
      </c>
      <c r="CJ15" s="78">
        <f t="shared" si="148"/>
        <v>0</v>
      </c>
      <c r="CK15" s="79">
        <f t="shared" si="149"/>
        <v>0</v>
      </c>
      <c r="CL15" s="79">
        <f t="shared" si="150"/>
        <v>0</v>
      </c>
      <c r="CM15" s="80">
        <f t="shared" si="151"/>
        <v>0</v>
      </c>
      <c r="CN15" s="78">
        <f t="shared" si="152"/>
        <v>0</v>
      </c>
      <c r="CO15" s="79">
        <f t="shared" si="153"/>
        <v>0</v>
      </c>
      <c r="CP15" s="79">
        <f t="shared" si="154"/>
        <v>0</v>
      </c>
      <c r="CQ15" s="80">
        <f t="shared" si="155"/>
        <v>0</v>
      </c>
      <c r="CR15" s="78">
        <f t="shared" si="156"/>
        <v>0</v>
      </c>
      <c r="CS15" s="79">
        <f t="shared" si="157"/>
        <v>0</v>
      </c>
      <c r="CT15" s="79">
        <f t="shared" si="158"/>
        <v>0</v>
      </c>
      <c r="CU15" s="80">
        <f t="shared" si="159"/>
        <v>0</v>
      </c>
      <c r="CV15" s="78">
        <f t="shared" si="160"/>
        <v>0</v>
      </c>
      <c r="CW15" s="79">
        <f t="shared" si="161"/>
        <v>0</v>
      </c>
      <c r="CX15" s="79">
        <f t="shared" si="162"/>
        <v>0</v>
      </c>
      <c r="CY15" s="80">
        <f t="shared" si="163"/>
        <v>0</v>
      </c>
      <c r="CZ15" s="78">
        <f t="shared" si="164"/>
        <v>0</v>
      </c>
      <c r="DA15" s="79">
        <f t="shared" si="165"/>
        <v>0</v>
      </c>
      <c r="DB15" s="79">
        <f t="shared" si="166"/>
        <v>0</v>
      </c>
      <c r="DC15" s="80">
        <f t="shared" si="167"/>
        <v>0</v>
      </c>
      <c r="DD15" s="78">
        <f t="shared" si="168"/>
        <v>0</v>
      </c>
      <c r="DE15" s="79">
        <f t="shared" si="169"/>
        <v>0</v>
      </c>
      <c r="DF15" s="79">
        <f t="shared" si="170"/>
        <v>0</v>
      </c>
      <c r="DG15" s="80">
        <f t="shared" si="171"/>
        <v>0</v>
      </c>
      <c r="DH15" s="78">
        <f t="shared" si="172"/>
        <v>0</v>
      </c>
      <c r="DI15" s="79">
        <f t="shared" si="173"/>
        <v>0</v>
      </c>
      <c r="DJ15" s="79">
        <f t="shared" si="174"/>
        <v>0</v>
      </c>
      <c r="DK15" s="80">
        <f t="shared" si="175"/>
        <v>0</v>
      </c>
      <c r="DL15" s="78">
        <f t="shared" si="176"/>
        <v>0</v>
      </c>
      <c r="DM15" s="79">
        <f t="shared" si="177"/>
        <v>0</v>
      </c>
      <c r="DN15" s="79">
        <f t="shared" si="178"/>
        <v>0</v>
      </c>
      <c r="DO15" s="80">
        <f t="shared" si="179"/>
        <v>0</v>
      </c>
      <c r="DP15" s="78">
        <f t="shared" si="180"/>
        <v>0</v>
      </c>
      <c r="DQ15" s="79">
        <f t="shared" si="181"/>
        <v>0</v>
      </c>
      <c r="DR15" s="79">
        <f t="shared" si="182"/>
        <v>0</v>
      </c>
      <c r="DS15" s="80">
        <f t="shared" si="183"/>
        <v>0</v>
      </c>
      <c r="DT15" s="78">
        <f t="shared" si="184"/>
        <v>0</v>
      </c>
      <c r="DU15" s="79">
        <f t="shared" si="185"/>
        <v>0</v>
      </c>
      <c r="DV15" s="79">
        <f t="shared" si="186"/>
        <v>0</v>
      </c>
      <c r="DW15" s="80">
        <f t="shared" si="187"/>
        <v>0</v>
      </c>
      <c r="DX15" s="78">
        <f t="shared" si="188"/>
        <v>0</v>
      </c>
      <c r="DY15" s="79">
        <f t="shared" si="189"/>
        <v>0</v>
      </c>
      <c r="DZ15" s="79">
        <f t="shared" si="190"/>
        <v>0</v>
      </c>
      <c r="EA15" s="80">
        <f t="shared" si="191"/>
        <v>0</v>
      </c>
      <c r="EB15" s="78">
        <f t="shared" si="192"/>
        <v>0</v>
      </c>
      <c r="EC15" s="79">
        <f t="shared" si="193"/>
        <v>0</v>
      </c>
      <c r="ED15" s="79">
        <f t="shared" si="194"/>
        <v>0</v>
      </c>
      <c r="EE15" s="80">
        <f t="shared" si="195"/>
        <v>0</v>
      </c>
      <c r="EF15" s="78">
        <f t="shared" si="196"/>
        <v>0</v>
      </c>
      <c r="EG15" s="79">
        <f t="shared" si="197"/>
        <v>0</v>
      </c>
      <c r="EH15" s="79">
        <f t="shared" si="198"/>
        <v>0</v>
      </c>
      <c r="EI15" s="80">
        <f t="shared" si="199"/>
        <v>0</v>
      </c>
      <c r="EJ15" s="78">
        <f t="shared" si="200"/>
        <v>0</v>
      </c>
      <c r="EK15" s="79">
        <f t="shared" si="201"/>
        <v>0</v>
      </c>
      <c r="EL15" s="79">
        <f t="shared" si="202"/>
        <v>0</v>
      </c>
      <c r="EM15" s="80">
        <f t="shared" si="203"/>
        <v>0</v>
      </c>
      <c r="EN15" s="78">
        <f t="shared" si="204"/>
        <v>0</v>
      </c>
      <c r="EO15" s="79">
        <f t="shared" si="205"/>
        <v>0</v>
      </c>
      <c r="EP15" s="79">
        <f t="shared" si="206"/>
        <v>0</v>
      </c>
      <c r="EQ15" s="80">
        <f t="shared" si="207"/>
        <v>0</v>
      </c>
      <c r="ER15" s="78">
        <f t="shared" si="208"/>
        <v>0</v>
      </c>
      <c r="ES15" s="79">
        <f t="shared" si="209"/>
        <v>0</v>
      </c>
      <c r="ET15" s="79">
        <f t="shared" si="210"/>
        <v>0</v>
      </c>
      <c r="EU15" s="80">
        <f t="shared" si="211"/>
        <v>0</v>
      </c>
      <c r="EV15" s="81"/>
    </row>
    <row r="16" spans="2:153" s="86" customFormat="1" ht="29.25" customHeight="1" thickBot="1">
      <c r="B16" s="82"/>
      <c r="C16" s="83"/>
      <c r="D16" s="473" t="s">
        <v>47</v>
      </c>
      <c r="E16" s="473"/>
      <c r="F16" s="473"/>
      <c r="G16" s="474"/>
      <c r="H16" s="334">
        <f t="shared" ref="H16:AM16" si="214">SUM(H7:H13)</f>
        <v>0</v>
      </c>
      <c r="I16" s="334">
        <f t="shared" si="214"/>
        <v>0</v>
      </c>
      <c r="J16" s="334">
        <f t="shared" si="214"/>
        <v>0</v>
      </c>
      <c r="K16" s="334">
        <f t="shared" si="214"/>
        <v>0</v>
      </c>
      <c r="L16" s="334">
        <f t="shared" si="214"/>
        <v>0</v>
      </c>
      <c r="M16" s="334">
        <f t="shared" si="214"/>
        <v>0</v>
      </c>
      <c r="N16" s="334">
        <f t="shared" si="214"/>
        <v>0</v>
      </c>
      <c r="O16" s="334">
        <f t="shared" si="214"/>
        <v>0</v>
      </c>
      <c r="P16" s="334">
        <f t="shared" si="214"/>
        <v>0</v>
      </c>
      <c r="Q16" s="334">
        <f t="shared" si="214"/>
        <v>0</v>
      </c>
      <c r="R16" s="334">
        <f t="shared" si="214"/>
        <v>0</v>
      </c>
      <c r="S16" s="334">
        <f t="shared" si="214"/>
        <v>0</v>
      </c>
      <c r="T16" s="334">
        <f t="shared" si="214"/>
        <v>0</v>
      </c>
      <c r="U16" s="334">
        <f t="shared" si="214"/>
        <v>0</v>
      </c>
      <c r="V16" s="334">
        <f t="shared" si="214"/>
        <v>0</v>
      </c>
      <c r="W16" s="334">
        <f t="shared" si="214"/>
        <v>0</v>
      </c>
      <c r="X16" s="334">
        <f t="shared" si="214"/>
        <v>0</v>
      </c>
      <c r="Y16" s="334">
        <f t="shared" si="214"/>
        <v>0</v>
      </c>
      <c r="Z16" s="334">
        <f t="shared" si="214"/>
        <v>0</v>
      </c>
      <c r="AA16" s="334">
        <f t="shared" si="214"/>
        <v>0</v>
      </c>
      <c r="AB16" s="334">
        <f t="shared" si="214"/>
        <v>0</v>
      </c>
      <c r="AC16" s="334">
        <f t="shared" si="214"/>
        <v>0</v>
      </c>
      <c r="AD16" s="334">
        <f t="shared" si="214"/>
        <v>0</v>
      </c>
      <c r="AE16" s="334">
        <f t="shared" si="214"/>
        <v>0</v>
      </c>
      <c r="AF16" s="334">
        <f t="shared" si="214"/>
        <v>137</v>
      </c>
      <c r="AG16" s="334">
        <f t="shared" si="214"/>
        <v>137</v>
      </c>
      <c r="AH16" s="334">
        <f t="shared" si="214"/>
        <v>137</v>
      </c>
      <c r="AI16" s="334">
        <f t="shared" si="214"/>
        <v>137</v>
      </c>
      <c r="AJ16" s="334">
        <f t="shared" si="214"/>
        <v>137</v>
      </c>
      <c r="AK16" s="334">
        <f t="shared" si="214"/>
        <v>137</v>
      </c>
      <c r="AL16" s="334">
        <f t="shared" si="214"/>
        <v>137</v>
      </c>
      <c r="AM16" s="334">
        <f t="shared" si="214"/>
        <v>137</v>
      </c>
      <c r="AN16" s="334">
        <f t="shared" ref="AN16:BC16" si="215">SUM(AN7:AN13)</f>
        <v>137</v>
      </c>
      <c r="AO16" s="334">
        <f t="shared" si="215"/>
        <v>137</v>
      </c>
      <c r="AP16" s="334">
        <f t="shared" si="215"/>
        <v>137</v>
      </c>
      <c r="AQ16" s="334">
        <f t="shared" si="215"/>
        <v>137</v>
      </c>
      <c r="AR16" s="334">
        <f t="shared" si="215"/>
        <v>137</v>
      </c>
      <c r="AS16" s="334">
        <f t="shared" si="215"/>
        <v>137</v>
      </c>
      <c r="AT16" s="334">
        <f t="shared" si="215"/>
        <v>137</v>
      </c>
      <c r="AU16" s="334">
        <f t="shared" si="215"/>
        <v>137</v>
      </c>
      <c r="AV16" s="334">
        <f t="shared" si="215"/>
        <v>137</v>
      </c>
      <c r="AW16" s="334">
        <f t="shared" si="215"/>
        <v>137</v>
      </c>
      <c r="AX16" s="334">
        <f t="shared" si="215"/>
        <v>137</v>
      </c>
      <c r="AY16" s="334">
        <f t="shared" si="215"/>
        <v>137</v>
      </c>
      <c r="AZ16" s="334">
        <f t="shared" si="215"/>
        <v>137</v>
      </c>
      <c r="BA16" s="334">
        <f t="shared" si="215"/>
        <v>137</v>
      </c>
      <c r="BB16" s="334">
        <f t="shared" si="215"/>
        <v>137</v>
      </c>
      <c r="BC16" s="334">
        <f t="shared" si="215"/>
        <v>137</v>
      </c>
      <c r="BD16" s="334">
        <f t="shared" ref="BD16:BW16" si="216">SUM(BD7:BD13)</f>
        <v>137</v>
      </c>
      <c r="BE16" s="334">
        <f t="shared" si="216"/>
        <v>137</v>
      </c>
      <c r="BF16" s="334">
        <f t="shared" si="216"/>
        <v>137</v>
      </c>
      <c r="BG16" s="334">
        <f t="shared" si="216"/>
        <v>137</v>
      </c>
      <c r="BH16" s="334">
        <f t="shared" si="216"/>
        <v>137</v>
      </c>
      <c r="BI16" s="334">
        <f t="shared" si="216"/>
        <v>137</v>
      </c>
      <c r="BJ16" s="334">
        <f t="shared" si="216"/>
        <v>137</v>
      </c>
      <c r="BK16" s="334">
        <f t="shared" si="216"/>
        <v>137</v>
      </c>
      <c r="BL16" s="334">
        <f t="shared" si="216"/>
        <v>137</v>
      </c>
      <c r="BM16" s="334">
        <f t="shared" si="216"/>
        <v>137</v>
      </c>
      <c r="BN16" s="334">
        <f t="shared" si="216"/>
        <v>137</v>
      </c>
      <c r="BO16" s="334">
        <f t="shared" si="216"/>
        <v>137</v>
      </c>
      <c r="BP16" s="334">
        <f t="shared" si="216"/>
        <v>137</v>
      </c>
      <c r="BQ16" s="334">
        <f t="shared" si="216"/>
        <v>137</v>
      </c>
      <c r="BR16" s="334">
        <f t="shared" si="216"/>
        <v>137</v>
      </c>
      <c r="BS16" s="334">
        <f t="shared" si="216"/>
        <v>137</v>
      </c>
      <c r="BT16" s="334">
        <f t="shared" si="216"/>
        <v>137</v>
      </c>
      <c r="BU16" s="334">
        <f t="shared" si="216"/>
        <v>137</v>
      </c>
      <c r="BV16" s="334">
        <f t="shared" si="216"/>
        <v>137</v>
      </c>
      <c r="BW16" s="334">
        <f t="shared" si="216"/>
        <v>137</v>
      </c>
      <c r="BX16" s="334">
        <f t="shared" ref="BX16:CE16" si="217">SUM(BX7:BX13)</f>
        <v>137</v>
      </c>
      <c r="BY16" s="334">
        <f t="shared" si="217"/>
        <v>137</v>
      </c>
      <c r="BZ16" s="334">
        <f t="shared" si="217"/>
        <v>137</v>
      </c>
      <c r="CA16" s="334">
        <f t="shared" si="217"/>
        <v>137</v>
      </c>
      <c r="CB16" s="334">
        <f t="shared" si="217"/>
        <v>137</v>
      </c>
      <c r="CC16" s="334">
        <f t="shared" si="217"/>
        <v>137</v>
      </c>
      <c r="CD16" s="334">
        <f t="shared" si="217"/>
        <v>137</v>
      </c>
      <c r="CE16" s="334">
        <f t="shared" si="217"/>
        <v>137</v>
      </c>
      <c r="CF16" s="334">
        <f t="shared" ref="CF16:CM16" si="218">SUM(CF7:CF13)</f>
        <v>137</v>
      </c>
      <c r="CG16" s="334">
        <f t="shared" si="218"/>
        <v>137</v>
      </c>
      <c r="CH16" s="334">
        <f t="shared" si="218"/>
        <v>137</v>
      </c>
      <c r="CI16" s="334">
        <f t="shared" si="218"/>
        <v>137</v>
      </c>
      <c r="CJ16" s="334">
        <f t="shared" si="218"/>
        <v>137</v>
      </c>
      <c r="CK16" s="334">
        <f t="shared" si="218"/>
        <v>137</v>
      </c>
      <c r="CL16" s="334">
        <f t="shared" si="218"/>
        <v>137</v>
      </c>
      <c r="CM16" s="334">
        <f t="shared" si="218"/>
        <v>137</v>
      </c>
      <c r="CN16" s="334">
        <f>SUM(CN7:CN13)</f>
        <v>137</v>
      </c>
      <c r="CO16" s="334">
        <f>SUM(CO7:CO13)</f>
        <v>137</v>
      </c>
      <c r="CP16" s="334">
        <f>SUM(CP7:CP13)</f>
        <v>137</v>
      </c>
      <c r="CQ16" s="334">
        <f>SUM(CQ7:CQ13)</f>
        <v>137</v>
      </c>
      <c r="CR16" s="334">
        <f t="shared" ref="CR16:CY16" si="219">SUM(CR7:CR13)</f>
        <v>137</v>
      </c>
      <c r="CS16" s="334">
        <f t="shared" si="219"/>
        <v>137</v>
      </c>
      <c r="CT16" s="334">
        <f t="shared" si="219"/>
        <v>137</v>
      </c>
      <c r="CU16" s="334">
        <f t="shared" si="219"/>
        <v>137</v>
      </c>
      <c r="CV16" s="334">
        <f t="shared" si="219"/>
        <v>137</v>
      </c>
      <c r="CW16" s="334">
        <f t="shared" si="219"/>
        <v>137</v>
      </c>
      <c r="CX16" s="334">
        <f t="shared" si="219"/>
        <v>137</v>
      </c>
      <c r="CY16" s="334">
        <f t="shared" si="219"/>
        <v>137</v>
      </c>
      <c r="CZ16" s="334">
        <f t="shared" ref="CZ16:DG16" si="220">SUM(CZ7:CZ13)</f>
        <v>137</v>
      </c>
      <c r="DA16" s="334">
        <f t="shared" si="220"/>
        <v>137</v>
      </c>
      <c r="DB16" s="334">
        <f t="shared" si="220"/>
        <v>137</v>
      </c>
      <c r="DC16" s="334">
        <f t="shared" si="220"/>
        <v>137</v>
      </c>
      <c r="DD16" s="334">
        <f t="shared" si="220"/>
        <v>137</v>
      </c>
      <c r="DE16" s="334">
        <f t="shared" si="220"/>
        <v>137</v>
      </c>
      <c r="DF16" s="334">
        <f t="shared" si="220"/>
        <v>137</v>
      </c>
      <c r="DG16" s="334">
        <f t="shared" si="220"/>
        <v>137</v>
      </c>
      <c r="DH16" s="334">
        <f t="shared" ref="DH16:EU16" si="221">SUM(DH7:DH13)</f>
        <v>137</v>
      </c>
      <c r="DI16" s="334">
        <f t="shared" si="221"/>
        <v>137</v>
      </c>
      <c r="DJ16" s="334">
        <f t="shared" si="221"/>
        <v>137</v>
      </c>
      <c r="DK16" s="334">
        <f t="shared" si="221"/>
        <v>137</v>
      </c>
      <c r="DL16" s="334">
        <f t="shared" si="221"/>
        <v>137</v>
      </c>
      <c r="DM16" s="334">
        <f t="shared" si="221"/>
        <v>137</v>
      </c>
      <c r="DN16" s="334">
        <f t="shared" si="221"/>
        <v>137</v>
      </c>
      <c r="DO16" s="334">
        <f t="shared" si="221"/>
        <v>137</v>
      </c>
      <c r="DP16" s="334">
        <f t="shared" si="221"/>
        <v>137</v>
      </c>
      <c r="DQ16" s="334">
        <f t="shared" si="221"/>
        <v>137</v>
      </c>
      <c r="DR16" s="334">
        <f t="shared" si="221"/>
        <v>137</v>
      </c>
      <c r="DS16" s="334">
        <f t="shared" si="221"/>
        <v>137</v>
      </c>
      <c r="DT16" s="334">
        <f t="shared" si="221"/>
        <v>137</v>
      </c>
      <c r="DU16" s="334">
        <f t="shared" si="221"/>
        <v>137</v>
      </c>
      <c r="DV16" s="334">
        <f t="shared" si="221"/>
        <v>137</v>
      </c>
      <c r="DW16" s="334">
        <f t="shared" si="221"/>
        <v>137</v>
      </c>
      <c r="DX16" s="334">
        <f t="shared" si="221"/>
        <v>137</v>
      </c>
      <c r="DY16" s="334">
        <f t="shared" si="221"/>
        <v>137</v>
      </c>
      <c r="DZ16" s="334">
        <f t="shared" si="221"/>
        <v>137</v>
      </c>
      <c r="EA16" s="334">
        <f t="shared" si="221"/>
        <v>137</v>
      </c>
      <c r="EB16" s="334">
        <f t="shared" si="221"/>
        <v>137</v>
      </c>
      <c r="EC16" s="334">
        <f t="shared" si="221"/>
        <v>137</v>
      </c>
      <c r="ED16" s="334">
        <f t="shared" si="221"/>
        <v>137</v>
      </c>
      <c r="EE16" s="334">
        <f t="shared" si="221"/>
        <v>137</v>
      </c>
      <c r="EF16" s="334">
        <f t="shared" si="221"/>
        <v>137</v>
      </c>
      <c r="EG16" s="334">
        <f t="shared" si="221"/>
        <v>137</v>
      </c>
      <c r="EH16" s="334">
        <f t="shared" si="221"/>
        <v>137</v>
      </c>
      <c r="EI16" s="334">
        <f t="shared" si="221"/>
        <v>137</v>
      </c>
      <c r="EJ16" s="334">
        <f t="shared" si="221"/>
        <v>137</v>
      </c>
      <c r="EK16" s="334">
        <f t="shared" si="221"/>
        <v>137</v>
      </c>
      <c r="EL16" s="334">
        <f t="shared" si="221"/>
        <v>137</v>
      </c>
      <c r="EM16" s="334">
        <f t="shared" si="221"/>
        <v>137</v>
      </c>
      <c r="EN16" s="334">
        <f t="shared" si="221"/>
        <v>137</v>
      </c>
      <c r="EO16" s="334">
        <f t="shared" si="221"/>
        <v>137</v>
      </c>
      <c r="EP16" s="334">
        <f t="shared" si="221"/>
        <v>137</v>
      </c>
      <c r="EQ16" s="334">
        <f t="shared" si="221"/>
        <v>137</v>
      </c>
      <c r="ER16" s="334">
        <f t="shared" si="221"/>
        <v>137</v>
      </c>
      <c r="ES16" s="334">
        <f t="shared" si="221"/>
        <v>137</v>
      </c>
      <c r="ET16" s="334">
        <f t="shared" si="221"/>
        <v>137</v>
      </c>
      <c r="EU16" s="334">
        <f t="shared" si="221"/>
        <v>137</v>
      </c>
      <c r="EV16" s="85">
        <f>SUM(EV7:EV13)</f>
        <v>2603</v>
      </c>
      <c r="EW16" s="335"/>
    </row>
    <row r="17" spans="2:152" s="43" customFormat="1" ht="29.25" customHeight="1">
      <c r="B17" s="71"/>
      <c r="C17" s="87" t="s">
        <v>48</v>
      </c>
      <c r="D17" s="88"/>
      <c r="E17" s="36"/>
      <c r="F17" s="37"/>
      <c r="G17" s="38"/>
      <c r="H17" s="89"/>
      <c r="I17" s="52"/>
      <c r="J17" s="52"/>
      <c r="K17" s="53"/>
      <c r="L17" s="48"/>
      <c r="M17" s="49"/>
      <c r="N17" s="49"/>
      <c r="O17" s="50"/>
      <c r="P17" s="48"/>
      <c r="Q17" s="49"/>
      <c r="R17" s="49"/>
      <c r="S17" s="50"/>
      <c r="T17" s="48"/>
      <c r="U17" s="49"/>
      <c r="V17" s="49"/>
      <c r="W17" s="50"/>
      <c r="X17" s="48"/>
      <c r="Y17" s="49"/>
      <c r="Z17" s="49"/>
      <c r="AA17" s="50"/>
      <c r="AB17" s="48"/>
      <c r="AC17" s="49"/>
      <c r="AD17" s="49"/>
      <c r="AE17" s="50"/>
      <c r="AF17" s="48"/>
      <c r="AG17" s="49"/>
      <c r="AH17" s="49"/>
      <c r="AI17" s="50"/>
      <c r="AJ17" s="48"/>
      <c r="AK17" s="49"/>
      <c r="AL17" s="49"/>
      <c r="AM17" s="50"/>
      <c r="AN17" s="48"/>
      <c r="AO17" s="49"/>
      <c r="AP17" s="49"/>
      <c r="AQ17" s="50"/>
      <c r="AR17" s="90"/>
      <c r="AS17" s="91"/>
      <c r="AT17" s="91"/>
      <c r="AU17" s="92"/>
      <c r="AV17" s="90"/>
      <c r="AW17" s="91"/>
      <c r="AX17" s="91"/>
      <c r="AY17" s="92"/>
      <c r="AZ17" s="90"/>
      <c r="BA17" s="91"/>
      <c r="BB17" s="91"/>
      <c r="BC17" s="92"/>
      <c r="BD17" s="90"/>
      <c r="BE17" s="91"/>
      <c r="BF17" s="91"/>
      <c r="BG17" s="92"/>
      <c r="BH17" s="90"/>
      <c r="BI17" s="91"/>
      <c r="BJ17" s="91"/>
      <c r="BK17" s="92"/>
      <c r="BL17" s="90"/>
      <c r="BM17" s="91"/>
      <c r="BN17" s="91"/>
      <c r="BO17" s="92"/>
      <c r="BP17" s="90"/>
      <c r="BQ17" s="91"/>
      <c r="BR17" s="91"/>
      <c r="BS17" s="92"/>
      <c r="BT17" s="90"/>
      <c r="BU17" s="91"/>
      <c r="BV17" s="91"/>
      <c r="BW17" s="92"/>
      <c r="BX17" s="90"/>
      <c r="BY17" s="91"/>
      <c r="BZ17" s="91"/>
      <c r="CA17" s="92"/>
      <c r="CB17" s="90"/>
      <c r="CC17" s="91"/>
      <c r="CD17" s="91"/>
      <c r="CE17" s="92"/>
      <c r="CF17" s="90"/>
      <c r="CG17" s="91"/>
      <c r="CH17" s="91"/>
      <c r="CI17" s="92"/>
      <c r="CJ17" s="90"/>
      <c r="CK17" s="91"/>
      <c r="CL17" s="91"/>
      <c r="CM17" s="92"/>
      <c r="CN17" s="90"/>
      <c r="CO17" s="91"/>
      <c r="CP17" s="91"/>
      <c r="CQ17" s="92"/>
      <c r="CR17" s="90"/>
      <c r="CS17" s="91"/>
      <c r="CT17" s="91"/>
      <c r="CU17" s="92"/>
      <c r="CV17" s="90"/>
      <c r="CW17" s="91"/>
      <c r="CX17" s="91"/>
      <c r="CY17" s="92"/>
      <c r="CZ17" s="90"/>
      <c r="DA17" s="91"/>
      <c r="DB17" s="91"/>
      <c r="DC17" s="92"/>
      <c r="DD17" s="90"/>
      <c r="DE17" s="91"/>
      <c r="DF17" s="91"/>
      <c r="DG17" s="92"/>
      <c r="DH17" s="90"/>
      <c r="DI17" s="91"/>
      <c r="DJ17" s="91"/>
      <c r="DK17" s="92"/>
      <c r="DL17" s="90"/>
      <c r="DM17" s="91"/>
      <c r="DN17" s="91"/>
      <c r="DO17" s="92"/>
      <c r="DP17" s="90"/>
      <c r="DQ17" s="91"/>
      <c r="DR17" s="91"/>
      <c r="DS17" s="92"/>
      <c r="DT17" s="90"/>
      <c r="DU17" s="91"/>
      <c r="DV17" s="91"/>
      <c r="DW17" s="92"/>
      <c r="DX17" s="90"/>
      <c r="DY17" s="91"/>
      <c r="DZ17" s="91"/>
      <c r="EA17" s="92"/>
      <c r="EB17" s="90"/>
      <c r="EC17" s="91"/>
      <c r="ED17" s="91"/>
      <c r="EE17" s="92"/>
      <c r="EF17" s="90"/>
      <c r="EG17" s="91"/>
      <c r="EH17" s="91"/>
      <c r="EI17" s="92"/>
      <c r="EJ17" s="90"/>
      <c r="EK17" s="91"/>
      <c r="EL17" s="91"/>
      <c r="EM17" s="92"/>
      <c r="EN17" s="90"/>
      <c r="EO17" s="91"/>
      <c r="EP17" s="91"/>
      <c r="EQ17" s="92"/>
      <c r="ER17" s="90"/>
      <c r="ES17" s="91"/>
      <c r="ET17" s="91"/>
      <c r="EU17" s="92"/>
    </row>
    <row r="18" spans="2:152" s="30" customFormat="1" ht="29.25" customHeight="1">
      <c r="B18" s="22"/>
      <c r="C18" s="93" t="str">
        <f>+schedule_ARAS!C60</f>
        <v>Project Manager</v>
      </c>
      <c r="D18" s="94" t="str">
        <f>+schedule_ARAS!D60</f>
        <v>Adet</v>
      </c>
      <c r="E18" s="446">
        <f>+schedule_ARAS!E60</f>
        <v>1</v>
      </c>
      <c r="F18" s="25"/>
      <c r="G18" s="26"/>
      <c r="H18" s="78"/>
      <c r="I18" s="79"/>
      <c r="J18" s="79"/>
      <c r="K18" s="80"/>
      <c r="L18" s="78"/>
      <c r="M18" s="79"/>
      <c r="N18" s="79"/>
      <c r="O18" s="80"/>
      <c r="P18" s="78"/>
      <c r="Q18" s="79"/>
      <c r="R18" s="79"/>
      <c r="S18" s="80"/>
      <c r="T18" s="78"/>
      <c r="U18" s="79"/>
      <c r="V18" s="79"/>
      <c r="W18" s="80"/>
      <c r="X18" s="78"/>
      <c r="Y18" s="79"/>
      <c r="Z18" s="79"/>
      <c r="AA18" s="80"/>
      <c r="AB18" s="78"/>
      <c r="AC18" s="79"/>
      <c r="AD18" s="79"/>
      <c r="AE18" s="80"/>
      <c r="AF18" s="78">
        <f>+E18</f>
        <v>1</v>
      </c>
      <c r="AG18" s="79">
        <f>+E18</f>
        <v>1</v>
      </c>
      <c r="AH18" s="79">
        <f>+E18</f>
        <v>1</v>
      </c>
      <c r="AI18" s="80">
        <f>+E18</f>
        <v>1</v>
      </c>
      <c r="AJ18" s="78">
        <f>+E18</f>
        <v>1</v>
      </c>
      <c r="AK18" s="79">
        <f>+E18</f>
        <v>1</v>
      </c>
      <c r="AL18" s="79">
        <f>+E18</f>
        <v>1</v>
      </c>
      <c r="AM18" s="80">
        <f>+E18</f>
        <v>1</v>
      </c>
      <c r="AN18" s="78">
        <f>+E18</f>
        <v>1</v>
      </c>
      <c r="AO18" s="79">
        <f>+E18</f>
        <v>1</v>
      </c>
      <c r="AP18" s="79">
        <f>+E18</f>
        <v>1</v>
      </c>
      <c r="AQ18" s="80">
        <f>+E18</f>
        <v>1</v>
      </c>
      <c r="AR18" s="78">
        <f>+E18</f>
        <v>1</v>
      </c>
      <c r="AS18" s="79">
        <f>+E18</f>
        <v>1</v>
      </c>
      <c r="AT18" s="79">
        <f>+E18</f>
        <v>1</v>
      </c>
      <c r="AU18" s="80">
        <f>+E18</f>
        <v>1</v>
      </c>
      <c r="AV18" s="78">
        <f>+E18</f>
        <v>1</v>
      </c>
      <c r="AW18" s="79">
        <f>+E18</f>
        <v>1</v>
      </c>
      <c r="AX18" s="79">
        <f>+E18</f>
        <v>1</v>
      </c>
      <c r="AY18" s="80">
        <f>+E18</f>
        <v>1</v>
      </c>
      <c r="AZ18" s="78">
        <f t="shared" ref="AZ18" si="222">+AG18</f>
        <v>1</v>
      </c>
      <c r="BA18" s="79">
        <f t="shared" ref="BA18" si="223">+AG18</f>
        <v>1</v>
      </c>
      <c r="BB18" s="79">
        <f t="shared" ref="BB18" si="224">+AG18</f>
        <v>1</v>
      </c>
      <c r="BC18" s="80">
        <f t="shared" ref="BC18" si="225">+AG18</f>
        <v>1</v>
      </c>
      <c r="BD18" s="78">
        <f t="shared" ref="BD18" si="226">+AK18</f>
        <v>1</v>
      </c>
      <c r="BE18" s="79">
        <f t="shared" ref="BE18" si="227">+AK18</f>
        <v>1</v>
      </c>
      <c r="BF18" s="79">
        <f t="shared" ref="BF18" si="228">+AK18</f>
        <v>1</v>
      </c>
      <c r="BG18" s="80">
        <f t="shared" ref="BG18" si="229">+AK18</f>
        <v>1</v>
      </c>
      <c r="BH18" s="78">
        <f t="shared" ref="BH18" si="230">+AO18</f>
        <v>1</v>
      </c>
      <c r="BI18" s="79">
        <f t="shared" ref="BI18" si="231">+AO18</f>
        <v>1</v>
      </c>
      <c r="BJ18" s="79">
        <f t="shared" ref="BJ18" si="232">+AO18</f>
        <v>1</v>
      </c>
      <c r="BK18" s="80">
        <f t="shared" ref="BK18" si="233">+AO18</f>
        <v>1</v>
      </c>
      <c r="BL18" s="78">
        <f t="shared" ref="BL18" si="234">+AS18</f>
        <v>1</v>
      </c>
      <c r="BM18" s="79">
        <f t="shared" ref="BM18" si="235">+AS18</f>
        <v>1</v>
      </c>
      <c r="BN18" s="79">
        <f t="shared" ref="BN18" si="236">+AS18</f>
        <v>1</v>
      </c>
      <c r="BO18" s="80">
        <f t="shared" ref="BO18" si="237">+AS18</f>
        <v>1</v>
      </c>
      <c r="BP18" s="78">
        <f t="shared" ref="BP18" si="238">+AW18</f>
        <v>1</v>
      </c>
      <c r="BQ18" s="79">
        <f t="shared" ref="BQ18" si="239">+AW18</f>
        <v>1</v>
      </c>
      <c r="BR18" s="79">
        <f t="shared" ref="BR18" si="240">+AW18</f>
        <v>1</v>
      </c>
      <c r="BS18" s="80">
        <f t="shared" ref="BS18" si="241">+AW18</f>
        <v>1</v>
      </c>
      <c r="BT18" s="78">
        <f t="shared" ref="BT18" si="242">+BA18</f>
        <v>1</v>
      </c>
      <c r="BU18" s="79">
        <f t="shared" ref="BU18" si="243">+BA18</f>
        <v>1</v>
      </c>
      <c r="BV18" s="79">
        <f t="shared" ref="BV18" si="244">+BA18</f>
        <v>1</v>
      </c>
      <c r="BW18" s="80">
        <f t="shared" ref="BW18" si="245">+BA18</f>
        <v>1</v>
      </c>
      <c r="BX18" s="78">
        <f t="shared" ref="BX18" si="246">+BE18</f>
        <v>1</v>
      </c>
      <c r="BY18" s="79">
        <f t="shared" ref="BY18" si="247">+BE18</f>
        <v>1</v>
      </c>
      <c r="BZ18" s="79">
        <f t="shared" ref="BZ18" si="248">+BE18</f>
        <v>1</v>
      </c>
      <c r="CA18" s="80">
        <f t="shared" ref="CA18" si="249">+BE18</f>
        <v>1</v>
      </c>
      <c r="CB18" s="78">
        <f t="shared" ref="CB18" si="250">+BI18</f>
        <v>1</v>
      </c>
      <c r="CC18" s="79">
        <f t="shared" ref="CC18" si="251">+BI18</f>
        <v>1</v>
      </c>
      <c r="CD18" s="79">
        <f t="shared" ref="CD18" si="252">+BI18</f>
        <v>1</v>
      </c>
      <c r="CE18" s="80">
        <f t="shared" ref="CE18" si="253">+BI18</f>
        <v>1</v>
      </c>
      <c r="CF18" s="78">
        <f t="shared" ref="CF18" si="254">+BM18</f>
        <v>1</v>
      </c>
      <c r="CG18" s="79">
        <f t="shared" ref="CG18" si="255">+BM18</f>
        <v>1</v>
      </c>
      <c r="CH18" s="79">
        <f t="shared" ref="CH18" si="256">+BM18</f>
        <v>1</v>
      </c>
      <c r="CI18" s="80">
        <f t="shared" ref="CI18" si="257">+BM18</f>
        <v>1</v>
      </c>
      <c r="CJ18" s="78">
        <f t="shared" ref="CJ18" si="258">+BQ18</f>
        <v>1</v>
      </c>
      <c r="CK18" s="79">
        <f t="shared" ref="CK18" si="259">+BQ18</f>
        <v>1</v>
      </c>
      <c r="CL18" s="79">
        <f t="shared" ref="CL18" si="260">+BQ18</f>
        <v>1</v>
      </c>
      <c r="CM18" s="80">
        <f t="shared" ref="CM18" si="261">+BQ18</f>
        <v>1</v>
      </c>
      <c r="CN18" s="78">
        <f t="shared" ref="CN18" si="262">+BU18</f>
        <v>1</v>
      </c>
      <c r="CO18" s="79">
        <f t="shared" ref="CO18" si="263">+BU18</f>
        <v>1</v>
      </c>
      <c r="CP18" s="79">
        <f t="shared" ref="CP18" si="264">+BU18</f>
        <v>1</v>
      </c>
      <c r="CQ18" s="80">
        <f t="shared" ref="CQ18" si="265">+BU18</f>
        <v>1</v>
      </c>
      <c r="CR18" s="78">
        <f t="shared" ref="CR18" si="266">+BY18</f>
        <v>1</v>
      </c>
      <c r="CS18" s="79">
        <f t="shared" ref="CS18" si="267">+BY18</f>
        <v>1</v>
      </c>
      <c r="CT18" s="79">
        <f t="shared" ref="CT18" si="268">+BY18</f>
        <v>1</v>
      </c>
      <c r="CU18" s="80">
        <f t="shared" ref="CU18" si="269">+BY18</f>
        <v>1</v>
      </c>
      <c r="CV18" s="78">
        <f t="shared" ref="CV18" si="270">+CC18</f>
        <v>1</v>
      </c>
      <c r="CW18" s="79">
        <f t="shared" ref="CW18" si="271">+CC18</f>
        <v>1</v>
      </c>
      <c r="CX18" s="79">
        <f t="shared" ref="CX18" si="272">+CC18</f>
        <v>1</v>
      </c>
      <c r="CY18" s="80">
        <f t="shared" ref="CY18" si="273">+CC18</f>
        <v>1</v>
      </c>
      <c r="CZ18" s="78">
        <f>+BY18</f>
        <v>1</v>
      </c>
      <c r="DA18" s="79">
        <f>+BY18</f>
        <v>1</v>
      </c>
      <c r="DB18" s="79">
        <f>+BY18</f>
        <v>1</v>
      </c>
      <c r="DC18" s="80">
        <f>+BY18</f>
        <v>1</v>
      </c>
      <c r="DD18" s="78">
        <f>+BY18</f>
        <v>1</v>
      </c>
      <c r="DE18" s="79">
        <f>+BY18</f>
        <v>1</v>
      </c>
      <c r="DF18" s="79">
        <f>+BY18</f>
        <v>1</v>
      </c>
      <c r="DG18" s="80">
        <f>+BY18</f>
        <v>1</v>
      </c>
      <c r="DH18" s="78">
        <f>+BY18</f>
        <v>1</v>
      </c>
      <c r="DI18" s="79">
        <f>+BY18</f>
        <v>1</v>
      </c>
      <c r="DJ18" s="79">
        <f>+BY18</f>
        <v>1</v>
      </c>
      <c r="DK18" s="80">
        <f>+BY18</f>
        <v>1</v>
      </c>
      <c r="DL18" s="78">
        <f>+BY18</f>
        <v>1</v>
      </c>
      <c r="DM18" s="79">
        <f>+BY18</f>
        <v>1</v>
      </c>
      <c r="DN18" s="79">
        <f>+BY18</f>
        <v>1</v>
      </c>
      <c r="DO18" s="80">
        <f>+BY18</f>
        <v>1</v>
      </c>
      <c r="DP18" s="78">
        <f>+BY18</f>
        <v>1</v>
      </c>
      <c r="DQ18" s="79">
        <f>+BY18</f>
        <v>1</v>
      </c>
      <c r="DR18" s="79">
        <f>+BY18</f>
        <v>1</v>
      </c>
      <c r="DS18" s="80">
        <f>+BY18</f>
        <v>1</v>
      </c>
      <c r="DT18" s="78">
        <f t="shared" ref="DT18:DT31" si="274">+DA18</f>
        <v>1</v>
      </c>
      <c r="DU18" s="79">
        <f t="shared" ref="DU18:DU31" si="275">+DA18</f>
        <v>1</v>
      </c>
      <c r="DV18" s="79">
        <f t="shared" ref="DV18:DV31" si="276">+DA18</f>
        <v>1</v>
      </c>
      <c r="DW18" s="80">
        <f t="shared" ref="DW18:DW31" si="277">+DA18</f>
        <v>1</v>
      </c>
      <c r="DX18" s="78">
        <f t="shared" ref="DX18:DX31" si="278">+DE18</f>
        <v>1</v>
      </c>
      <c r="DY18" s="79">
        <f t="shared" ref="DY18:DY31" si="279">+DE18</f>
        <v>1</v>
      </c>
      <c r="DZ18" s="79">
        <f t="shared" ref="DZ18:DZ31" si="280">+DE18</f>
        <v>1</v>
      </c>
      <c r="EA18" s="80">
        <f t="shared" ref="EA18:EA31" si="281">+DE18</f>
        <v>1</v>
      </c>
      <c r="EB18" s="78">
        <f t="shared" ref="EB18:EB27" si="282">+DI18</f>
        <v>1</v>
      </c>
      <c r="EC18" s="79">
        <f t="shared" ref="EC18:EC27" si="283">+DI18</f>
        <v>1</v>
      </c>
      <c r="ED18" s="79">
        <f t="shared" ref="ED18:ED27" si="284">+DI18</f>
        <v>1</v>
      </c>
      <c r="EE18" s="80">
        <f t="shared" ref="EE18:EE27" si="285">+DI18</f>
        <v>1</v>
      </c>
      <c r="EF18" s="78">
        <f t="shared" ref="EF18:EF27" si="286">+DM18</f>
        <v>1</v>
      </c>
      <c r="EG18" s="79">
        <f t="shared" ref="EG18:EG27" si="287">+DM18</f>
        <v>1</v>
      </c>
      <c r="EH18" s="79">
        <f t="shared" ref="EH18:EH27" si="288">+DM18</f>
        <v>1</v>
      </c>
      <c r="EI18" s="80">
        <f t="shared" ref="EI18:EI27" si="289">+DM18</f>
        <v>1</v>
      </c>
      <c r="EJ18" s="78">
        <f t="shared" ref="EJ18:EJ27" si="290">+DQ18</f>
        <v>1</v>
      </c>
      <c r="EK18" s="79">
        <f t="shared" ref="EK18:EK27" si="291">+DQ18</f>
        <v>1</v>
      </c>
      <c r="EL18" s="79">
        <f t="shared" ref="EL18:EL27" si="292">+DQ18</f>
        <v>1</v>
      </c>
      <c r="EM18" s="80">
        <f t="shared" ref="EM18:EM27" si="293">+DQ18</f>
        <v>1</v>
      </c>
      <c r="EN18" s="78">
        <f t="shared" ref="EN18:EN31" si="294">+DU18</f>
        <v>1</v>
      </c>
      <c r="EO18" s="79">
        <f t="shared" ref="EO18:EO31" si="295">+DU18</f>
        <v>1</v>
      </c>
      <c r="EP18" s="79">
        <f t="shared" ref="EP18:EP31" si="296">+DU18</f>
        <v>1</v>
      </c>
      <c r="EQ18" s="80">
        <f t="shared" ref="EQ18:EQ31" si="297">+DU18</f>
        <v>1</v>
      </c>
      <c r="ER18" s="78">
        <f t="shared" ref="ER18:ER31" si="298">+DY18</f>
        <v>1</v>
      </c>
      <c r="ES18" s="79">
        <f t="shared" ref="ES18:ES31" si="299">+DY18</f>
        <v>1</v>
      </c>
      <c r="ET18" s="79">
        <f t="shared" ref="ET18:ET31" si="300">+DY18</f>
        <v>1</v>
      </c>
      <c r="EU18" s="80">
        <f t="shared" ref="EU18:EU31" si="301">+DY18</f>
        <v>1</v>
      </c>
      <c r="EV18" s="81">
        <f>SUM(H18:DC18)/4</f>
        <v>19</v>
      </c>
    </row>
    <row r="19" spans="2:152" s="30" customFormat="1" ht="29.25" customHeight="1">
      <c r="B19" s="22"/>
      <c r="C19" s="93" t="str">
        <f>+schedule_ARAS!C61</f>
        <v>Site Manager</v>
      </c>
      <c r="D19" s="94" t="str">
        <f>+schedule_ARAS!D61</f>
        <v>Adet</v>
      </c>
      <c r="E19" s="446">
        <f>+schedule_ARAS!E61</f>
        <v>1</v>
      </c>
      <c r="F19" s="25"/>
      <c r="G19" s="26"/>
      <c r="H19" s="78"/>
      <c r="I19" s="79"/>
      <c r="J19" s="79"/>
      <c r="K19" s="80"/>
      <c r="L19" s="260"/>
      <c r="M19" s="261"/>
      <c r="N19" s="261"/>
      <c r="O19" s="262"/>
      <c r="P19" s="260"/>
      <c r="Q19" s="79"/>
      <c r="R19" s="79"/>
      <c r="S19" s="80"/>
      <c r="T19" s="78"/>
      <c r="U19" s="79"/>
      <c r="V19" s="79"/>
      <c r="W19" s="80"/>
      <c r="X19" s="78"/>
      <c r="Y19" s="79"/>
      <c r="Z19" s="79"/>
      <c r="AA19" s="80"/>
      <c r="AB19" s="78"/>
      <c r="AC19" s="79"/>
      <c r="AD19" s="79"/>
      <c r="AE19" s="80"/>
      <c r="AF19" s="78">
        <f t="shared" ref="AF19:AF30" si="302">+E19</f>
        <v>1</v>
      </c>
      <c r="AG19" s="79">
        <f t="shared" ref="AG19:AG30" si="303">+E19</f>
        <v>1</v>
      </c>
      <c r="AH19" s="79">
        <f t="shared" ref="AH19:AH30" si="304">+E19</f>
        <v>1</v>
      </c>
      <c r="AI19" s="80">
        <f t="shared" ref="AI19:AI30" si="305">+E19</f>
        <v>1</v>
      </c>
      <c r="AJ19" s="78">
        <f t="shared" ref="AJ19:AJ30" si="306">+E19</f>
        <v>1</v>
      </c>
      <c r="AK19" s="79">
        <f t="shared" ref="AK19:AK30" si="307">+E19</f>
        <v>1</v>
      </c>
      <c r="AL19" s="79">
        <f t="shared" ref="AL19:AL30" si="308">+E19</f>
        <v>1</v>
      </c>
      <c r="AM19" s="80">
        <f t="shared" ref="AM19:AM30" si="309">+E19</f>
        <v>1</v>
      </c>
      <c r="AN19" s="78">
        <f t="shared" ref="AN19:AN30" si="310">+E19</f>
        <v>1</v>
      </c>
      <c r="AO19" s="79">
        <f t="shared" ref="AO19:AO30" si="311">+E19</f>
        <v>1</v>
      </c>
      <c r="AP19" s="79">
        <f t="shared" ref="AP19:AP30" si="312">+E19</f>
        <v>1</v>
      </c>
      <c r="AQ19" s="80">
        <f t="shared" ref="AQ19:AQ30" si="313">+E19</f>
        <v>1</v>
      </c>
      <c r="AR19" s="78">
        <f t="shared" ref="AR19:AR31" si="314">+E19</f>
        <v>1</v>
      </c>
      <c r="AS19" s="79">
        <f t="shared" ref="AS19:AS31" si="315">+E19</f>
        <v>1</v>
      </c>
      <c r="AT19" s="79">
        <f t="shared" ref="AT19:AT31" si="316">+E19</f>
        <v>1</v>
      </c>
      <c r="AU19" s="80">
        <f t="shared" ref="AU19:AU31" si="317">+E19</f>
        <v>1</v>
      </c>
      <c r="AV19" s="78">
        <f t="shared" ref="AV19:AV31" si="318">+E19</f>
        <v>1</v>
      </c>
      <c r="AW19" s="79">
        <f t="shared" ref="AW19:AW31" si="319">+E19</f>
        <v>1</v>
      </c>
      <c r="AX19" s="79">
        <f t="shared" ref="AX19:AX31" si="320">+E19</f>
        <v>1</v>
      </c>
      <c r="AY19" s="80">
        <f t="shared" ref="AY19:AY31" si="321">+E19</f>
        <v>1</v>
      </c>
      <c r="AZ19" s="78">
        <f t="shared" ref="AZ19:AZ31" si="322">+AG19</f>
        <v>1</v>
      </c>
      <c r="BA19" s="79">
        <f t="shared" ref="BA19:BA31" si="323">+AG19</f>
        <v>1</v>
      </c>
      <c r="BB19" s="79">
        <f t="shared" ref="BB19:BB31" si="324">+AG19</f>
        <v>1</v>
      </c>
      <c r="BC19" s="80">
        <f t="shared" ref="BC19:BC31" si="325">+AG19</f>
        <v>1</v>
      </c>
      <c r="BD19" s="78">
        <f t="shared" ref="BD19:BD31" si="326">+AK19</f>
        <v>1</v>
      </c>
      <c r="BE19" s="79">
        <f t="shared" ref="BE19:BE31" si="327">+AK19</f>
        <v>1</v>
      </c>
      <c r="BF19" s="79">
        <f t="shared" ref="BF19:BF31" si="328">+AK19</f>
        <v>1</v>
      </c>
      <c r="BG19" s="80">
        <f t="shared" ref="BG19:BG31" si="329">+AK19</f>
        <v>1</v>
      </c>
      <c r="BH19" s="78">
        <f t="shared" ref="BH19:BH31" si="330">+AO19</f>
        <v>1</v>
      </c>
      <c r="BI19" s="79">
        <f t="shared" ref="BI19:BI31" si="331">+AO19</f>
        <v>1</v>
      </c>
      <c r="BJ19" s="79">
        <f t="shared" ref="BJ19:BJ31" si="332">+AO19</f>
        <v>1</v>
      </c>
      <c r="BK19" s="80">
        <f t="shared" ref="BK19:BK31" si="333">+AO19</f>
        <v>1</v>
      </c>
      <c r="BL19" s="78">
        <f t="shared" ref="BL19:BL30" si="334">+AS19</f>
        <v>1</v>
      </c>
      <c r="BM19" s="79">
        <f t="shared" ref="BM19:BM30" si="335">+AS19</f>
        <v>1</v>
      </c>
      <c r="BN19" s="79">
        <f t="shared" ref="BN19:BN30" si="336">+AS19</f>
        <v>1</v>
      </c>
      <c r="BO19" s="80">
        <f t="shared" ref="BO19:BO30" si="337">+AS19</f>
        <v>1</v>
      </c>
      <c r="BP19" s="78">
        <f t="shared" ref="BP19:BP30" si="338">+AW19</f>
        <v>1</v>
      </c>
      <c r="BQ19" s="79">
        <f t="shared" ref="BQ19:BQ30" si="339">+AW19</f>
        <v>1</v>
      </c>
      <c r="BR19" s="79">
        <f t="shared" ref="BR19:BR30" si="340">+AW19</f>
        <v>1</v>
      </c>
      <c r="BS19" s="80">
        <f t="shared" ref="BS19:BS30" si="341">+AW19</f>
        <v>1</v>
      </c>
      <c r="BT19" s="78">
        <f t="shared" ref="BT19:BT31" si="342">+BA19</f>
        <v>1</v>
      </c>
      <c r="BU19" s="79">
        <f t="shared" ref="BU19:BU31" si="343">+BA19</f>
        <v>1</v>
      </c>
      <c r="BV19" s="79">
        <f t="shared" ref="BV19:BV31" si="344">+BA19</f>
        <v>1</v>
      </c>
      <c r="BW19" s="80">
        <f t="shared" ref="BW19:BW31" si="345">+BA19</f>
        <v>1</v>
      </c>
      <c r="BX19" s="78">
        <f t="shared" ref="BX19:BX31" si="346">+BE19</f>
        <v>1</v>
      </c>
      <c r="BY19" s="79">
        <f t="shared" ref="BY19:BY31" si="347">+BE19</f>
        <v>1</v>
      </c>
      <c r="BZ19" s="79">
        <f t="shared" ref="BZ19:BZ31" si="348">+BE19</f>
        <v>1</v>
      </c>
      <c r="CA19" s="80">
        <f t="shared" ref="CA19:CA31" si="349">+BE19</f>
        <v>1</v>
      </c>
      <c r="CB19" s="78">
        <f t="shared" ref="CB19:CB31" si="350">+BI19</f>
        <v>1</v>
      </c>
      <c r="CC19" s="79">
        <f t="shared" ref="CC19:CC31" si="351">+BI19</f>
        <v>1</v>
      </c>
      <c r="CD19" s="79">
        <f t="shared" ref="CD19:CD31" si="352">+BI19</f>
        <v>1</v>
      </c>
      <c r="CE19" s="80">
        <f t="shared" ref="CE19:CE31" si="353">+BI19</f>
        <v>1</v>
      </c>
      <c r="CF19" s="78">
        <f t="shared" ref="CF19:CF31" si="354">+BM19</f>
        <v>1</v>
      </c>
      <c r="CG19" s="79">
        <f t="shared" ref="CG19:CG31" si="355">+BM19</f>
        <v>1</v>
      </c>
      <c r="CH19" s="79">
        <f t="shared" ref="CH19:CH31" si="356">+BM19</f>
        <v>1</v>
      </c>
      <c r="CI19" s="80">
        <f t="shared" ref="CI19:CI31" si="357">+BM19</f>
        <v>1</v>
      </c>
      <c r="CJ19" s="78">
        <f t="shared" ref="CJ19:CJ31" si="358">+BQ19</f>
        <v>1</v>
      </c>
      <c r="CK19" s="79">
        <f t="shared" ref="CK19:CK31" si="359">+BQ19</f>
        <v>1</v>
      </c>
      <c r="CL19" s="79">
        <f t="shared" ref="CL19:CL31" si="360">+BQ19</f>
        <v>1</v>
      </c>
      <c r="CM19" s="80">
        <f t="shared" ref="CM19:CM31" si="361">+BQ19</f>
        <v>1</v>
      </c>
      <c r="CN19" s="78">
        <f t="shared" ref="CN19:CN31" si="362">+BU19</f>
        <v>1</v>
      </c>
      <c r="CO19" s="79">
        <f t="shared" ref="CO19:CO31" si="363">+BU19</f>
        <v>1</v>
      </c>
      <c r="CP19" s="79">
        <f t="shared" ref="CP19:CP31" si="364">+BU19</f>
        <v>1</v>
      </c>
      <c r="CQ19" s="80">
        <f t="shared" ref="CQ19:CQ31" si="365">+BU19</f>
        <v>1</v>
      </c>
      <c r="CR19" s="78">
        <f t="shared" ref="CR19:CR31" si="366">+BY19</f>
        <v>1</v>
      </c>
      <c r="CS19" s="79">
        <f t="shared" ref="CS19:CS31" si="367">+BY19</f>
        <v>1</v>
      </c>
      <c r="CT19" s="79">
        <f t="shared" ref="CT19:CT31" si="368">+BY19</f>
        <v>1</v>
      </c>
      <c r="CU19" s="80">
        <f t="shared" ref="CU19:CU31" si="369">+BY19</f>
        <v>1</v>
      </c>
      <c r="CV19" s="78">
        <f t="shared" ref="CV19:CV31" si="370">+CC19</f>
        <v>1</v>
      </c>
      <c r="CW19" s="79">
        <f t="shared" ref="CW19:CW31" si="371">+CC19</f>
        <v>1</v>
      </c>
      <c r="CX19" s="79">
        <f t="shared" ref="CX19:CX31" si="372">+CC19</f>
        <v>1</v>
      </c>
      <c r="CY19" s="80">
        <f t="shared" ref="CY19:CY31" si="373">+CC19</f>
        <v>1</v>
      </c>
      <c r="CZ19" s="78">
        <f t="shared" ref="CZ19:CZ30" si="374">+BY19</f>
        <v>1</v>
      </c>
      <c r="DA19" s="79">
        <f t="shared" ref="DA19:DA30" si="375">+BY19</f>
        <v>1</v>
      </c>
      <c r="DB19" s="79">
        <f t="shared" ref="DB19:DB30" si="376">+BY19</f>
        <v>1</v>
      </c>
      <c r="DC19" s="80">
        <f t="shared" ref="DC19:DC30" si="377">+BY19</f>
        <v>1</v>
      </c>
      <c r="DD19" s="78">
        <f t="shared" ref="DD19:DD30" si="378">+BY19</f>
        <v>1</v>
      </c>
      <c r="DE19" s="79">
        <f t="shared" ref="DE19:DE30" si="379">+BY19</f>
        <v>1</v>
      </c>
      <c r="DF19" s="79">
        <f t="shared" ref="DF19:DF30" si="380">+BY19</f>
        <v>1</v>
      </c>
      <c r="DG19" s="80">
        <f t="shared" ref="DG19:DG30" si="381">+BY19</f>
        <v>1</v>
      </c>
      <c r="DH19" s="78">
        <f t="shared" ref="DH19:DH30" si="382">+BY19</f>
        <v>1</v>
      </c>
      <c r="DI19" s="79">
        <f t="shared" ref="DI19:DI30" si="383">+BY19</f>
        <v>1</v>
      </c>
      <c r="DJ19" s="79">
        <f t="shared" ref="DJ19:DJ30" si="384">+BY19</f>
        <v>1</v>
      </c>
      <c r="DK19" s="80">
        <f t="shared" ref="DK19:DK30" si="385">+BY19</f>
        <v>1</v>
      </c>
      <c r="DL19" s="78">
        <f t="shared" ref="DL19:DL31" si="386">+BY19</f>
        <v>1</v>
      </c>
      <c r="DM19" s="79">
        <f t="shared" ref="DM19:DM31" si="387">+BY19</f>
        <v>1</v>
      </c>
      <c r="DN19" s="79">
        <f t="shared" ref="DN19:DN31" si="388">+BY19</f>
        <v>1</v>
      </c>
      <c r="DO19" s="80">
        <f t="shared" ref="DO19:DO31" si="389">+BY19</f>
        <v>1</v>
      </c>
      <c r="DP19" s="78">
        <f t="shared" ref="DP19:DP31" si="390">+BY19</f>
        <v>1</v>
      </c>
      <c r="DQ19" s="79">
        <f t="shared" ref="DQ19:DQ31" si="391">+BY19</f>
        <v>1</v>
      </c>
      <c r="DR19" s="79">
        <f t="shared" ref="DR19:DR31" si="392">+BY19</f>
        <v>1</v>
      </c>
      <c r="DS19" s="80">
        <f t="shared" ref="DS19:DS31" si="393">+BY19</f>
        <v>1</v>
      </c>
      <c r="DT19" s="78">
        <f t="shared" si="274"/>
        <v>1</v>
      </c>
      <c r="DU19" s="79">
        <f t="shared" si="275"/>
        <v>1</v>
      </c>
      <c r="DV19" s="79">
        <f t="shared" si="276"/>
        <v>1</v>
      </c>
      <c r="DW19" s="80">
        <f t="shared" si="277"/>
        <v>1</v>
      </c>
      <c r="DX19" s="78">
        <f t="shared" si="278"/>
        <v>1</v>
      </c>
      <c r="DY19" s="79">
        <f t="shared" si="279"/>
        <v>1</v>
      </c>
      <c r="DZ19" s="79">
        <f t="shared" si="280"/>
        <v>1</v>
      </c>
      <c r="EA19" s="80">
        <f t="shared" si="281"/>
        <v>1</v>
      </c>
      <c r="EB19" s="78">
        <f t="shared" si="282"/>
        <v>1</v>
      </c>
      <c r="EC19" s="79">
        <f t="shared" si="283"/>
        <v>1</v>
      </c>
      <c r="ED19" s="79">
        <f t="shared" si="284"/>
        <v>1</v>
      </c>
      <c r="EE19" s="80">
        <f t="shared" si="285"/>
        <v>1</v>
      </c>
      <c r="EF19" s="78">
        <f t="shared" si="286"/>
        <v>1</v>
      </c>
      <c r="EG19" s="79">
        <f t="shared" si="287"/>
        <v>1</v>
      </c>
      <c r="EH19" s="79">
        <f t="shared" si="288"/>
        <v>1</v>
      </c>
      <c r="EI19" s="80">
        <f t="shared" si="289"/>
        <v>1</v>
      </c>
      <c r="EJ19" s="78">
        <f t="shared" si="290"/>
        <v>1</v>
      </c>
      <c r="EK19" s="79">
        <f t="shared" si="291"/>
        <v>1</v>
      </c>
      <c r="EL19" s="79">
        <f t="shared" si="292"/>
        <v>1</v>
      </c>
      <c r="EM19" s="80">
        <f t="shared" si="293"/>
        <v>1</v>
      </c>
      <c r="EN19" s="78">
        <f t="shared" si="294"/>
        <v>1</v>
      </c>
      <c r="EO19" s="79">
        <f t="shared" si="295"/>
        <v>1</v>
      </c>
      <c r="EP19" s="79">
        <f t="shared" si="296"/>
        <v>1</v>
      </c>
      <c r="EQ19" s="80">
        <f t="shared" si="297"/>
        <v>1</v>
      </c>
      <c r="ER19" s="78">
        <f t="shared" si="298"/>
        <v>1</v>
      </c>
      <c r="ES19" s="79">
        <f t="shared" si="299"/>
        <v>1</v>
      </c>
      <c r="ET19" s="79">
        <f t="shared" si="300"/>
        <v>1</v>
      </c>
      <c r="EU19" s="80">
        <f t="shared" si="301"/>
        <v>1</v>
      </c>
      <c r="EV19" s="81">
        <f>SUM(H19:DC19)/4</f>
        <v>19</v>
      </c>
    </row>
    <row r="20" spans="2:152" s="30" customFormat="1" ht="29.25" customHeight="1">
      <c r="B20" s="22"/>
      <c r="C20" s="93" t="str">
        <f>+schedule_ARAS!C62</f>
        <v>Survey Engineer</v>
      </c>
      <c r="D20" s="94" t="str">
        <f>+schedule_ARAS!D62</f>
        <v>Adet</v>
      </c>
      <c r="E20" s="446">
        <f>+schedule_ARAS!E62</f>
        <v>1</v>
      </c>
      <c r="F20" s="25"/>
      <c r="G20" s="26"/>
      <c r="H20" s="78"/>
      <c r="I20" s="79"/>
      <c r="J20" s="79"/>
      <c r="K20" s="80"/>
      <c r="L20" s="260"/>
      <c r="M20" s="261"/>
      <c r="N20" s="261"/>
      <c r="O20" s="262"/>
      <c r="P20" s="260"/>
      <c r="Q20" s="79"/>
      <c r="R20" s="79"/>
      <c r="S20" s="80"/>
      <c r="T20" s="78"/>
      <c r="U20" s="79"/>
      <c r="V20" s="79"/>
      <c r="W20" s="80"/>
      <c r="X20" s="78"/>
      <c r="Y20" s="79"/>
      <c r="Z20" s="79"/>
      <c r="AA20" s="80"/>
      <c r="AB20" s="78"/>
      <c r="AC20" s="79"/>
      <c r="AD20" s="79"/>
      <c r="AE20" s="80"/>
      <c r="AF20" s="78">
        <f t="shared" si="302"/>
        <v>1</v>
      </c>
      <c r="AG20" s="79">
        <f t="shared" si="303"/>
        <v>1</v>
      </c>
      <c r="AH20" s="79">
        <f t="shared" si="304"/>
        <v>1</v>
      </c>
      <c r="AI20" s="80">
        <f t="shared" si="305"/>
        <v>1</v>
      </c>
      <c r="AJ20" s="78">
        <f t="shared" si="306"/>
        <v>1</v>
      </c>
      <c r="AK20" s="79">
        <f t="shared" si="307"/>
        <v>1</v>
      </c>
      <c r="AL20" s="79">
        <f t="shared" si="308"/>
        <v>1</v>
      </c>
      <c r="AM20" s="80">
        <f t="shared" si="309"/>
        <v>1</v>
      </c>
      <c r="AN20" s="78">
        <f t="shared" si="310"/>
        <v>1</v>
      </c>
      <c r="AO20" s="79">
        <f t="shared" si="311"/>
        <v>1</v>
      </c>
      <c r="AP20" s="79">
        <f t="shared" si="312"/>
        <v>1</v>
      </c>
      <c r="AQ20" s="80">
        <f t="shared" si="313"/>
        <v>1</v>
      </c>
      <c r="AR20" s="78">
        <f t="shared" si="314"/>
        <v>1</v>
      </c>
      <c r="AS20" s="79">
        <f t="shared" si="315"/>
        <v>1</v>
      </c>
      <c r="AT20" s="79">
        <f t="shared" si="316"/>
        <v>1</v>
      </c>
      <c r="AU20" s="80">
        <f t="shared" si="317"/>
        <v>1</v>
      </c>
      <c r="AV20" s="78">
        <f t="shared" si="318"/>
        <v>1</v>
      </c>
      <c r="AW20" s="79">
        <f t="shared" si="319"/>
        <v>1</v>
      </c>
      <c r="AX20" s="79">
        <f t="shared" si="320"/>
        <v>1</v>
      </c>
      <c r="AY20" s="80">
        <f t="shared" si="321"/>
        <v>1</v>
      </c>
      <c r="AZ20" s="78">
        <f t="shared" si="322"/>
        <v>1</v>
      </c>
      <c r="BA20" s="79">
        <f t="shared" si="323"/>
        <v>1</v>
      </c>
      <c r="BB20" s="79">
        <f t="shared" si="324"/>
        <v>1</v>
      </c>
      <c r="BC20" s="80">
        <f t="shared" si="325"/>
        <v>1</v>
      </c>
      <c r="BD20" s="78">
        <f t="shared" si="326"/>
        <v>1</v>
      </c>
      <c r="BE20" s="79">
        <f t="shared" si="327"/>
        <v>1</v>
      </c>
      <c r="BF20" s="79">
        <f t="shared" si="328"/>
        <v>1</v>
      </c>
      <c r="BG20" s="80">
        <f t="shared" si="329"/>
        <v>1</v>
      </c>
      <c r="BH20" s="78">
        <f t="shared" si="330"/>
        <v>1</v>
      </c>
      <c r="BI20" s="79">
        <f t="shared" si="331"/>
        <v>1</v>
      </c>
      <c r="BJ20" s="79">
        <f t="shared" si="332"/>
        <v>1</v>
      </c>
      <c r="BK20" s="80">
        <f t="shared" si="333"/>
        <v>1</v>
      </c>
      <c r="BL20" s="78">
        <f t="shared" si="334"/>
        <v>1</v>
      </c>
      <c r="BM20" s="79">
        <f t="shared" si="335"/>
        <v>1</v>
      </c>
      <c r="BN20" s="79">
        <f t="shared" si="336"/>
        <v>1</v>
      </c>
      <c r="BO20" s="80">
        <f t="shared" si="337"/>
        <v>1</v>
      </c>
      <c r="BP20" s="78">
        <f t="shared" si="338"/>
        <v>1</v>
      </c>
      <c r="BQ20" s="79">
        <f t="shared" si="339"/>
        <v>1</v>
      </c>
      <c r="BR20" s="79">
        <f t="shared" si="340"/>
        <v>1</v>
      </c>
      <c r="BS20" s="80">
        <f t="shared" si="341"/>
        <v>1</v>
      </c>
      <c r="BT20" s="78">
        <f t="shared" si="342"/>
        <v>1</v>
      </c>
      <c r="BU20" s="79">
        <f t="shared" si="343"/>
        <v>1</v>
      </c>
      <c r="BV20" s="79">
        <f t="shared" si="344"/>
        <v>1</v>
      </c>
      <c r="BW20" s="80">
        <f t="shared" si="345"/>
        <v>1</v>
      </c>
      <c r="BX20" s="78">
        <f t="shared" si="346"/>
        <v>1</v>
      </c>
      <c r="BY20" s="79">
        <f t="shared" si="347"/>
        <v>1</v>
      </c>
      <c r="BZ20" s="79">
        <f t="shared" si="348"/>
        <v>1</v>
      </c>
      <c r="CA20" s="80">
        <f t="shared" si="349"/>
        <v>1</v>
      </c>
      <c r="CB20" s="78">
        <f t="shared" si="350"/>
        <v>1</v>
      </c>
      <c r="CC20" s="79">
        <f t="shared" si="351"/>
        <v>1</v>
      </c>
      <c r="CD20" s="79">
        <f t="shared" si="352"/>
        <v>1</v>
      </c>
      <c r="CE20" s="80">
        <f t="shared" si="353"/>
        <v>1</v>
      </c>
      <c r="CF20" s="78">
        <f t="shared" si="354"/>
        <v>1</v>
      </c>
      <c r="CG20" s="79">
        <f t="shared" si="355"/>
        <v>1</v>
      </c>
      <c r="CH20" s="79">
        <f t="shared" si="356"/>
        <v>1</v>
      </c>
      <c r="CI20" s="80">
        <f t="shared" si="357"/>
        <v>1</v>
      </c>
      <c r="CJ20" s="78">
        <f t="shared" si="358"/>
        <v>1</v>
      </c>
      <c r="CK20" s="79">
        <f t="shared" si="359"/>
        <v>1</v>
      </c>
      <c r="CL20" s="79">
        <f t="shared" si="360"/>
        <v>1</v>
      </c>
      <c r="CM20" s="80">
        <f t="shared" si="361"/>
        <v>1</v>
      </c>
      <c r="CN20" s="78">
        <f t="shared" si="362"/>
        <v>1</v>
      </c>
      <c r="CO20" s="79">
        <f t="shared" si="363"/>
        <v>1</v>
      </c>
      <c r="CP20" s="79">
        <f t="shared" si="364"/>
        <v>1</v>
      </c>
      <c r="CQ20" s="80">
        <f t="shared" si="365"/>
        <v>1</v>
      </c>
      <c r="CR20" s="78">
        <f t="shared" si="366"/>
        <v>1</v>
      </c>
      <c r="CS20" s="79">
        <f t="shared" si="367"/>
        <v>1</v>
      </c>
      <c r="CT20" s="79">
        <f t="shared" si="368"/>
        <v>1</v>
      </c>
      <c r="CU20" s="80">
        <f t="shared" si="369"/>
        <v>1</v>
      </c>
      <c r="CV20" s="78">
        <f t="shared" si="370"/>
        <v>1</v>
      </c>
      <c r="CW20" s="79">
        <f t="shared" si="371"/>
        <v>1</v>
      </c>
      <c r="CX20" s="79">
        <f t="shared" si="372"/>
        <v>1</v>
      </c>
      <c r="CY20" s="80">
        <f t="shared" si="373"/>
        <v>1</v>
      </c>
      <c r="CZ20" s="78">
        <f t="shared" si="374"/>
        <v>1</v>
      </c>
      <c r="DA20" s="79">
        <f t="shared" si="375"/>
        <v>1</v>
      </c>
      <c r="DB20" s="79">
        <f t="shared" si="376"/>
        <v>1</v>
      </c>
      <c r="DC20" s="80">
        <f t="shared" si="377"/>
        <v>1</v>
      </c>
      <c r="DD20" s="78">
        <f t="shared" si="378"/>
        <v>1</v>
      </c>
      <c r="DE20" s="79">
        <f t="shared" si="379"/>
        <v>1</v>
      </c>
      <c r="DF20" s="79">
        <f t="shared" si="380"/>
        <v>1</v>
      </c>
      <c r="DG20" s="80">
        <f t="shared" si="381"/>
        <v>1</v>
      </c>
      <c r="DH20" s="78">
        <f t="shared" si="382"/>
        <v>1</v>
      </c>
      <c r="DI20" s="79">
        <f t="shared" si="383"/>
        <v>1</v>
      </c>
      <c r="DJ20" s="79">
        <f t="shared" si="384"/>
        <v>1</v>
      </c>
      <c r="DK20" s="80">
        <f t="shared" si="385"/>
        <v>1</v>
      </c>
      <c r="DL20" s="78">
        <f t="shared" si="386"/>
        <v>1</v>
      </c>
      <c r="DM20" s="79">
        <f t="shared" si="387"/>
        <v>1</v>
      </c>
      <c r="DN20" s="79">
        <f t="shared" si="388"/>
        <v>1</v>
      </c>
      <c r="DO20" s="80">
        <f t="shared" si="389"/>
        <v>1</v>
      </c>
      <c r="DP20" s="78">
        <f t="shared" si="390"/>
        <v>1</v>
      </c>
      <c r="DQ20" s="79">
        <f t="shared" si="391"/>
        <v>1</v>
      </c>
      <c r="DR20" s="79">
        <f t="shared" si="392"/>
        <v>1</v>
      </c>
      <c r="DS20" s="80">
        <f t="shared" si="393"/>
        <v>1</v>
      </c>
      <c r="DT20" s="78">
        <f t="shared" si="274"/>
        <v>1</v>
      </c>
      <c r="DU20" s="79">
        <f t="shared" si="275"/>
        <v>1</v>
      </c>
      <c r="DV20" s="79">
        <f t="shared" si="276"/>
        <v>1</v>
      </c>
      <c r="DW20" s="80">
        <f t="shared" si="277"/>
        <v>1</v>
      </c>
      <c r="DX20" s="78">
        <f t="shared" si="278"/>
        <v>1</v>
      </c>
      <c r="DY20" s="79">
        <f t="shared" si="279"/>
        <v>1</v>
      </c>
      <c r="DZ20" s="79">
        <f t="shared" si="280"/>
        <v>1</v>
      </c>
      <c r="EA20" s="80">
        <f t="shared" si="281"/>
        <v>1</v>
      </c>
      <c r="EB20" s="78">
        <f t="shared" si="282"/>
        <v>1</v>
      </c>
      <c r="EC20" s="79">
        <f t="shared" si="283"/>
        <v>1</v>
      </c>
      <c r="ED20" s="79">
        <f t="shared" si="284"/>
        <v>1</v>
      </c>
      <c r="EE20" s="80">
        <f t="shared" si="285"/>
        <v>1</v>
      </c>
      <c r="EF20" s="78">
        <f t="shared" si="286"/>
        <v>1</v>
      </c>
      <c r="EG20" s="79">
        <f t="shared" si="287"/>
        <v>1</v>
      </c>
      <c r="EH20" s="79">
        <f t="shared" si="288"/>
        <v>1</v>
      </c>
      <c r="EI20" s="80">
        <f t="shared" si="289"/>
        <v>1</v>
      </c>
      <c r="EJ20" s="78">
        <f t="shared" si="290"/>
        <v>1</v>
      </c>
      <c r="EK20" s="79">
        <f t="shared" si="291"/>
        <v>1</v>
      </c>
      <c r="EL20" s="79">
        <f t="shared" si="292"/>
        <v>1</v>
      </c>
      <c r="EM20" s="80">
        <f t="shared" si="293"/>
        <v>1</v>
      </c>
      <c r="EN20" s="78">
        <f t="shared" si="294"/>
        <v>1</v>
      </c>
      <c r="EO20" s="79">
        <f t="shared" si="295"/>
        <v>1</v>
      </c>
      <c r="EP20" s="79">
        <f t="shared" si="296"/>
        <v>1</v>
      </c>
      <c r="EQ20" s="80">
        <f t="shared" si="297"/>
        <v>1</v>
      </c>
      <c r="ER20" s="78">
        <f t="shared" si="298"/>
        <v>1</v>
      </c>
      <c r="ES20" s="79">
        <f t="shared" si="299"/>
        <v>1</v>
      </c>
      <c r="ET20" s="79">
        <f t="shared" si="300"/>
        <v>1</v>
      </c>
      <c r="EU20" s="80">
        <f t="shared" si="301"/>
        <v>1</v>
      </c>
      <c r="EV20" s="81">
        <f>SUM(H20:DC20)/4</f>
        <v>19</v>
      </c>
    </row>
    <row r="21" spans="2:152" s="30" customFormat="1" ht="29.25" customHeight="1">
      <c r="B21" s="22"/>
      <c r="C21" s="93" t="str">
        <f>+schedule_ARAS!C63</f>
        <v>Surveyor</v>
      </c>
      <c r="D21" s="94" t="str">
        <f>+schedule_ARAS!D63</f>
        <v>Adet</v>
      </c>
      <c r="E21" s="446">
        <f>+schedule_ARAS!E63</f>
        <v>4</v>
      </c>
      <c r="F21" s="25"/>
      <c r="G21" s="26"/>
      <c r="H21" s="78"/>
      <c r="I21" s="79"/>
      <c r="J21" s="79"/>
      <c r="K21" s="80"/>
      <c r="L21" s="260"/>
      <c r="M21" s="261"/>
      <c r="N21" s="261"/>
      <c r="O21" s="262"/>
      <c r="P21" s="260"/>
      <c r="Q21" s="79"/>
      <c r="R21" s="79"/>
      <c r="S21" s="80"/>
      <c r="T21" s="78"/>
      <c r="U21" s="79"/>
      <c r="V21" s="79"/>
      <c r="W21" s="80"/>
      <c r="X21" s="78"/>
      <c r="Y21" s="79"/>
      <c r="Z21" s="79"/>
      <c r="AA21" s="80"/>
      <c r="AB21" s="78"/>
      <c r="AC21" s="79"/>
      <c r="AD21" s="79"/>
      <c r="AE21" s="80"/>
      <c r="AF21" s="78">
        <f t="shared" si="302"/>
        <v>4</v>
      </c>
      <c r="AG21" s="79">
        <f t="shared" si="303"/>
        <v>4</v>
      </c>
      <c r="AH21" s="79">
        <f t="shared" si="304"/>
        <v>4</v>
      </c>
      <c r="AI21" s="80">
        <f t="shared" si="305"/>
        <v>4</v>
      </c>
      <c r="AJ21" s="78">
        <f t="shared" si="306"/>
        <v>4</v>
      </c>
      <c r="AK21" s="79">
        <f t="shared" si="307"/>
        <v>4</v>
      </c>
      <c r="AL21" s="79">
        <f t="shared" si="308"/>
        <v>4</v>
      </c>
      <c r="AM21" s="80">
        <f t="shared" si="309"/>
        <v>4</v>
      </c>
      <c r="AN21" s="78">
        <f t="shared" si="310"/>
        <v>4</v>
      </c>
      <c r="AO21" s="79">
        <f t="shared" si="311"/>
        <v>4</v>
      </c>
      <c r="AP21" s="79">
        <f t="shared" si="312"/>
        <v>4</v>
      </c>
      <c r="AQ21" s="80">
        <f t="shared" si="313"/>
        <v>4</v>
      </c>
      <c r="AR21" s="78">
        <f t="shared" si="314"/>
        <v>4</v>
      </c>
      <c r="AS21" s="79">
        <f t="shared" si="315"/>
        <v>4</v>
      </c>
      <c r="AT21" s="79">
        <f t="shared" si="316"/>
        <v>4</v>
      </c>
      <c r="AU21" s="80">
        <f t="shared" si="317"/>
        <v>4</v>
      </c>
      <c r="AV21" s="78">
        <f t="shared" si="318"/>
        <v>4</v>
      </c>
      <c r="AW21" s="79">
        <f t="shared" si="319"/>
        <v>4</v>
      </c>
      <c r="AX21" s="79">
        <f t="shared" si="320"/>
        <v>4</v>
      </c>
      <c r="AY21" s="80">
        <f t="shared" si="321"/>
        <v>4</v>
      </c>
      <c r="AZ21" s="78">
        <f t="shared" si="322"/>
        <v>4</v>
      </c>
      <c r="BA21" s="79">
        <f t="shared" si="323"/>
        <v>4</v>
      </c>
      <c r="BB21" s="79">
        <f t="shared" si="324"/>
        <v>4</v>
      </c>
      <c r="BC21" s="80">
        <f t="shared" si="325"/>
        <v>4</v>
      </c>
      <c r="BD21" s="78">
        <f t="shared" si="326"/>
        <v>4</v>
      </c>
      <c r="BE21" s="79">
        <f t="shared" si="327"/>
        <v>4</v>
      </c>
      <c r="BF21" s="79">
        <f t="shared" si="328"/>
        <v>4</v>
      </c>
      <c r="BG21" s="80">
        <f t="shared" si="329"/>
        <v>4</v>
      </c>
      <c r="BH21" s="78">
        <f t="shared" si="330"/>
        <v>4</v>
      </c>
      <c r="BI21" s="79">
        <f t="shared" si="331"/>
        <v>4</v>
      </c>
      <c r="BJ21" s="79">
        <f t="shared" si="332"/>
        <v>4</v>
      </c>
      <c r="BK21" s="80">
        <f t="shared" si="333"/>
        <v>4</v>
      </c>
      <c r="BL21" s="78">
        <f t="shared" si="334"/>
        <v>4</v>
      </c>
      <c r="BM21" s="79">
        <f t="shared" si="335"/>
        <v>4</v>
      </c>
      <c r="BN21" s="79">
        <f t="shared" si="336"/>
        <v>4</v>
      </c>
      <c r="BO21" s="80">
        <f t="shared" si="337"/>
        <v>4</v>
      </c>
      <c r="BP21" s="78">
        <f t="shared" si="338"/>
        <v>4</v>
      </c>
      <c r="BQ21" s="79">
        <f t="shared" si="339"/>
        <v>4</v>
      </c>
      <c r="BR21" s="79">
        <f t="shared" si="340"/>
        <v>4</v>
      </c>
      <c r="BS21" s="80">
        <f t="shared" si="341"/>
        <v>4</v>
      </c>
      <c r="BT21" s="78">
        <f t="shared" si="342"/>
        <v>4</v>
      </c>
      <c r="BU21" s="79">
        <f t="shared" si="343"/>
        <v>4</v>
      </c>
      <c r="BV21" s="79">
        <f t="shared" si="344"/>
        <v>4</v>
      </c>
      <c r="BW21" s="80">
        <f t="shared" si="345"/>
        <v>4</v>
      </c>
      <c r="BX21" s="78">
        <f t="shared" si="346"/>
        <v>4</v>
      </c>
      <c r="BY21" s="79">
        <f t="shared" si="347"/>
        <v>4</v>
      </c>
      <c r="BZ21" s="79">
        <f t="shared" si="348"/>
        <v>4</v>
      </c>
      <c r="CA21" s="80">
        <f t="shared" si="349"/>
        <v>4</v>
      </c>
      <c r="CB21" s="78">
        <f t="shared" si="350"/>
        <v>4</v>
      </c>
      <c r="CC21" s="79">
        <f t="shared" si="351"/>
        <v>4</v>
      </c>
      <c r="CD21" s="79">
        <f t="shared" si="352"/>
        <v>4</v>
      </c>
      <c r="CE21" s="80">
        <f t="shared" si="353"/>
        <v>4</v>
      </c>
      <c r="CF21" s="78">
        <f t="shared" si="354"/>
        <v>4</v>
      </c>
      <c r="CG21" s="79">
        <f t="shared" si="355"/>
        <v>4</v>
      </c>
      <c r="CH21" s="79">
        <f t="shared" si="356"/>
        <v>4</v>
      </c>
      <c r="CI21" s="80">
        <f t="shared" si="357"/>
        <v>4</v>
      </c>
      <c r="CJ21" s="78">
        <f t="shared" si="358"/>
        <v>4</v>
      </c>
      <c r="CK21" s="79">
        <f t="shared" si="359"/>
        <v>4</v>
      </c>
      <c r="CL21" s="79">
        <f t="shared" si="360"/>
        <v>4</v>
      </c>
      <c r="CM21" s="80">
        <f t="shared" si="361"/>
        <v>4</v>
      </c>
      <c r="CN21" s="78">
        <f t="shared" si="362"/>
        <v>4</v>
      </c>
      <c r="CO21" s="79">
        <f t="shared" si="363"/>
        <v>4</v>
      </c>
      <c r="CP21" s="79">
        <f t="shared" si="364"/>
        <v>4</v>
      </c>
      <c r="CQ21" s="80">
        <f t="shared" si="365"/>
        <v>4</v>
      </c>
      <c r="CR21" s="78">
        <f t="shared" si="366"/>
        <v>4</v>
      </c>
      <c r="CS21" s="79">
        <f t="shared" si="367"/>
        <v>4</v>
      </c>
      <c r="CT21" s="79">
        <f t="shared" si="368"/>
        <v>4</v>
      </c>
      <c r="CU21" s="80">
        <f t="shared" si="369"/>
        <v>4</v>
      </c>
      <c r="CV21" s="78">
        <f t="shared" si="370"/>
        <v>4</v>
      </c>
      <c r="CW21" s="79">
        <f t="shared" si="371"/>
        <v>4</v>
      </c>
      <c r="CX21" s="79">
        <f t="shared" si="372"/>
        <v>4</v>
      </c>
      <c r="CY21" s="80">
        <f t="shared" si="373"/>
        <v>4</v>
      </c>
      <c r="CZ21" s="78">
        <f t="shared" si="374"/>
        <v>4</v>
      </c>
      <c r="DA21" s="79">
        <f t="shared" si="375"/>
        <v>4</v>
      </c>
      <c r="DB21" s="79">
        <f t="shared" si="376"/>
        <v>4</v>
      </c>
      <c r="DC21" s="80">
        <f t="shared" si="377"/>
        <v>4</v>
      </c>
      <c r="DD21" s="78">
        <f t="shared" si="378"/>
        <v>4</v>
      </c>
      <c r="DE21" s="79">
        <f t="shared" si="379"/>
        <v>4</v>
      </c>
      <c r="DF21" s="79">
        <f t="shared" si="380"/>
        <v>4</v>
      </c>
      <c r="DG21" s="80">
        <f t="shared" si="381"/>
        <v>4</v>
      </c>
      <c r="DH21" s="78">
        <f t="shared" si="382"/>
        <v>4</v>
      </c>
      <c r="DI21" s="79">
        <f t="shared" si="383"/>
        <v>4</v>
      </c>
      <c r="DJ21" s="79">
        <f t="shared" si="384"/>
        <v>4</v>
      </c>
      <c r="DK21" s="80">
        <f t="shared" si="385"/>
        <v>4</v>
      </c>
      <c r="DL21" s="78">
        <f t="shared" si="386"/>
        <v>4</v>
      </c>
      <c r="DM21" s="79">
        <f t="shared" si="387"/>
        <v>4</v>
      </c>
      <c r="DN21" s="79">
        <f t="shared" si="388"/>
        <v>4</v>
      </c>
      <c r="DO21" s="80">
        <f t="shared" si="389"/>
        <v>4</v>
      </c>
      <c r="DP21" s="78">
        <f t="shared" si="390"/>
        <v>4</v>
      </c>
      <c r="DQ21" s="79">
        <f t="shared" si="391"/>
        <v>4</v>
      </c>
      <c r="DR21" s="79">
        <f t="shared" si="392"/>
        <v>4</v>
      </c>
      <c r="DS21" s="80">
        <f t="shared" si="393"/>
        <v>4</v>
      </c>
      <c r="DT21" s="78">
        <f t="shared" si="274"/>
        <v>4</v>
      </c>
      <c r="DU21" s="79">
        <f t="shared" si="275"/>
        <v>4</v>
      </c>
      <c r="DV21" s="79">
        <f t="shared" si="276"/>
        <v>4</v>
      </c>
      <c r="DW21" s="80">
        <f t="shared" si="277"/>
        <v>4</v>
      </c>
      <c r="DX21" s="78">
        <f t="shared" si="278"/>
        <v>4</v>
      </c>
      <c r="DY21" s="79">
        <f t="shared" si="279"/>
        <v>4</v>
      </c>
      <c r="DZ21" s="79">
        <f t="shared" si="280"/>
        <v>4</v>
      </c>
      <c r="EA21" s="80">
        <f t="shared" si="281"/>
        <v>4</v>
      </c>
      <c r="EB21" s="78">
        <f t="shared" si="282"/>
        <v>4</v>
      </c>
      <c r="EC21" s="79">
        <f t="shared" si="283"/>
        <v>4</v>
      </c>
      <c r="ED21" s="79">
        <f t="shared" si="284"/>
        <v>4</v>
      </c>
      <c r="EE21" s="80">
        <f t="shared" si="285"/>
        <v>4</v>
      </c>
      <c r="EF21" s="78">
        <f t="shared" si="286"/>
        <v>4</v>
      </c>
      <c r="EG21" s="79">
        <f t="shared" si="287"/>
        <v>4</v>
      </c>
      <c r="EH21" s="79">
        <f t="shared" si="288"/>
        <v>4</v>
      </c>
      <c r="EI21" s="80">
        <f t="shared" si="289"/>
        <v>4</v>
      </c>
      <c r="EJ21" s="78">
        <f t="shared" si="290"/>
        <v>4</v>
      </c>
      <c r="EK21" s="79">
        <f t="shared" si="291"/>
        <v>4</v>
      </c>
      <c r="EL21" s="79">
        <f t="shared" si="292"/>
        <v>4</v>
      </c>
      <c r="EM21" s="80">
        <f t="shared" si="293"/>
        <v>4</v>
      </c>
      <c r="EN21" s="78">
        <f t="shared" si="294"/>
        <v>4</v>
      </c>
      <c r="EO21" s="79">
        <f t="shared" si="295"/>
        <v>4</v>
      </c>
      <c r="EP21" s="79">
        <f t="shared" si="296"/>
        <v>4</v>
      </c>
      <c r="EQ21" s="80">
        <f t="shared" si="297"/>
        <v>4</v>
      </c>
      <c r="ER21" s="78">
        <f t="shared" si="298"/>
        <v>4</v>
      </c>
      <c r="ES21" s="79">
        <f t="shared" si="299"/>
        <v>4</v>
      </c>
      <c r="ET21" s="79">
        <f t="shared" si="300"/>
        <v>4</v>
      </c>
      <c r="EU21" s="80">
        <f t="shared" si="301"/>
        <v>4</v>
      </c>
      <c r="EV21" s="81">
        <f>SUM(H21:DC21)/4</f>
        <v>76</v>
      </c>
    </row>
    <row r="22" spans="2:152" s="30" customFormat="1" ht="29.25" customHeight="1">
      <c r="B22" s="22"/>
      <c r="C22" s="93" t="str">
        <f>+schedule_ARAS!C64</f>
        <v>Site Engineer</v>
      </c>
      <c r="D22" s="94" t="str">
        <f>+schedule_ARAS!D64</f>
        <v>Adet</v>
      </c>
      <c r="E22" s="446">
        <f>+schedule_ARAS!E64</f>
        <v>2</v>
      </c>
      <c r="F22" s="25"/>
      <c r="G22" s="26"/>
      <c r="H22" s="78"/>
      <c r="I22" s="79"/>
      <c r="J22" s="79"/>
      <c r="K22" s="80"/>
      <c r="L22" s="260"/>
      <c r="M22" s="261"/>
      <c r="N22" s="261"/>
      <c r="O22" s="262"/>
      <c r="P22" s="260"/>
      <c r="Q22" s="79"/>
      <c r="R22" s="79"/>
      <c r="S22" s="80"/>
      <c r="T22" s="78"/>
      <c r="U22" s="79"/>
      <c r="V22" s="79"/>
      <c r="W22" s="80"/>
      <c r="X22" s="78"/>
      <c r="Y22" s="79"/>
      <c r="Z22" s="79"/>
      <c r="AA22" s="80"/>
      <c r="AB22" s="78"/>
      <c r="AC22" s="79"/>
      <c r="AD22" s="79"/>
      <c r="AE22" s="80"/>
      <c r="AF22" s="78">
        <f t="shared" si="302"/>
        <v>2</v>
      </c>
      <c r="AG22" s="79">
        <f t="shared" si="303"/>
        <v>2</v>
      </c>
      <c r="AH22" s="79">
        <f t="shared" si="304"/>
        <v>2</v>
      </c>
      <c r="AI22" s="80">
        <f t="shared" si="305"/>
        <v>2</v>
      </c>
      <c r="AJ22" s="78">
        <f t="shared" si="306"/>
        <v>2</v>
      </c>
      <c r="AK22" s="79">
        <f t="shared" si="307"/>
        <v>2</v>
      </c>
      <c r="AL22" s="79">
        <f t="shared" si="308"/>
        <v>2</v>
      </c>
      <c r="AM22" s="80">
        <f t="shared" si="309"/>
        <v>2</v>
      </c>
      <c r="AN22" s="78">
        <f t="shared" si="310"/>
        <v>2</v>
      </c>
      <c r="AO22" s="79">
        <f t="shared" si="311"/>
        <v>2</v>
      </c>
      <c r="AP22" s="79">
        <f t="shared" si="312"/>
        <v>2</v>
      </c>
      <c r="AQ22" s="80">
        <f t="shared" si="313"/>
        <v>2</v>
      </c>
      <c r="AR22" s="78">
        <f t="shared" si="314"/>
        <v>2</v>
      </c>
      <c r="AS22" s="79">
        <f t="shared" si="315"/>
        <v>2</v>
      </c>
      <c r="AT22" s="79">
        <f t="shared" si="316"/>
        <v>2</v>
      </c>
      <c r="AU22" s="80">
        <f t="shared" si="317"/>
        <v>2</v>
      </c>
      <c r="AV22" s="78">
        <f t="shared" si="318"/>
        <v>2</v>
      </c>
      <c r="AW22" s="79">
        <f t="shared" si="319"/>
        <v>2</v>
      </c>
      <c r="AX22" s="79">
        <f t="shared" si="320"/>
        <v>2</v>
      </c>
      <c r="AY22" s="80">
        <f t="shared" si="321"/>
        <v>2</v>
      </c>
      <c r="AZ22" s="78">
        <f t="shared" si="322"/>
        <v>2</v>
      </c>
      <c r="BA22" s="79">
        <f t="shared" si="323"/>
        <v>2</v>
      </c>
      <c r="BB22" s="79">
        <f t="shared" si="324"/>
        <v>2</v>
      </c>
      <c r="BC22" s="80">
        <f t="shared" si="325"/>
        <v>2</v>
      </c>
      <c r="BD22" s="78">
        <f t="shared" si="326"/>
        <v>2</v>
      </c>
      <c r="BE22" s="79">
        <f t="shared" si="327"/>
        <v>2</v>
      </c>
      <c r="BF22" s="79">
        <f t="shared" si="328"/>
        <v>2</v>
      </c>
      <c r="BG22" s="80">
        <f t="shared" si="329"/>
        <v>2</v>
      </c>
      <c r="BH22" s="78">
        <f t="shared" si="330"/>
        <v>2</v>
      </c>
      <c r="BI22" s="79">
        <f t="shared" si="331"/>
        <v>2</v>
      </c>
      <c r="BJ22" s="79">
        <f t="shared" si="332"/>
        <v>2</v>
      </c>
      <c r="BK22" s="80">
        <f t="shared" si="333"/>
        <v>2</v>
      </c>
      <c r="BL22" s="78">
        <f t="shared" si="334"/>
        <v>2</v>
      </c>
      <c r="BM22" s="79">
        <f t="shared" si="335"/>
        <v>2</v>
      </c>
      <c r="BN22" s="79">
        <f t="shared" si="336"/>
        <v>2</v>
      </c>
      <c r="BO22" s="80">
        <f t="shared" si="337"/>
        <v>2</v>
      </c>
      <c r="BP22" s="78">
        <f t="shared" si="338"/>
        <v>2</v>
      </c>
      <c r="BQ22" s="79">
        <f t="shared" si="339"/>
        <v>2</v>
      </c>
      <c r="BR22" s="79">
        <f t="shared" si="340"/>
        <v>2</v>
      </c>
      <c r="BS22" s="80">
        <f t="shared" si="341"/>
        <v>2</v>
      </c>
      <c r="BT22" s="78">
        <f t="shared" si="342"/>
        <v>2</v>
      </c>
      <c r="BU22" s="79">
        <f t="shared" si="343"/>
        <v>2</v>
      </c>
      <c r="BV22" s="79">
        <f t="shared" si="344"/>
        <v>2</v>
      </c>
      <c r="BW22" s="80">
        <f t="shared" si="345"/>
        <v>2</v>
      </c>
      <c r="BX22" s="78">
        <f t="shared" si="346"/>
        <v>2</v>
      </c>
      <c r="BY22" s="79">
        <f t="shared" si="347"/>
        <v>2</v>
      </c>
      <c r="BZ22" s="79">
        <f t="shared" si="348"/>
        <v>2</v>
      </c>
      <c r="CA22" s="80">
        <f t="shared" si="349"/>
        <v>2</v>
      </c>
      <c r="CB22" s="78">
        <f t="shared" si="350"/>
        <v>2</v>
      </c>
      <c r="CC22" s="79">
        <f t="shared" si="351"/>
        <v>2</v>
      </c>
      <c r="CD22" s="79">
        <f t="shared" si="352"/>
        <v>2</v>
      </c>
      <c r="CE22" s="80">
        <f t="shared" si="353"/>
        <v>2</v>
      </c>
      <c r="CF22" s="78">
        <f t="shared" si="354"/>
        <v>2</v>
      </c>
      <c r="CG22" s="79">
        <f t="shared" si="355"/>
        <v>2</v>
      </c>
      <c r="CH22" s="79">
        <f t="shared" si="356"/>
        <v>2</v>
      </c>
      <c r="CI22" s="80">
        <f t="shared" si="357"/>
        <v>2</v>
      </c>
      <c r="CJ22" s="78">
        <f t="shared" si="358"/>
        <v>2</v>
      </c>
      <c r="CK22" s="79">
        <f t="shared" si="359"/>
        <v>2</v>
      </c>
      <c r="CL22" s="79">
        <f t="shared" si="360"/>
        <v>2</v>
      </c>
      <c r="CM22" s="80">
        <f t="shared" si="361"/>
        <v>2</v>
      </c>
      <c r="CN22" s="78">
        <f t="shared" si="362"/>
        <v>2</v>
      </c>
      <c r="CO22" s="79">
        <f t="shared" si="363"/>
        <v>2</v>
      </c>
      <c r="CP22" s="79">
        <f t="shared" si="364"/>
        <v>2</v>
      </c>
      <c r="CQ22" s="80">
        <f t="shared" si="365"/>
        <v>2</v>
      </c>
      <c r="CR22" s="78">
        <f t="shared" si="366"/>
        <v>2</v>
      </c>
      <c r="CS22" s="79">
        <f t="shared" si="367"/>
        <v>2</v>
      </c>
      <c r="CT22" s="79">
        <f t="shared" si="368"/>
        <v>2</v>
      </c>
      <c r="CU22" s="80">
        <f t="shared" si="369"/>
        <v>2</v>
      </c>
      <c r="CV22" s="78">
        <f t="shared" si="370"/>
        <v>2</v>
      </c>
      <c r="CW22" s="79">
        <f t="shared" si="371"/>
        <v>2</v>
      </c>
      <c r="CX22" s="79">
        <f t="shared" si="372"/>
        <v>2</v>
      </c>
      <c r="CY22" s="80">
        <f t="shared" si="373"/>
        <v>2</v>
      </c>
      <c r="CZ22" s="78">
        <f t="shared" si="374"/>
        <v>2</v>
      </c>
      <c r="DA22" s="79">
        <f t="shared" si="375"/>
        <v>2</v>
      </c>
      <c r="DB22" s="79">
        <f t="shared" si="376"/>
        <v>2</v>
      </c>
      <c r="DC22" s="80">
        <f t="shared" si="377"/>
        <v>2</v>
      </c>
      <c r="DD22" s="78">
        <f t="shared" si="378"/>
        <v>2</v>
      </c>
      <c r="DE22" s="79">
        <f t="shared" si="379"/>
        <v>2</v>
      </c>
      <c r="DF22" s="79">
        <f t="shared" si="380"/>
        <v>2</v>
      </c>
      <c r="DG22" s="80">
        <f t="shared" si="381"/>
        <v>2</v>
      </c>
      <c r="DH22" s="78">
        <f t="shared" si="382"/>
        <v>2</v>
      </c>
      <c r="DI22" s="79">
        <f t="shared" si="383"/>
        <v>2</v>
      </c>
      <c r="DJ22" s="79">
        <f t="shared" si="384"/>
        <v>2</v>
      </c>
      <c r="DK22" s="80">
        <f t="shared" si="385"/>
        <v>2</v>
      </c>
      <c r="DL22" s="78">
        <f t="shared" si="386"/>
        <v>2</v>
      </c>
      <c r="DM22" s="79">
        <f t="shared" si="387"/>
        <v>2</v>
      </c>
      <c r="DN22" s="79">
        <f t="shared" si="388"/>
        <v>2</v>
      </c>
      <c r="DO22" s="80">
        <f t="shared" si="389"/>
        <v>2</v>
      </c>
      <c r="DP22" s="78">
        <f t="shared" si="390"/>
        <v>2</v>
      </c>
      <c r="DQ22" s="79">
        <f t="shared" si="391"/>
        <v>2</v>
      </c>
      <c r="DR22" s="79">
        <f t="shared" si="392"/>
        <v>2</v>
      </c>
      <c r="DS22" s="80">
        <f t="shared" si="393"/>
        <v>2</v>
      </c>
      <c r="DT22" s="78">
        <f t="shared" si="274"/>
        <v>2</v>
      </c>
      <c r="DU22" s="79">
        <f t="shared" si="275"/>
        <v>2</v>
      </c>
      <c r="DV22" s="79">
        <f t="shared" si="276"/>
        <v>2</v>
      </c>
      <c r="DW22" s="80">
        <f t="shared" si="277"/>
        <v>2</v>
      </c>
      <c r="DX22" s="78">
        <f t="shared" si="278"/>
        <v>2</v>
      </c>
      <c r="DY22" s="79">
        <f t="shared" si="279"/>
        <v>2</v>
      </c>
      <c r="DZ22" s="79">
        <f t="shared" si="280"/>
        <v>2</v>
      </c>
      <c r="EA22" s="80">
        <f t="shared" si="281"/>
        <v>2</v>
      </c>
      <c r="EB22" s="78">
        <f t="shared" si="282"/>
        <v>2</v>
      </c>
      <c r="EC22" s="79">
        <f t="shared" si="283"/>
        <v>2</v>
      </c>
      <c r="ED22" s="79">
        <f t="shared" si="284"/>
        <v>2</v>
      </c>
      <c r="EE22" s="80">
        <f t="shared" si="285"/>
        <v>2</v>
      </c>
      <c r="EF22" s="78">
        <f t="shared" si="286"/>
        <v>2</v>
      </c>
      <c r="EG22" s="79">
        <f t="shared" si="287"/>
        <v>2</v>
      </c>
      <c r="EH22" s="79">
        <f t="shared" si="288"/>
        <v>2</v>
      </c>
      <c r="EI22" s="80">
        <f t="shared" si="289"/>
        <v>2</v>
      </c>
      <c r="EJ22" s="78">
        <f t="shared" si="290"/>
        <v>2</v>
      </c>
      <c r="EK22" s="79">
        <f t="shared" si="291"/>
        <v>2</v>
      </c>
      <c r="EL22" s="79">
        <f t="shared" si="292"/>
        <v>2</v>
      </c>
      <c r="EM22" s="80">
        <f t="shared" si="293"/>
        <v>2</v>
      </c>
      <c r="EN22" s="78">
        <f t="shared" si="294"/>
        <v>2</v>
      </c>
      <c r="EO22" s="79">
        <f t="shared" si="295"/>
        <v>2</v>
      </c>
      <c r="EP22" s="79">
        <f t="shared" si="296"/>
        <v>2</v>
      </c>
      <c r="EQ22" s="80">
        <f t="shared" si="297"/>
        <v>2</v>
      </c>
      <c r="ER22" s="78">
        <f t="shared" si="298"/>
        <v>2</v>
      </c>
      <c r="ES22" s="79">
        <f t="shared" si="299"/>
        <v>2</v>
      </c>
      <c r="ET22" s="79">
        <f t="shared" si="300"/>
        <v>2</v>
      </c>
      <c r="EU22" s="80">
        <f t="shared" si="301"/>
        <v>2</v>
      </c>
      <c r="EV22" s="81">
        <f>SUM(H22:DC22)/4</f>
        <v>38</v>
      </c>
    </row>
    <row r="23" spans="2:152" s="30" customFormat="1" ht="29.25" customHeight="1">
      <c r="B23" s="22"/>
      <c r="C23" s="93" t="str">
        <f>+schedule_ARAS!C65</f>
        <v>Technical Office Chief</v>
      </c>
      <c r="D23" s="94" t="str">
        <f>+schedule_ARAS!D65</f>
        <v>Adet</v>
      </c>
      <c r="E23" s="446">
        <f>+schedule_ARAS!E65</f>
        <v>1</v>
      </c>
      <c r="F23" s="25"/>
      <c r="G23" s="26"/>
      <c r="H23" s="78"/>
      <c r="I23" s="79"/>
      <c r="J23" s="79"/>
      <c r="K23" s="80"/>
      <c r="L23" s="78"/>
      <c r="M23" s="79"/>
      <c r="N23" s="79"/>
      <c r="O23" s="80"/>
      <c r="P23" s="78"/>
      <c r="Q23" s="79"/>
      <c r="R23" s="79"/>
      <c r="S23" s="80"/>
      <c r="T23" s="78"/>
      <c r="U23" s="79"/>
      <c r="V23" s="79"/>
      <c r="W23" s="80"/>
      <c r="X23" s="78"/>
      <c r="Y23" s="79"/>
      <c r="Z23" s="79"/>
      <c r="AA23" s="80"/>
      <c r="AB23" s="78"/>
      <c r="AC23" s="79"/>
      <c r="AD23" s="79"/>
      <c r="AE23" s="80"/>
      <c r="AF23" s="78">
        <f t="shared" si="302"/>
        <v>1</v>
      </c>
      <c r="AG23" s="79">
        <f t="shared" si="303"/>
        <v>1</v>
      </c>
      <c r="AH23" s="79">
        <f t="shared" si="304"/>
        <v>1</v>
      </c>
      <c r="AI23" s="80">
        <f t="shared" si="305"/>
        <v>1</v>
      </c>
      <c r="AJ23" s="78">
        <f t="shared" si="306"/>
        <v>1</v>
      </c>
      <c r="AK23" s="79">
        <f t="shared" si="307"/>
        <v>1</v>
      </c>
      <c r="AL23" s="79">
        <f t="shared" si="308"/>
        <v>1</v>
      </c>
      <c r="AM23" s="80">
        <f t="shared" si="309"/>
        <v>1</v>
      </c>
      <c r="AN23" s="78">
        <f t="shared" si="310"/>
        <v>1</v>
      </c>
      <c r="AO23" s="79">
        <f t="shared" si="311"/>
        <v>1</v>
      </c>
      <c r="AP23" s="79">
        <f t="shared" si="312"/>
        <v>1</v>
      </c>
      <c r="AQ23" s="80">
        <f t="shared" si="313"/>
        <v>1</v>
      </c>
      <c r="AR23" s="78">
        <f t="shared" si="314"/>
        <v>1</v>
      </c>
      <c r="AS23" s="79">
        <f t="shared" si="315"/>
        <v>1</v>
      </c>
      <c r="AT23" s="79">
        <f t="shared" si="316"/>
        <v>1</v>
      </c>
      <c r="AU23" s="80">
        <f t="shared" si="317"/>
        <v>1</v>
      </c>
      <c r="AV23" s="78">
        <f t="shared" si="318"/>
        <v>1</v>
      </c>
      <c r="AW23" s="79">
        <f t="shared" si="319"/>
        <v>1</v>
      </c>
      <c r="AX23" s="79">
        <f t="shared" si="320"/>
        <v>1</v>
      </c>
      <c r="AY23" s="80">
        <f t="shared" si="321"/>
        <v>1</v>
      </c>
      <c r="AZ23" s="78">
        <f t="shared" si="322"/>
        <v>1</v>
      </c>
      <c r="BA23" s="79">
        <f t="shared" si="323"/>
        <v>1</v>
      </c>
      <c r="BB23" s="79">
        <f t="shared" si="324"/>
        <v>1</v>
      </c>
      <c r="BC23" s="80">
        <f t="shared" si="325"/>
        <v>1</v>
      </c>
      <c r="BD23" s="78">
        <f t="shared" si="326"/>
        <v>1</v>
      </c>
      <c r="BE23" s="79">
        <f t="shared" si="327"/>
        <v>1</v>
      </c>
      <c r="BF23" s="79">
        <f t="shared" si="328"/>
        <v>1</v>
      </c>
      <c r="BG23" s="80">
        <f t="shared" si="329"/>
        <v>1</v>
      </c>
      <c r="BH23" s="78">
        <f t="shared" si="330"/>
        <v>1</v>
      </c>
      <c r="BI23" s="79">
        <f t="shared" si="331"/>
        <v>1</v>
      </c>
      <c r="BJ23" s="79">
        <f t="shared" si="332"/>
        <v>1</v>
      </c>
      <c r="BK23" s="80">
        <f t="shared" si="333"/>
        <v>1</v>
      </c>
      <c r="BL23" s="78">
        <f t="shared" si="334"/>
        <v>1</v>
      </c>
      <c r="BM23" s="79">
        <f t="shared" si="335"/>
        <v>1</v>
      </c>
      <c r="BN23" s="79">
        <f t="shared" si="336"/>
        <v>1</v>
      </c>
      <c r="BO23" s="80">
        <f t="shared" si="337"/>
        <v>1</v>
      </c>
      <c r="BP23" s="78">
        <f t="shared" si="338"/>
        <v>1</v>
      </c>
      <c r="BQ23" s="79">
        <f t="shared" si="339"/>
        <v>1</v>
      </c>
      <c r="BR23" s="79">
        <f t="shared" si="340"/>
        <v>1</v>
      </c>
      <c r="BS23" s="80">
        <f t="shared" si="341"/>
        <v>1</v>
      </c>
      <c r="BT23" s="78">
        <f t="shared" si="342"/>
        <v>1</v>
      </c>
      <c r="BU23" s="79">
        <f t="shared" si="343"/>
        <v>1</v>
      </c>
      <c r="BV23" s="79">
        <f t="shared" si="344"/>
        <v>1</v>
      </c>
      <c r="BW23" s="80">
        <f t="shared" si="345"/>
        <v>1</v>
      </c>
      <c r="BX23" s="78">
        <f t="shared" si="346"/>
        <v>1</v>
      </c>
      <c r="BY23" s="79">
        <f t="shared" si="347"/>
        <v>1</v>
      </c>
      <c r="BZ23" s="79">
        <f t="shared" si="348"/>
        <v>1</v>
      </c>
      <c r="CA23" s="80">
        <f t="shared" si="349"/>
        <v>1</v>
      </c>
      <c r="CB23" s="78">
        <f t="shared" si="350"/>
        <v>1</v>
      </c>
      <c r="CC23" s="79">
        <f t="shared" si="351"/>
        <v>1</v>
      </c>
      <c r="CD23" s="79">
        <f t="shared" si="352"/>
        <v>1</v>
      </c>
      <c r="CE23" s="80">
        <f t="shared" si="353"/>
        <v>1</v>
      </c>
      <c r="CF23" s="78">
        <f t="shared" si="354"/>
        <v>1</v>
      </c>
      <c r="CG23" s="79">
        <f t="shared" si="355"/>
        <v>1</v>
      </c>
      <c r="CH23" s="79">
        <f t="shared" si="356"/>
        <v>1</v>
      </c>
      <c r="CI23" s="80">
        <f t="shared" si="357"/>
        <v>1</v>
      </c>
      <c r="CJ23" s="78">
        <f t="shared" si="358"/>
        <v>1</v>
      </c>
      <c r="CK23" s="79">
        <f t="shared" si="359"/>
        <v>1</v>
      </c>
      <c r="CL23" s="79">
        <f t="shared" si="360"/>
        <v>1</v>
      </c>
      <c r="CM23" s="80">
        <f t="shared" si="361"/>
        <v>1</v>
      </c>
      <c r="CN23" s="78">
        <f t="shared" si="362"/>
        <v>1</v>
      </c>
      <c r="CO23" s="79">
        <f t="shared" si="363"/>
        <v>1</v>
      </c>
      <c r="CP23" s="79">
        <f t="shared" si="364"/>
        <v>1</v>
      </c>
      <c r="CQ23" s="80">
        <f t="shared" si="365"/>
        <v>1</v>
      </c>
      <c r="CR23" s="78">
        <f t="shared" si="366"/>
        <v>1</v>
      </c>
      <c r="CS23" s="79">
        <f t="shared" si="367"/>
        <v>1</v>
      </c>
      <c r="CT23" s="79">
        <f t="shared" si="368"/>
        <v>1</v>
      </c>
      <c r="CU23" s="80">
        <f t="shared" si="369"/>
        <v>1</v>
      </c>
      <c r="CV23" s="78">
        <f t="shared" si="370"/>
        <v>1</v>
      </c>
      <c r="CW23" s="79">
        <f t="shared" si="371"/>
        <v>1</v>
      </c>
      <c r="CX23" s="79">
        <f t="shared" si="372"/>
        <v>1</v>
      </c>
      <c r="CY23" s="80">
        <f t="shared" si="373"/>
        <v>1</v>
      </c>
      <c r="CZ23" s="78">
        <f t="shared" si="374"/>
        <v>1</v>
      </c>
      <c r="DA23" s="79">
        <f t="shared" si="375"/>
        <v>1</v>
      </c>
      <c r="DB23" s="79">
        <f t="shared" si="376"/>
        <v>1</v>
      </c>
      <c r="DC23" s="80">
        <f t="shared" si="377"/>
        <v>1</v>
      </c>
      <c r="DD23" s="78">
        <f t="shared" si="378"/>
        <v>1</v>
      </c>
      <c r="DE23" s="79">
        <f t="shared" si="379"/>
        <v>1</v>
      </c>
      <c r="DF23" s="79">
        <f t="shared" si="380"/>
        <v>1</v>
      </c>
      <c r="DG23" s="80">
        <f t="shared" si="381"/>
        <v>1</v>
      </c>
      <c r="DH23" s="78">
        <f t="shared" si="382"/>
        <v>1</v>
      </c>
      <c r="DI23" s="79">
        <f t="shared" si="383"/>
        <v>1</v>
      </c>
      <c r="DJ23" s="79">
        <f t="shared" si="384"/>
        <v>1</v>
      </c>
      <c r="DK23" s="80">
        <f t="shared" si="385"/>
        <v>1</v>
      </c>
      <c r="DL23" s="78">
        <f t="shared" si="386"/>
        <v>1</v>
      </c>
      <c r="DM23" s="79">
        <f t="shared" si="387"/>
        <v>1</v>
      </c>
      <c r="DN23" s="79">
        <f t="shared" si="388"/>
        <v>1</v>
      </c>
      <c r="DO23" s="80">
        <f t="shared" si="389"/>
        <v>1</v>
      </c>
      <c r="DP23" s="78">
        <f t="shared" si="390"/>
        <v>1</v>
      </c>
      <c r="DQ23" s="79">
        <f t="shared" si="391"/>
        <v>1</v>
      </c>
      <c r="DR23" s="79">
        <f t="shared" si="392"/>
        <v>1</v>
      </c>
      <c r="DS23" s="80">
        <f t="shared" si="393"/>
        <v>1</v>
      </c>
      <c r="DT23" s="78">
        <f t="shared" si="274"/>
        <v>1</v>
      </c>
      <c r="DU23" s="79">
        <f t="shared" si="275"/>
        <v>1</v>
      </c>
      <c r="DV23" s="79">
        <f t="shared" si="276"/>
        <v>1</v>
      </c>
      <c r="DW23" s="80">
        <f t="shared" si="277"/>
        <v>1</v>
      </c>
      <c r="DX23" s="78">
        <f t="shared" si="278"/>
        <v>1</v>
      </c>
      <c r="DY23" s="79">
        <f t="shared" si="279"/>
        <v>1</v>
      </c>
      <c r="DZ23" s="79">
        <f t="shared" si="280"/>
        <v>1</v>
      </c>
      <c r="EA23" s="80">
        <f t="shared" si="281"/>
        <v>1</v>
      </c>
      <c r="EB23" s="78">
        <f t="shared" si="282"/>
        <v>1</v>
      </c>
      <c r="EC23" s="79">
        <f t="shared" si="283"/>
        <v>1</v>
      </c>
      <c r="ED23" s="79">
        <f t="shared" si="284"/>
        <v>1</v>
      </c>
      <c r="EE23" s="80">
        <f t="shared" si="285"/>
        <v>1</v>
      </c>
      <c r="EF23" s="78">
        <f t="shared" si="286"/>
        <v>1</v>
      </c>
      <c r="EG23" s="79">
        <f t="shared" si="287"/>
        <v>1</v>
      </c>
      <c r="EH23" s="79">
        <f t="shared" si="288"/>
        <v>1</v>
      </c>
      <c r="EI23" s="80">
        <f t="shared" si="289"/>
        <v>1</v>
      </c>
      <c r="EJ23" s="78">
        <f t="shared" si="290"/>
        <v>1</v>
      </c>
      <c r="EK23" s="79">
        <f t="shared" si="291"/>
        <v>1</v>
      </c>
      <c r="EL23" s="79">
        <f t="shared" si="292"/>
        <v>1</v>
      </c>
      <c r="EM23" s="80">
        <f t="shared" si="293"/>
        <v>1</v>
      </c>
      <c r="EN23" s="78">
        <f t="shared" si="294"/>
        <v>1</v>
      </c>
      <c r="EO23" s="79">
        <f t="shared" si="295"/>
        <v>1</v>
      </c>
      <c r="EP23" s="79">
        <f t="shared" si="296"/>
        <v>1</v>
      </c>
      <c r="EQ23" s="80">
        <f t="shared" si="297"/>
        <v>1</v>
      </c>
      <c r="ER23" s="78">
        <f t="shared" si="298"/>
        <v>1</v>
      </c>
      <c r="ES23" s="79">
        <f t="shared" si="299"/>
        <v>1</v>
      </c>
      <c r="ET23" s="79">
        <f t="shared" si="300"/>
        <v>1</v>
      </c>
      <c r="EU23" s="80">
        <f t="shared" si="301"/>
        <v>1</v>
      </c>
      <c r="EV23" s="81">
        <f>SUM(H23:DC23)/4</f>
        <v>19</v>
      </c>
    </row>
    <row r="24" spans="2:152" s="30" customFormat="1" ht="29.25" customHeight="1">
      <c r="B24" s="22"/>
      <c r="C24" s="93" t="str">
        <f>+schedule_ARAS!C66</f>
        <v>Finance &amp; Admin. Chief</v>
      </c>
      <c r="D24" s="94" t="str">
        <f>+schedule_ARAS!D66</f>
        <v>Adet</v>
      </c>
      <c r="E24" s="446">
        <f>+schedule_ARAS!E66</f>
        <v>1</v>
      </c>
      <c r="F24" s="25"/>
      <c r="G24" s="26"/>
      <c r="H24" s="78"/>
      <c r="I24" s="79"/>
      <c r="J24" s="79"/>
      <c r="K24" s="80"/>
      <c r="L24" s="78"/>
      <c r="M24" s="79"/>
      <c r="N24" s="79"/>
      <c r="O24" s="80"/>
      <c r="P24" s="78"/>
      <c r="Q24" s="79"/>
      <c r="R24" s="79"/>
      <c r="S24" s="80"/>
      <c r="T24" s="78"/>
      <c r="U24" s="79"/>
      <c r="V24" s="79"/>
      <c r="W24" s="80"/>
      <c r="X24" s="78"/>
      <c r="Y24" s="79"/>
      <c r="Z24" s="79"/>
      <c r="AA24" s="80"/>
      <c r="AB24" s="78"/>
      <c r="AC24" s="79"/>
      <c r="AD24" s="79"/>
      <c r="AE24" s="80"/>
      <c r="AF24" s="78">
        <f t="shared" si="302"/>
        <v>1</v>
      </c>
      <c r="AG24" s="79">
        <f t="shared" si="303"/>
        <v>1</v>
      </c>
      <c r="AH24" s="79">
        <f t="shared" si="304"/>
        <v>1</v>
      </c>
      <c r="AI24" s="80">
        <f t="shared" si="305"/>
        <v>1</v>
      </c>
      <c r="AJ24" s="78">
        <f t="shared" si="306"/>
        <v>1</v>
      </c>
      <c r="AK24" s="79">
        <f t="shared" si="307"/>
        <v>1</v>
      </c>
      <c r="AL24" s="79">
        <f t="shared" si="308"/>
        <v>1</v>
      </c>
      <c r="AM24" s="80">
        <f t="shared" si="309"/>
        <v>1</v>
      </c>
      <c r="AN24" s="78">
        <f t="shared" si="310"/>
        <v>1</v>
      </c>
      <c r="AO24" s="79">
        <f t="shared" si="311"/>
        <v>1</v>
      </c>
      <c r="AP24" s="79">
        <f t="shared" si="312"/>
        <v>1</v>
      </c>
      <c r="AQ24" s="80">
        <f t="shared" si="313"/>
        <v>1</v>
      </c>
      <c r="AR24" s="78">
        <f t="shared" si="314"/>
        <v>1</v>
      </c>
      <c r="AS24" s="79">
        <f t="shared" si="315"/>
        <v>1</v>
      </c>
      <c r="AT24" s="79">
        <f t="shared" si="316"/>
        <v>1</v>
      </c>
      <c r="AU24" s="80">
        <f t="shared" si="317"/>
        <v>1</v>
      </c>
      <c r="AV24" s="78">
        <f t="shared" si="318"/>
        <v>1</v>
      </c>
      <c r="AW24" s="79">
        <f t="shared" si="319"/>
        <v>1</v>
      </c>
      <c r="AX24" s="79">
        <f t="shared" si="320"/>
        <v>1</v>
      </c>
      <c r="AY24" s="80">
        <f t="shared" si="321"/>
        <v>1</v>
      </c>
      <c r="AZ24" s="78">
        <f t="shared" si="322"/>
        <v>1</v>
      </c>
      <c r="BA24" s="79">
        <f t="shared" si="323"/>
        <v>1</v>
      </c>
      <c r="BB24" s="79">
        <f t="shared" si="324"/>
        <v>1</v>
      </c>
      <c r="BC24" s="80">
        <f t="shared" si="325"/>
        <v>1</v>
      </c>
      <c r="BD24" s="78">
        <f t="shared" si="326"/>
        <v>1</v>
      </c>
      <c r="BE24" s="79">
        <f t="shared" si="327"/>
        <v>1</v>
      </c>
      <c r="BF24" s="79">
        <f t="shared" si="328"/>
        <v>1</v>
      </c>
      <c r="BG24" s="80">
        <f t="shared" si="329"/>
        <v>1</v>
      </c>
      <c r="BH24" s="78">
        <f t="shared" si="330"/>
        <v>1</v>
      </c>
      <c r="BI24" s="79">
        <f t="shared" si="331"/>
        <v>1</v>
      </c>
      <c r="BJ24" s="79">
        <f t="shared" si="332"/>
        <v>1</v>
      </c>
      <c r="BK24" s="80">
        <f t="shared" si="333"/>
        <v>1</v>
      </c>
      <c r="BL24" s="78">
        <f t="shared" si="334"/>
        <v>1</v>
      </c>
      <c r="BM24" s="79">
        <f t="shared" si="335"/>
        <v>1</v>
      </c>
      <c r="BN24" s="79">
        <f t="shared" si="336"/>
        <v>1</v>
      </c>
      <c r="BO24" s="80">
        <f t="shared" si="337"/>
        <v>1</v>
      </c>
      <c r="BP24" s="78">
        <f t="shared" si="338"/>
        <v>1</v>
      </c>
      <c r="BQ24" s="79">
        <f t="shared" si="339"/>
        <v>1</v>
      </c>
      <c r="BR24" s="79">
        <f t="shared" si="340"/>
        <v>1</v>
      </c>
      <c r="BS24" s="80">
        <f t="shared" si="341"/>
        <v>1</v>
      </c>
      <c r="BT24" s="78">
        <f t="shared" si="342"/>
        <v>1</v>
      </c>
      <c r="BU24" s="79">
        <f t="shared" si="343"/>
        <v>1</v>
      </c>
      <c r="BV24" s="79">
        <f t="shared" si="344"/>
        <v>1</v>
      </c>
      <c r="BW24" s="80">
        <f t="shared" si="345"/>
        <v>1</v>
      </c>
      <c r="BX24" s="78">
        <f t="shared" si="346"/>
        <v>1</v>
      </c>
      <c r="BY24" s="79">
        <f t="shared" si="347"/>
        <v>1</v>
      </c>
      <c r="BZ24" s="79">
        <f t="shared" si="348"/>
        <v>1</v>
      </c>
      <c r="CA24" s="80">
        <f t="shared" si="349"/>
        <v>1</v>
      </c>
      <c r="CB24" s="78">
        <f t="shared" si="350"/>
        <v>1</v>
      </c>
      <c r="CC24" s="79">
        <f t="shared" si="351"/>
        <v>1</v>
      </c>
      <c r="CD24" s="79">
        <f t="shared" si="352"/>
        <v>1</v>
      </c>
      <c r="CE24" s="80">
        <f t="shared" si="353"/>
        <v>1</v>
      </c>
      <c r="CF24" s="78">
        <f t="shared" si="354"/>
        <v>1</v>
      </c>
      <c r="CG24" s="79">
        <f t="shared" si="355"/>
        <v>1</v>
      </c>
      <c r="CH24" s="79">
        <f t="shared" si="356"/>
        <v>1</v>
      </c>
      <c r="CI24" s="80">
        <f t="shared" si="357"/>
        <v>1</v>
      </c>
      <c r="CJ24" s="78">
        <f t="shared" si="358"/>
        <v>1</v>
      </c>
      <c r="CK24" s="79">
        <f t="shared" si="359"/>
        <v>1</v>
      </c>
      <c r="CL24" s="79">
        <f t="shared" si="360"/>
        <v>1</v>
      </c>
      <c r="CM24" s="80">
        <f t="shared" si="361"/>
        <v>1</v>
      </c>
      <c r="CN24" s="78">
        <f t="shared" si="362"/>
        <v>1</v>
      </c>
      <c r="CO24" s="79">
        <f t="shared" si="363"/>
        <v>1</v>
      </c>
      <c r="CP24" s="79">
        <f t="shared" si="364"/>
        <v>1</v>
      </c>
      <c r="CQ24" s="80">
        <f t="shared" si="365"/>
        <v>1</v>
      </c>
      <c r="CR24" s="78">
        <f t="shared" si="366"/>
        <v>1</v>
      </c>
      <c r="CS24" s="79">
        <f t="shared" si="367"/>
        <v>1</v>
      </c>
      <c r="CT24" s="79">
        <f t="shared" si="368"/>
        <v>1</v>
      </c>
      <c r="CU24" s="80">
        <f t="shared" si="369"/>
        <v>1</v>
      </c>
      <c r="CV24" s="78">
        <f t="shared" si="370"/>
        <v>1</v>
      </c>
      <c r="CW24" s="79">
        <f t="shared" si="371"/>
        <v>1</v>
      </c>
      <c r="CX24" s="79">
        <f t="shared" si="372"/>
        <v>1</v>
      </c>
      <c r="CY24" s="80">
        <f t="shared" si="373"/>
        <v>1</v>
      </c>
      <c r="CZ24" s="78">
        <f t="shared" si="374"/>
        <v>1</v>
      </c>
      <c r="DA24" s="79">
        <f t="shared" si="375"/>
        <v>1</v>
      </c>
      <c r="DB24" s="79">
        <f t="shared" si="376"/>
        <v>1</v>
      </c>
      <c r="DC24" s="80">
        <f t="shared" si="377"/>
        <v>1</v>
      </c>
      <c r="DD24" s="78">
        <f t="shared" si="378"/>
        <v>1</v>
      </c>
      <c r="DE24" s="79">
        <f t="shared" si="379"/>
        <v>1</v>
      </c>
      <c r="DF24" s="79">
        <f t="shared" si="380"/>
        <v>1</v>
      </c>
      <c r="DG24" s="80">
        <f t="shared" si="381"/>
        <v>1</v>
      </c>
      <c r="DH24" s="78">
        <f t="shared" si="382"/>
        <v>1</v>
      </c>
      <c r="DI24" s="79">
        <f t="shared" si="383"/>
        <v>1</v>
      </c>
      <c r="DJ24" s="79">
        <f t="shared" si="384"/>
        <v>1</v>
      </c>
      <c r="DK24" s="80">
        <f t="shared" si="385"/>
        <v>1</v>
      </c>
      <c r="DL24" s="78">
        <f t="shared" si="386"/>
        <v>1</v>
      </c>
      <c r="DM24" s="79">
        <f t="shared" si="387"/>
        <v>1</v>
      </c>
      <c r="DN24" s="79">
        <f t="shared" si="388"/>
        <v>1</v>
      </c>
      <c r="DO24" s="80">
        <f t="shared" si="389"/>
        <v>1</v>
      </c>
      <c r="DP24" s="78">
        <f t="shared" si="390"/>
        <v>1</v>
      </c>
      <c r="DQ24" s="79">
        <f t="shared" si="391"/>
        <v>1</v>
      </c>
      <c r="DR24" s="79">
        <f t="shared" si="392"/>
        <v>1</v>
      </c>
      <c r="DS24" s="80">
        <f t="shared" si="393"/>
        <v>1</v>
      </c>
      <c r="DT24" s="78">
        <f t="shared" si="274"/>
        <v>1</v>
      </c>
      <c r="DU24" s="79">
        <f t="shared" si="275"/>
        <v>1</v>
      </c>
      <c r="DV24" s="79">
        <f t="shared" si="276"/>
        <v>1</v>
      </c>
      <c r="DW24" s="80">
        <f t="shared" si="277"/>
        <v>1</v>
      </c>
      <c r="DX24" s="78">
        <f t="shared" si="278"/>
        <v>1</v>
      </c>
      <c r="DY24" s="79">
        <f t="shared" si="279"/>
        <v>1</v>
      </c>
      <c r="DZ24" s="79">
        <f t="shared" si="280"/>
        <v>1</v>
      </c>
      <c r="EA24" s="80">
        <f t="shared" si="281"/>
        <v>1</v>
      </c>
      <c r="EB24" s="78">
        <f t="shared" si="282"/>
        <v>1</v>
      </c>
      <c r="EC24" s="79">
        <f t="shared" si="283"/>
        <v>1</v>
      </c>
      <c r="ED24" s="79">
        <f t="shared" si="284"/>
        <v>1</v>
      </c>
      <c r="EE24" s="80">
        <f t="shared" si="285"/>
        <v>1</v>
      </c>
      <c r="EF24" s="78">
        <f t="shared" si="286"/>
        <v>1</v>
      </c>
      <c r="EG24" s="79">
        <f t="shared" si="287"/>
        <v>1</v>
      </c>
      <c r="EH24" s="79">
        <f t="shared" si="288"/>
        <v>1</v>
      </c>
      <c r="EI24" s="80">
        <f t="shared" si="289"/>
        <v>1</v>
      </c>
      <c r="EJ24" s="78">
        <f t="shared" si="290"/>
        <v>1</v>
      </c>
      <c r="EK24" s="79">
        <f t="shared" si="291"/>
        <v>1</v>
      </c>
      <c r="EL24" s="79">
        <f t="shared" si="292"/>
        <v>1</v>
      </c>
      <c r="EM24" s="80">
        <f t="shared" si="293"/>
        <v>1</v>
      </c>
      <c r="EN24" s="78">
        <f t="shared" si="294"/>
        <v>1</v>
      </c>
      <c r="EO24" s="79">
        <f t="shared" si="295"/>
        <v>1</v>
      </c>
      <c r="EP24" s="79">
        <f t="shared" si="296"/>
        <v>1</v>
      </c>
      <c r="EQ24" s="80">
        <f t="shared" si="297"/>
        <v>1</v>
      </c>
      <c r="ER24" s="78">
        <f t="shared" si="298"/>
        <v>1</v>
      </c>
      <c r="ES24" s="79">
        <f t="shared" si="299"/>
        <v>1</v>
      </c>
      <c r="ET24" s="79">
        <f t="shared" si="300"/>
        <v>1</v>
      </c>
      <c r="EU24" s="80">
        <f t="shared" si="301"/>
        <v>1</v>
      </c>
      <c r="EV24" s="81">
        <f>SUM(H24:DC24)/4</f>
        <v>19</v>
      </c>
    </row>
    <row r="25" spans="2:152" s="30" customFormat="1" ht="29.25" customHeight="1">
      <c r="B25" s="22"/>
      <c r="C25" s="93" t="str">
        <f>+schedule_ARAS!C67</f>
        <v xml:space="preserve">Procurement </v>
      </c>
      <c r="D25" s="94" t="str">
        <f>+schedule_ARAS!D67</f>
        <v>Adet</v>
      </c>
      <c r="E25" s="446">
        <f>+schedule_ARAS!E67</f>
        <v>1</v>
      </c>
      <c r="F25" s="25"/>
      <c r="G25" s="26"/>
      <c r="H25" s="78"/>
      <c r="I25" s="79"/>
      <c r="J25" s="79"/>
      <c r="K25" s="80"/>
      <c r="L25" s="78"/>
      <c r="M25" s="79"/>
      <c r="N25" s="79"/>
      <c r="O25" s="80"/>
      <c r="P25" s="78"/>
      <c r="Q25" s="79"/>
      <c r="R25" s="79"/>
      <c r="S25" s="80"/>
      <c r="T25" s="78"/>
      <c r="U25" s="79"/>
      <c r="V25" s="79"/>
      <c r="W25" s="80"/>
      <c r="X25" s="78"/>
      <c r="Y25" s="79"/>
      <c r="Z25" s="79"/>
      <c r="AA25" s="80"/>
      <c r="AB25" s="78"/>
      <c r="AC25" s="79"/>
      <c r="AD25" s="79"/>
      <c r="AE25" s="80"/>
      <c r="AF25" s="78">
        <f t="shared" si="302"/>
        <v>1</v>
      </c>
      <c r="AG25" s="79">
        <f t="shared" si="303"/>
        <v>1</v>
      </c>
      <c r="AH25" s="79">
        <f t="shared" si="304"/>
        <v>1</v>
      </c>
      <c r="AI25" s="80">
        <f t="shared" si="305"/>
        <v>1</v>
      </c>
      <c r="AJ25" s="78">
        <f t="shared" si="306"/>
        <v>1</v>
      </c>
      <c r="AK25" s="79">
        <f t="shared" si="307"/>
        <v>1</v>
      </c>
      <c r="AL25" s="79">
        <f t="shared" si="308"/>
        <v>1</v>
      </c>
      <c r="AM25" s="80">
        <f t="shared" si="309"/>
        <v>1</v>
      </c>
      <c r="AN25" s="78">
        <f t="shared" si="310"/>
        <v>1</v>
      </c>
      <c r="AO25" s="79">
        <f t="shared" si="311"/>
        <v>1</v>
      </c>
      <c r="AP25" s="79">
        <f t="shared" si="312"/>
        <v>1</v>
      </c>
      <c r="AQ25" s="80">
        <f t="shared" si="313"/>
        <v>1</v>
      </c>
      <c r="AR25" s="78">
        <f t="shared" si="314"/>
        <v>1</v>
      </c>
      <c r="AS25" s="79">
        <f t="shared" si="315"/>
        <v>1</v>
      </c>
      <c r="AT25" s="79">
        <f t="shared" si="316"/>
        <v>1</v>
      </c>
      <c r="AU25" s="80">
        <f t="shared" si="317"/>
        <v>1</v>
      </c>
      <c r="AV25" s="78">
        <f t="shared" si="318"/>
        <v>1</v>
      </c>
      <c r="AW25" s="79">
        <f t="shared" si="319"/>
        <v>1</v>
      </c>
      <c r="AX25" s="79">
        <f t="shared" si="320"/>
        <v>1</v>
      </c>
      <c r="AY25" s="80">
        <f t="shared" si="321"/>
        <v>1</v>
      </c>
      <c r="AZ25" s="78">
        <f t="shared" si="322"/>
        <v>1</v>
      </c>
      <c r="BA25" s="79">
        <f t="shared" si="323"/>
        <v>1</v>
      </c>
      <c r="BB25" s="79">
        <f t="shared" si="324"/>
        <v>1</v>
      </c>
      <c r="BC25" s="80">
        <f t="shared" si="325"/>
        <v>1</v>
      </c>
      <c r="BD25" s="78">
        <f t="shared" si="326"/>
        <v>1</v>
      </c>
      <c r="BE25" s="79">
        <f t="shared" si="327"/>
        <v>1</v>
      </c>
      <c r="BF25" s="79">
        <f t="shared" si="328"/>
        <v>1</v>
      </c>
      <c r="BG25" s="80">
        <f t="shared" si="329"/>
        <v>1</v>
      </c>
      <c r="BH25" s="78">
        <f t="shared" si="330"/>
        <v>1</v>
      </c>
      <c r="BI25" s="79">
        <f t="shared" si="331"/>
        <v>1</v>
      </c>
      <c r="BJ25" s="79">
        <f t="shared" si="332"/>
        <v>1</v>
      </c>
      <c r="BK25" s="80">
        <f t="shared" si="333"/>
        <v>1</v>
      </c>
      <c r="BL25" s="78">
        <f t="shared" si="334"/>
        <v>1</v>
      </c>
      <c r="BM25" s="79">
        <f t="shared" si="335"/>
        <v>1</v>
      </c>
      <c r="BN25" s="79">
        <f t="shared" si="336"/>
        <v>1</v>
      </c>
      <c r="BO25" s="80">
        <f t="shared" si="337"/>
        <v>1</v>
      </c>
      <c r="BP25" s="78">
        <f t="shared" si="338"/>
        <v>1</v>
      </c>
      <c r="BQ25" s="79">
        <f t="shared" si="339"/>
        <v>1</v>
      </c>
      <c r="BR25" s="79">
        <f t="shared" si="340"/>
        <v>1</v>
      </c>
      <c r="BS25" s="80">
        <f t="shared" si="341"/>
        <v>1</v>
      </c>
      <c r="BT25" s="78">
        <f t="shared" si="342"/>
        <v>1</v>
      </c>
      <c r="BU25" s="79">
        <f t="shared" si="343"/>
        <v>1</v>
      </c>
      <c r="BV25" s="79">
        <f t="shared" si="344"/>
        <v>1</v>
      </c>
      <c r="BW25" s="80">
        <f t="shared" si="345"/>
        <v>1</v>
      </c>
      <c r="BX25" s="78">
        <f t="shared" si="346"/>
        <v>1</v>
      </c>
      <c r="BY25" s="79">
        <f t="shared" si="347"/>
        <v>1</v>
      </c>
      <c r="BZ25" s="79">
        <f t="shared" si="348"/>
        <v>1</v>
      </c>
      <c r="CA25" s="80">
        <f t="shared" si="349"/>
        <v>1</v>
      </c>
      <c r="CB25" s="78">
        <f t="shared" si="350"/>
        <v>1</v>
      </c>
      <c r="CC25" s="79">
        <f t="shared" si="351"/>
        <v>1</v>
      </c>
      <c r="CD25" s="79">
        <f t="shared" si="352"/>
        <v>1</v>
      </c>
      <c r="CE25" s="80">
        <f t="shared" si="353"/>
        <v>1</v>
      </c>
      <c r="CF25" s="78">
        <f t="shared" si="354"/>
        <v>1</v>
      </c>
      <c r="CG25" s="79">
        <f t="shared" si="355"/>
        <v>1</v>
      </c>
      <c r="CH25" s="79">
        <f t="shared" si="356"/>
        <v>1</v>
      </c>
      <c r="CI25" s="80">
        <f t="shared" si="357"/>
        <v>1</v>
      </c>
      <c r="CJ25" s="78">
        <f t="shared" si="358"/>
        <v>1</v>
      </c>
      <c r="CK25" s="79">
        <f t="shared" si="359"/>
        <v>1</v>
      </c>
      <c r="CL25" s="79">
        <f t="shared" si="360"/>
        <v>1</v>
      </c>
      <c r="CM25" s="80">
        <f t="shared" si="361"/>
        <v>1</v>
      </c>
      <c r="CN25" s="78">
        <f t="shared" si="362"/>
        <v>1</v>
      </c>
      <c r="CO25" s="79">
        <f t="shared" si="363"/>
        <v>1</v>
      </c>
      <c r="CP25" s="79">
        <f t="shared" si="364"/>
        <v>1</v>
      </c>
      <c r="CQ25" s="80">
        <f t="shared" si="365"/>
        <v>1</v>
      </c>
      <c r="CR25" s="78">
        <f t="shared" si="366"/>
        <v>1</v>
      </c>
      <c r="CS25" s="79">
        <f t="shared" si="367"/>
        <v>1</v>
      </c>
      <c r="CT25" s="79">
        <f t="shared" si="368"/>
        <v>1</v>
      </c>
      <c r="CU25" s="80">
        <f t="shared" si="369"/>
        <v>1</v>
      </c>
      <c r="CV25" s="78">
        <f t="shared" si="370"/>
        <v>1</v>
      </c>
      <c r="CW25" s="79">
        <f t="shared" si="371"/>
        <v>1</v>
      </c>
      <c r="CX25" s="79">
        <f t="shared" si="372"/>
        <v>1</v>
      </c>
      <c r="CY25" s="80">
        <f t="shared" si="373"/>
        <v>1</v>
      </c>
      <c r="CZ25" s="78">
        <f t="shared" si="374"/>
        <v>1</v>
      </c>
      <c r="DA25" s="79">
        <f t="shared" si="375"/>
        <v>1</v>
      </c>
      <c r="DB25" s="79">
        <f t="shared" si="376"/>
        <v>1</v>
      </c>
      <c r="DC25" s="80">
        <f t="shared" si="377"/>
        <v>1</v>
      </c>
      <c r="DD25" s="78">
        <f t="shared" si="378"/>
        <v>1</v>
      </c>
      <c r="DE25" s="79">
        <f t="shared" si="379"/>
        <v>1</v>
      </c>
      <c r="DF25" s="79">
        <f t="shared" si="380"/>
        <v>1</v>
      </c>
      <c r="DG25" s="80">
        <f t="shared" si="381"/>
        <v>1</v>
      </c>
      <c r="DH25" s="78">
        <f t="shared" si="382"/>
        <v>1</v>
      </c>
      <c r="DI25" s="79">
        <f t="shared" si="383"/>
        <v>1</v>
      </c>
      <c r="DJ25" s="79">
        <f t="shared" si="384"/>
        <v>1</v>
      </c>
      <c r="DK25" s="80">
        <f t="shared" si="385"/>
        <v>1</v>
      </c>
      <c r="DL25" s="78">
        <f t="shared" si="386"/>
        <v>1</v>
      </c>
      <c r="DM25" s="79">
        <f t="shared" si="387"/>
        <v>1</v>
      </c>
      <c r="DN25" s="79">
        <f t="shared" si="388"/>
        <v>1</v>
      </c>
      <c r="DO25" s="80">
        <f t="shared" si="389"/>
        <v>1</v>
      </c>
      <c r="DP25" s="78">
        <f t="shared" si="390"/>
        <v>1</v>
      </c>
      <c r="DQ25" s="79">
        <f t="shared" si="391"/>
        <v>1</v>
      </c>
      <c r="DR25" s="79">
        <f t="shared" si="392"/>
        <v>1</v>
      </c>
      <c r="DS25" s="80">
        <f t="shared" si="393"/>
        <v>1</v>
      </c>
      <c r="DT25" s="78">
        <f t="shared" si="274"/>
        <v>1</v>
      </c>
      <c r="DU25" s="79">
        <f t="shared" si="275"/>
        <v>1</v>
      </c>
      <c r="DV25" s="79">
        <f t="shared" si="276"/>
        <v>1</v>
      </c>
      <c r="DW25" s="80">
        <f t="shared" si="277"/>
        <v>1</v>
      </c>
      <c r="DX25" s="78">
        <f t="shared" si="278"/>
        <v>1</v>
      </c>
      <c r="DY25" s="79">
        <f t="shared" si="279"/>
        <v>1</v>
      </c>
      <c r="DZ25" s="79">
        <f t="shared" si="280"/>
        <v>1</v>
      </c>
      <c r="EA25" s="80">
        <f t="shared" si="281"/>
        <v>1</v>
      </c>
      <c r="EB25" s="78">
        <f t="shared" si="282"/>
        <v>1</v>
      </c>
      <c r="EC25" s="79">
        <f t="shared" si="283"/>
        <v>1</v>
      </c>
      <c r="ED25" s="79">
        <f t="shared" si="284"/>
        <v>1</v>
      </c>
      <c r="EE25" s="80">
        <f t="shared" si="285"/>
        <v>1</v>
      </c>
      <c r="EF25" s="78">
        <f t="shared" si="286"/>
        <v>1</v>
      </c>
      <c r="EG25" s="79">
        <f t="shared" si="287"/>
        <v>1</v>
      </c>
      <c r="EH25" s="79">
        <f t="shared" si="288"/>
        <v>1</v>
      </c>
      <c r="EI25" s="80">
        <f t="shared" si="289"/>
        <v>1</v>
      </c>
      <c r="EJ25" s="78">
        <f t="shared" si="290"/>
        <v>1</v>
      </c>
      <c r="EK25" s="79">
        <f t="shared" si="291"/>
        <v>1</v>
      </c>
      <c r="EL25" s="79">
        <f t="shared" si="292"/>
        <v>1</v>
      </c>
      <c r="EM25" s="80">
        <f t="shared" si="293"/>
        <v>1</v>
      </c>
      <c r="EN25" s="78">
        <f t="shared" si="294"/>
        <v>1</v>
      </c>
      <c r="EO25" s="79">
        <f t="shared" si="295"/>
        <v>1</v>
      </c>
      <c r="EP25" s="79">
        <f t="shared" si="296"/>
        <v>1</v>
      </c>
      <c r="EQ25" s="80">
        <f t="shared" si="297"/>
        <v>1</v>
      </c>
      <c r="ER25" s="78">
        <f t="shared" si="298"/>
        <v>1</v>
      </c>
      <c r="ES25" s="79">
        <f t="shared" si="299"/>
        <v>1</v>
      </c>
      <c r="ET25" s="79">
        <f t="shared" si="300"/>
        <v>1</v>
      </c>
      <c r="EU25" s="80">
        <f t="shared" si="301"/>
        <v>1</v>
      </c>
      <c r="EV25" s="81">
        <f>SUM(H25:DC25)/4</f>
        <v>19</v>
      </c>
    </row>
    <row r="26" spans="2:152" s="30" customFormat="1" ht="29.25" customHeight="1">
      <c r="B26" s="22"/>
      <c r="C26" s="93" t="str">
        <f>+schedule_ARAS!C68</f>
        <v>QHSE Manager</v>
      </c>
      <c r="D26" s="94" t="str">
        <f>+schedule_ARAS!D68</f>
        <v>Adet</v>
      </c>
      <c r="E26" s="446">
        <f>+schedule_ARAS!E68</f>
        <v>1</v>
      </c>
      <c r="F26" s="25"/>
      <c r="G26" s="26"/>
      <c r="H26" s="78"/>
      <c r="I26" s="79"/>
      <c r="J26" s="79"/>
      <c r="K26" s="80"/>
      <c r="L26" s="78"/>
      <c r="M26" s="79"/>
      <c r="N26" s="79"/>
      <c r="O26" s="80"/>
      <c r="P26" s="78"/>
      <c r="Q26" s="79"/>
      <c r="R26" s="79"/>
      <c r="S26" s="80"/>
      <c r="T26" s="78"/>
      <c r="U26" s="79"/>
      <c r="V26" s="79"/>
      <c r="W26" s="80"/>
      <c r="X26" s="78"/>
      <c r="Y26" s="79"/>
      <c r="Z26" s="79"/>
      <c r="AA26" s="80"/>
      <c r="AB26" s="78"/>
      <c r="AC26" s="79"/>
      <c r="AD26" s="79"/>
      <c r="AE26" s="80"/>
      <c r="AF26" s="78">
        <f t="shared" si="302"/>
        <v>1</v>
      </c>
      <c r="AG26" s="79">
        <f t="shared" si="303"/>
        <v>1</v>
      </c>
      <c r="AH26" s="79">
        <f t="shared" si="304"/>
        <v>1</v>
      </c>
      <c r="AI26" s="80">
        <f t="shared" si="305"/>
        <v>1</v>
      </c>
      <c r="AJ26" s="78">
        <f t="shared" si="306"/>
        <v>1</v>
      </c>
      <c r="AK26" s="79">
        <f t="shared" si="307"/>
        <v>1</v>
      </c>
      <c r="AL26" s="79">
        <f t="shared" si="308"/>
        <v>1</v>
      </c>
      <c r="AM26" s="80">
        <f t="shared" si="309"/>
        <v>1</v>
      </c>
      <c r="AN26" s="78">
        <f t="shared" si="310"/>
        <v>1</v>
      </c>
      <c r="AO26" s="79">
        <f t="shared" si="311"/>
        <v>1</v>
      </c>
      <c r="AP26" s="79">
        <f t="shared" si="312"/>
        <v>1</v>
      </c>
      <c r="AQ26" s="80">
        <f t="shared" si="313"/>
        <v>1</v>
      </c>
      <c r="AR26" s="78">
        <f t="shared" si="314"/>
        <v>1</v>
      </c>
      <c r="AS26" s="79">
        <f t="shared" si="315"/>
        <v>1</v>
      </c>
      <c r="AT26" s="79">
        <f t="shared" si="316"/>
        <v>1</v>
      </c>
      <c r="AU26" s="80">
        <f t="shared" si="317"/>
        <v>1</v>
      </c>
      <c r="AV26" s="78">
        <f t="shared" si="318"/>
        <v>1</v>
      </c>
      <c r="AW26" s="79">
        <f t="shared" si="319"/>
        <v>1</v>
      </c>
      <c r="AX26" s="79">
        <f t="shared" si="320"/>
        <v>1</v>
      </c>
      <c r="AY26" s="80">
        <f t="shared" si="321"/>
        <v>1</v>
      </c>
      <c r="AZ26" s="78">
        <f t="shared" si="322"/>
        <v>1</v>
      </c>
      <c r="BA26" s="79">
        <f t="shared" si="323"/>
        <v>1</v>
      </c>
      <c r="BB26" s="79">
        <f t="shared" si="324"/>
        <v>1</v>
      </c>
      <c r="BC26" s="80">
        <f t="shared" si="325"/>
        <v>1</v>
      </c>
      <c r="BD26" s="78">
        <f t="shared" si="326"/>
        <v>1</v>
      </c>
      <c r="BE26" s="79">
        <f t="shared" si="327"/>
        <v>1</v>
      </c>
      <c r="BF26" s="79">
        <f t="shared" si="328"/>
        <v>1</v>
      </c>
      <c r="BG26" s="80">
        <f t="shared" si="329"/>
        <v>1</v>
      </c>
      <c r="BH26" s="78">
        <f t="shared" si="330"/>
        <v>1</v>
      </c>
      <c r="BI26" s="79">
        <f t="shared" si="331"/>
        <v>1</v>
      </c>
      <c r="BJ26" s="79">
        <f t="shared" si="332"/>
        <v>1</v>
      </c>
      <c r="BK26" s="80">
        <f t="shared" si="333"/>
        <v>1</v>
      </c>
      <c r="BL26" s="78">
        <f t="shared" si="334"/>
        <v>1</v>
      </c>
      <c r="BM26" s="79">
        <f t="shared" si="335"/>
        <v>1</v>
      </c>
      <c r="BN26" s="79">
        <f t="shared" si="336"/>
        <v>1</v>
      </c>
      <c r="BO26" s="80">
        <f t="shared" si="337"/>
        <v>1</v>
      </c>
      <c r="BP26" s="78">
        <f t="shared" si="338"/>
        <v>1</v>
      </c>
      <c r="BQ26" s="79">
        <f t="shared" si="339"/>
        <v>1</v>
      </c>
      <c r="BR26" s="79">
        <f t="shared" si="340"/>
        <v>1</v>
      </c>
      <c r="BS26" s="80">
        <f t="shared" si="341"/>
        <v>1</v>
      </c>
      <c r="BT26" s="78">
        <f t="shared" si="342"/>
        <v>1</v>
      </c>
      <c r="BU26" s="79">
        <f t="shared" si="343"/>
        <v>1</v>
      </c>
      <c r="BV26" s="79">
        <f t="shared" si="344"/>
        <v>1</v>
      </c>
      <c r="BW26" s="80">
        <f t="shared" si="345"/>
        <v>1</v>
      </c>
      <c r="BX26" s="78">
        <f t="shared" si="346"/>
        <v>1</v>
      </c>
      <c r="BY26" s="79">
        <f t="shared" si="347"/>
        <v>1</v>
      </c>
      <c r="BZ26" s="79">
        <f t="shared" si="348"/>
        <v>1</v>
      </c>
      <c r="CA26" s="80">
        <f t="shared" si="349"/>
        <v>1</v>
      </c>
      <c r="CB26" s="78">
        <f t="shared" si="350"/>
        <v>1</v>
      </c>
      <c r="CC26" s="79">
        <f t="shared" si="351"/>
        <v>1</v>
      </c>
      <c r="CD26" s="79">
        <f t="shared" si="352"/>
        <v>1</v>
      </c>
      <c r="CE26" s="80">
        <f t="shared" si="353"/>
        <v>1</v>
      </c>
      <c r="CF26" s="78">
        <f t="shared" si="354"/>
        <v>1</v>
      </c>
      <c r="CG26" s="79">
        <f t="shared" si="355"/>
        <v>1</v>
      </c>
      <c r="CH26" s="79">
        <f t="shared" si="356"/>
        <v>1</v>
      </c>
      <c r="CI26" s="80">
        <f t="shared" si="357"/>
        <v>1</v>
      </c>
      <c r="CJ26" s="78">
        <f t="shared" si="358"/>
        <v>1</v>
      </c>
      <c r="CK26" s="79">
        <f t="shared" si="359"/>
        <v>1</v>
      </c>
      <c r="CL26" s="79">
        <f t="shared" si="360"/>
        <v>1</v>
      </c>
      <c r="CM26" s="80">
        <f t="shared" si="361"/>
        <v>1</v>
      </c>
      <c r="CN26" s="78">
        <f t="shared" si="362"/>
        <v>1</v>
      </c>
      <c r="CO26" s="79">
        <f t="shared" si="363"/>
        <v>1</v>
      </c>
      <c r="CP26" s="79">
        <f t="shared" si="364"/>
        <v>1</v>
      </c>
      <c r="CQ26" s="80">
        <f t="shared" si="365"/>
        <v>1</v>
      </c>
      <c r="CR26" s="78">
        <f t="shared" si="366"/>
        <v>1</v>
      </c>
      <c r="CS26" s="79">
        <f t="shared" si="367"/>
        <v>1</v>
      </c>
      <c r="CT26" s="79">
        <f t="shared" si="368"/>
        <v>1</v>
      </c>
      <c r="CU26" s="80">
        <f t="shared" si="369"/>
        <v>1</v>
      </c>
      <c r="CV26" s="78">
        <f t="shared" si="370"/>
        <v>1</v>
      </c>
      <c r="CW26" s="79">
        <f t="shared" si="371"/>
        <v>1</v>
      </c>
      <c r="CX26" s="79">
        <f t="shared" si="372"/>
        <v>1</v>
      </c>
      <c r="CY26" s="80">
        <f t="shared" si="373"/>
        <v>1</v>
      </c>
      <c r="CZ26" s="78">
        <f t="shared" si="374"/>
        <v>1</v>
      </c>
      <c r="DA26" s="79">
        <f t="shared" si="375"/>
        <v>1</v>
      </c>
      <c r="DB26" s="79">
        <f t="shared" si="376"/>
        <v>1</v>
      </c>
      <c r="DC26" s="80">
        <f t="shared" si="377"/>
        <v>1</v>
      </c>
      <c r="DD26" s="78">
        <f t="shared" si="378"/>
        <v>1</v>
      </c>
      <c r="DE26" s="79">
        <f t="shared" si="379"/>
        <v>1</v>
      </c>
      <c r="DF26" s="79">
        <f t="shared" si="380"/>
        <v>1</v>
      </c>
      <c r="DG26" s="80">
        <f t="shared" si="381"/>
        <v>1</v>
      </c>
      <c r="DH26" s="78">
        <f t="shared" si="382"/>
        <v>1</v>
      </c>
      <c r="DI26" s="79">
        <f t="shared" si="383"/>
        <v>1</v>
      </c>
      <c r="DJ26" s="79">
        <f t="shared" si="384"/>
        <v>1</v>
      </c>
      <c r="DK26" s="80">
        <f t="shared" si="385"/>
        <v>1</v>
      </c>
      <c r="DL26" s="78">
        <f t="shared" si="386"/>
        <v>1</v>
      </c>
      <c r="DM26" s="79">
        <f t="shared" si="387"/>
        <v>1</v>
      </c>
      <c r="DN26" s="79">
        <f t="shared" si="388"/>
        <v>1</v>
      </c>
      <c r="DO26" s="80">
        <f t="shared" si="389"/>
        <v>1</v>
      </c>
      <c r="DP26" s="78">
        <f t="shared" si="390"/>
        <v>1</v>
      </c>
      <c r="DQ26" s="79">
        <f t="shared" si="391"/>
        <v>1</v>
      </c>
      <c r="DR26" s="79">
        <f t="shared" si="392"/>
        <v>1</v>
      </c>
      <c r="DS26" s="80">
        <f t="shared" si="393"/>
        <v>1</v>
      </c>
      <c r="DT26" s="78">
        <f t="shared" si="274"/>
        <v>1</v>
      </c>
      <c r="DU26" s="79">
        <f t="shared" si="275"/>
        <v>1</v>
      </c>
      <c r="DV26" s="79">
        <f t="shared" si="276"/>
        <v>1</v>
      </c>
      <c r="DW26" s="80">
        <f t="shared" si="277"/>
        <v>1</v>
      </c>
      <c r="DX26" s="78">
        <f t="shared" si="278"/>
        <v>1</v>
      </c>
      <c r="DY26" s="79">
        <f t="shared" si="279"/>
        <v>1</v>
      </c>
      <c r="DZ26" s="79">
        <f t="shared" si="280"/>
        <v>1</v>
      </c>
      <c r="EA26" s="80">
        <f t="shared" si="281"/>
        <v>1</v>
      </c>
      <c r="EB26" s="78">
        <f t="shared" si="282"/>
        <v>1</v>
      </c>
      <c r="EC26" s="79">
        <f t="shared" si="283"/>
        <v>1</v>
      </c>
      <c r="ED26" s="79">
        <f t="shared" si="284"/>
        <v>1</v>
      </c>
      <c r="EE26" s="80">
        <f t="shared" si="285"/>
        <v>1</v>
      </c>
      <c r="EF26" s="78">
        <f t="shared" si="286"/>
        <v>1</v>
      </c>
      <c r="EG26" s="79">
        <f t="shared" si="287"/>
        <v>1</v>
      </c>
      <c r="EH26" s="79">
        <f t="shared" si="288"/>
        <v>1</v>
      </c>
      <c r="EI26" s="80">
        <f t="shared" si="289"/>
        <v>1</v>
      </c>
      <c r="EJ26" s="78">
        <f t="shared" si="290"/>
        <v>1</v>
      </c>
      <c r="EK26" s="79">
        <f t="shared" si="291"/>
        <v>1</v>
      </c>
      <c r="EL26" s="79">
        <f t="shared" si="292"/>
        <v>1</v>
      </c>
      <c r="EM26" s="80">
        <f t="shared" si="293"/>
        <v>1</v>
      </c>
      <c r="EN26" s="78">
        <f t="shared" si="294"/>
        <v>1</v>
      </c>
      <c r="EO26" s="79">
        <f t="shared" si="295"/>
        <v>1</v>
      </c>
      <c r="EP26" s="79">
        <f t="shared" si="296"/>
        <v>1</v>
      </c>
      <c r="EQ26" s="80">
        <f t="shared" si="297"/>
        <v>1</v>
      </c>
      <c r="ER26" s="78">
        <f t="shared" si="298"/>
        <v>1</v>
      </c>
      <c r="ES26" s="79">
        <f t="shared" si="299"/>
        <v>1</v>
      </c>
      <c r="ET26" s="79">
        <f t="shared" si="300"/>
        <v>1</v>
      </c>
      <c r="EU26" s="80">
        <f t="shared" si="301"/>
        <v>1</v>
      </c>
      <c r="EV26" s="81">
        <f>SUM(H26:DC26)/4</f>
        <v>19</v>
      </c>
    </row>
    <row r="27" spans="2:152" s="30" customFormat="1" ht="29.25" customHeight="1">
      <c r="B27" s="22"/>
      <c r="C27" s="93" t="str">
        <f>+schedule_ARAS!C69</f>
        <v>Driver</v>
      </c>
      <c r="D27" s="94" t="str">
        <f>+schedule_ARAS!D69</f>
        <v>Adet</v>
      </c>
      <c r="E27" s="446">
        <f>+schedule_ARAS!E69</f>
        <v>6</v>
      </c>
      <c r="F27" s="25"/>
      <c r="G27" s="26"/>
      <c r="H27" s="78"/>
      <c r="I27" s="79"/>
      <c r="J27" s="79"/>
      <c r="K27" s="80"/>
      <c r="L27" s="78"/>
      <c r="M27" s="79"/>
      <c r="N27" s="79"/>
      <c r="O27" s="80"/>
      <c r="P27" s="78"/>
      <c r="Q27" s="79"/>
      <c r="R27" s="79"/>
      <c r="S27" s="80"/>
      <c r="T27" s="78"/>
      <c r="U27" s="79"/>
      <c r="V27" s="79"/>
      <c r="W27" s="80"/>
      <c r="X27" s="78"/>
      <c r="Y27" s="79"/>
      <c r="Z27" s="79"/>
      <c r="AA27" s="80"/>
      <c r="AB27" s="78"/>
      <c r="AC27" s="79"/>
      <c r="AD27" s="79"/>
      <c r="AE27" s="80"/>
      <c r="AF27" s="78">
        <f t="shared" si="302"/>
        <v>6</v>
      </c>
      <c r="AG27" s="79">
        <f t="shared" si="303"/>
        <v>6</v>
      </c>
      <c r="AH27" s="79">
        <f t="shared" si="304"/>
        <v>6</v>
      </c>
      <c r="AI27" s="80">
        <f t="shared" si="305"/>
        <v>6</v>
      </c>
      <c r="AJ27" s="78">
        <f t="shared" si="306"/>
        <v>6</v>
      </c>
      <c r="AK27" s="79">
        <f t="shared" si="307"/>
        <v>6</v>
      </c>
      <c r="AL27" s="79">
        <f t="shared" si="308"/>
        <v>6</v>
      </c>
      <c r="AM27" s="80">
        <f t="shared" si="309"/>
        <v>6</v>
      </c>
      <c r="AN27" s="78">
        <f t="shared" si="310"/>
        <v>6</v>
      </c>
      <c r="AO27" s="79">
        <f t="shared" si="311"/>
        <v>6</v>
      </c>
      <c r="AP27" s="79">
        <f t="shared" si="312"/>
        <v>6</v>
      </c>
      <c r="AQ27" s="80">
        <f t="shared" si="313"/>
        <v>6</v>
      </c>
      <c r="AR27" s="78">
        <f t="shared" si="314"/>
        <v>6</v>
      </c>
      <c r="AS27" s="79">
        <f t="shared" si="315"/>
        <v>6</v>
      </c>
      <c r="AT27" s="79">
        <f t="shared" si="316"/>
        <v>6</v>
      </c>
      <c r="AU27" s="80">
        <f t="shared" si="317"/>
        <v>6</v>
      </c>
      <c r="AV27" s="78">
        <f t="shared" si="318"/>
        <v>6</v>
      </c>
      <c r="AW27" s="79">
        <f t="shared" si="319"/>
        <v>6</v>
      </c>
      <c r="AX27" s="79">
        <f t="shared" si="320"/>
        <v>6</v>
      </c>
      <c r="AY27" s="80">
        <f t="shared" si="321"/>
        <v>6</v>
      </c>
      <c r="AZ27" s="78">
        <f t="shared" si="322"/>
        <v>6</v>
      </c>
      <c r="BA27" s="79">
        <f t="shared" si="323"/>
        <v>6</v>
      </c>
      <c r="BB27" s="79">
        <f t="shared" si="324"/>
        <v>6</v>
      </c>
      <c r="BC27" s="80">
        <f t="shared" si="325"/>
        <v>6</v>
      </c>
      <c r="BD27" s="78">
        <f t="shared" si="326"/>
        <v>6</v>
      </c>
      <c r="BE27" s="79">
        <f t="shared" si="327"/>
        <v>6</v>
      </c>
      <c r="BF27" s="79">
        <f t="shared" si="328"/>
        <v>6</v>
      </c>
      <c r="BG27" s="80">
        <f t="shared" si="329"/>
        <v>6</v>
      </c>
      <c r="BH27" s="78">
        <f t="shared" si="330"/>
        <v>6</v>
      </c>
      <c r="BI27" s="79">
        <f t="shared" si="331"/>
        <v>6</v>
      </c>
      <c r="BJ27" s="79">
        <f t="shared" si="332"/>
        <v>6</v>
      </c>
      <c r="BK27" s="80">
        <f t="shared" si="333"/>
        <v>6</v>
      </c>
      <c r="BL27" s="78">
        <f t="shared" si="334"/>
        <v>6</v>
      </c>
      <c r="BM27" s="79">
        <f t="shared" si="335"/>
        <v>6</v>
      </c>
      <c r="BN27" s="79">
        <f t="shared" si="336"/>
        <v>6</v>
      </c>
      <c r="BO27" s="80">
        <f t="shared" si="337"/>
        <v>6</v>
      </c>
      <c r="BP27" s="78">
        <f t="shared" si="338"/>
        <v>6</v>
      </c>
      <c r="BQ27" s="79">
        <f t="shared" si="339"/>
        <v>6</v>
      </c>
      <c r="BR27" s="79">
        <f t="shared" si="340"/>
        <v>6</v>
      </c>
      <c r="BS27" s="80">
        <f t="shared" si="341"/>
        <v>6</v>
      </c>
      <c r="BT27" s="78">
        <f t="shared" si="342"/>
        <v>6</v>
      </c>
      <c r="BU27" s="79">
        <f t="shared" si="343"/>
        <v>6</v>
      </c>
      <c r="BV27" s="79">
        <f t="shared" si="344"/>
        <v>6</v>
      </c>
      <c r="BW27" s="80">
        <f t="shared" si="345"/>
        <v>6</v>
      </c>
      <c r="BX27" s="78">
        <f t="shared" si="346"/>
        <v>6</v>
      </c>
      <c r="BY27" s="79">
        <f t="shared" si="347"/>
        <v>6</v>
      </c>
      <c r="BZ27" s="79">
        <f t="shared" si="348"/>
        <v>6</v>
      </c>
      <c r="CA27" s="80">
        <f t="shared" si="349"/>
        <v>6</v>
      </c>
      <c r="CB27" s="78">
        <f t="shared" si="350"/>
        <v>6</v>
      </c>
      <c r="CC27" s="79">
        <f t="shared" si="351"/>
        <v>6</v>
      </c>
      <c r="CD27" s="79">
        <f t="shared" si="352"/>
        <v>6</v>
      </c>
      <c r="CE27" s="80">
        <f t="shared" si="353"/>
        <v>6</v>
      </c>
      <c r="CF27" s="78">
        <f t="shared" si="354"/>
        <v>6</v>
      </c>
      <c r="CG27" s="79">
        <f t="shared" si="355"/>
        <v>6</v>
      </c>
      <c r="CH27" s="79">
        <f t="shared" si="356"/>
        <v>6</v>
      </c>
      <c r="CI27" s="80">
        <f t="shared" si="357"/>
        <v>6</v>
      </c>
      <c r="CJ27" s="78">
        <f t="shared" si="358"/>
        <v>6</v>
      </c>
      <c r="CK27" s="79">
        <f t="shared" si="359"/>
        <v>6</v>
      </c>
      <c r="CL27" s="79">
        <f t="shared" si="360"/>
        <v>6</v>
      </c>
      <c r="CM27" s="80">
        <f t="shared" si="361"/>
        <v>6</v>
      </c>
      <c r="CN27" s="78">
        <f t="shared" si="362"/>
        <v>6</v>
      </c>
      <c r="CO27" s="79">
        <f t="shared" si="363"/>
        <v>6</v>
      </c>
      <c r="CP27" s="79">
        <f t="shared" si="364"/>
        <v>6</v>
      </c>
      <c r="CQ27" s="80">
        <f t="shared" si="365"/>
        <v>6</v>
      </c>
      <c r="CR27" s="78">
        <f t="shared" si="366"/>
        <v>6</v>
      </c>
      <c r="CS27" s="79">
        <f t="shared" si="367"/>
        <v>6</v>
      </c>
      <c r="CT27" s="79">
        <f t="shared" si="368"/>
        <v>6</v>
      </c>
      <c r="CU27" s="80">
        <f t="shared" si="369"/>
        <v>6</v>
      </c>
      <c r="CV27" s="78">
        <f t="shared" si="370"/>
        <v>6</v>
      </c>
      <c r="CW27" s="79">
        <f t="shared" si="371"/>
        <v>6</v>
      </c>
      <c r="CX27" s="79">
        <f t="shared" si="372"/>
        <v>6</v>
      </c>
      <c r="CY27" s="80">
        <f t="shared" si="373"/>
        <v>6</v>
      </c>
      <c r="CZ27" s="78">
        <f t="shared" si="374"/>
        <v>6</v>
      </c>
      <c r="DA27" s="79">
        <f t="shared" si="375"/>
        <v>6</v>
      </c>
      <c r="DB27" s="79">
        <f t="shared" si="376"/>
        <v>6</v>
      </c>
      <c r="DC27" s="80">
        <f t="shared" si="377"/>
        <v>6</v>
      </c>
      <c r="DD27" s="78">
        <f t="shared" si="378"/>
        <v>6</v>
      </c>
      <c r="DE27" s="79">
        <f t="shared" si="379"/>
        <v>6</v>
      </c>
      <c r="DF27" s="79">
        <f t="shared" si="380"/>
        <v>6</v>
      </c>
      <c r="DG27" s="80">
        <f t="shared" si="381"/>
        <v>6</v>
      </c>
      <c r="DH27" s="78">
        <f t="shared" si="382"/>
        <v>6</v>
      </c>
      <c r="DI27" s="79">
        <f t="shared" si="383"/>
        <v>6</v>
      </c>
      <c r="DJ27" s="79">
        <f t="shared" si="384"/>
        <v>6</v>
      </c>
      <c r="DK27" s="80">
        <f t="shared" si="385"/>
        <v>6</v>
      </c>
      <c r="DL27" s="78">
        <f t="shared" si="386"/>
        <v>6</v>
      </c>
      <c r="DM27" s="79">
        <f t="shared" si="387"/>
        <v>6</v>
      </c>
      <c r="DN27" s="79">
        <f t="shared" si="388"/>
        <v>6</v>
      </c>
      <c r="DO27" s="80">
        <f t="shared" si="389"/>
        <v>6</v>
      </c>
      <c r="DP27" s="78">
        <f t="shared" si="390"/>
        <v>6</v>
      </c>
      <c r="DQ27" s="79">
        <f t="shared" si="391"/>
        <v>6</v>
      </c>
      <c r="DR27" s="79">
        <f t="shared" si="392"/>
        <v>6</v>
      </c>
      <c r="DS27" s="80">
        <f t="shared" si="393"/>
        <v>6</v>
      </c>
      <c r="DT27" s="78">
        <f t="shared" si="274"/>
        <v>6</v>
      </c>
      <c r="DU27" s="79">
        <f t="shared" si="275"/>
        <v>6</v>
      </c>
      <c r="DV27" s="79">
        <f t="shared" si="276"/>
        <v>6</v>
      </c>
      <c r="DW27" s="80">
        <f t="shared" si="277"/>
        <v>6</v>
      </c>
      <c r="DX27" s="78">
        <f t="shared" si="278"/>
        <v>6</v>
      </c>
      <c r="DY27" s="79">
        <f t="shared" si="279"/>
        <v>6</v>
      </c>
      <c r="DZ27" s="79">
        <f t="shared" si="280"/>
        <v>6</v>
      </c>
      <c r="EA27" s="80">
        <f t="shared" si="281"/>
        <v>6</v>
      </c>
      <c r="EB27" s="78">
        <f t="shared" si="282"/>
        <v>6</v>
      </c>
      <c r="EC27" s="79">
        <f t="shared" si="283"/>
        <v>6</v>
      </c>
      <c r="ED27" s="79">
        <f t="shared" si="284"/>
        <v>6</v>
      </c>
      <c r="EE27" s="80">
        <f t="shared" si="285"/>
        <v>6</v>
      </c>
      <c r="EF27" s="78">
        <f t="shared" si="286"/>
        <v>6</v>
      </c>
      <c r="EG27" s="79">
        <f t="shared" si="287"/>
        <v>6</v>
      </c>
      <c r="EH27" s="79">
        <f t="shared" si="288"/>
        <v>6</v>
      </c>
      <c r="EI27" s="80">
        <f t="shared" si="289"/>
        <v>6</v>
      </c>
      <c r="EJ27" s="78">
        <f t="shared" si="290"/>
        <v>6</v>
      </c>
      <c r="EK27" s="79">
        <f t="shared" si="291"/>
        <v>6</v>
      </c>
      <c r="EL27" s="79">
        <f t="shared" si="292"/>
        <v>6</v>
      </c>
      <c r="EM27" s="80">
        <f t="shared" si="293"/>
        <v>6</v>
      </c>
      <c r="EN27" s="78">
        <f t="shared" si="294"/>
        <v>6</v>
      </c>
      <c r="EO27" s="79">
        <f t="shared" si="295"/>
        <v>6</v>
      </c>
      <c r="EP27" s="79">
        <f t="shared" si="296"/>
        <v>6</v>
      </c>
      <c r="EQ27" s="80">
        <f t="shared" si="297"/>
        <v>6</v>
      </c>
      <c r="ER27" s="78">
        <f t="shared" si="298"/>
        <v>6</v>
      </c>
      <c r="ES27" s="79">
        <f t="shared" si="299"/>
        <v>6</v>
      </c>
      <c r="ET27" s="79">
        <f t="shared" si="300"/>
        <v>6</v>
      </c>
      <c r="EU27" s="80">
        <f t="shared" si="301"/>
        <v>6</v>
      </c>
      <c r="EV27" s="81">
        <f>SUM(H27:DC27)/4</f>
        <v>114</v>
      </c>
    </row>
    <row r="28" spans="2:152" s="30" customFormat="1" ht="29.25" customHeight="1">
      <c r="B28" s="22"/>
      <c r="C28" s="93" t="str">
        <f>+schedule_ARAS!C70</f>
        <v>Unskilled Labor (Office Boy, cleaner, tea-man etc.)</v>
      </c>
      <c r="D28" s="94" t="str">
        <f>+schedule_ARAS!D70</f>
        <v>Adet</v>
      </c>
      <c r="E28" s="446">
        <f>+schedule_ARAS!E70</f>
        <v>2</v>
      </c>
      <c r="F28" s="25"/>
      <c r="G28" s="26"/>
      <c r="H28" s="78"/>
      <c r="I28" s="79"/>
      <c r="J28" s="79"/>
      <c r="K28" s="80"/>
      <c r="L28" s="78"/>
      <c r="M28" s="79"/>
      <c r="N28" s="79"/>
      <c r="O28" s="80"/>
      <c r="P28" s="78"/>
      <c r="Q28" s="79"/>
      <c r="R28" s="79"/>
      <c r="S28" s="80"/>
      <c r="T28" s="78"/>
      <c r="U28" s="79"/>
      <c r="V28" s="79"/>
      <c r="W28" s="80"/>
      <c r="X28" s="78"/>
      <c r="Y28" s="79"/>
      <c r="Z28" s="79"/>
      <c r="AA28" s="80"/>
      <c r="AB28" s="78"/>
      <c r="AC28" s="79"/>
      <c r="AD28" s="79"/>
      <c r="AE28" s="80"/>
      <c r="AF28" s="78">
        <f>+E28</f>
        <v>2</v>
      </c>
      <c r="AG28" s="79">
        <f>+E28</f>
        <v>2</v>
      </c>
      <c r="AH28" s="79">
        <f>+E28</f>
        <v>2</v>
      </c>
      <c r="AI28" s="80">
        <f>+E28</f>
        <v>2</v>
      </c>
      <c r="AJ28" s="78">
        <f>+E28</f>
        <v>2</v>
      </c>
      <c r="AK28" s="79">
        <f>+E28</f>
        <v>2</v>
      </c>
      <c r="AL28" s="79">
        <f>+E28</f>
        <v>2</v>
      </c>
      <c r="AM28" s="80">
        <f>+E28</f>
        <v>2</v>
      </c>
      <c r="AN28" s="78">
        <f>+E28</f>
        <v>2</v>
      </c>
      <c r="AO28" s="79">
        <f>+E28</f>
        <v>2</v>
      </c>
      <c r="AP28" s="79">
        <f>+E28</f>
        <v>2</v>
      </c>
      <c r="AQ28" s="80">
        <f>+E28</f>
        <v>2</v>
      </c>
      <c r="AR28" s="78">
        <f t="shared" si="314"/>
        <v>2</v>
      </c>
      <c r="AS28" s="79">
        <f t="shared" si="315"/>
        <v>2</v>
      </c>
      <c r="AT28" s="79">
        <f t="shared" si="316"/>
        <v>2</v>
      </c>
      <c r="AU28" s="80">
        <f t="shared" si="317"/>
        <v>2</v>
      </c>
      <c r="AV28" s="78">
        <f t="shared" si="318"/>
        <v>2</v>
      </c>
      <c r="AW28" s="79">
        <f t="shared" si="319"/>
        <v>2</v>
      </c>
      <c r="AX28" s="79">
        <f t="shared" si="320"/>
        <v>2</v>
      </c>
      <c r="AY28" s="80">
        <f t="shared" si="321"/>
        <v>2</v>
      </c>
      <c r="AZ28" s="78">
        <f t="shared" si="322"/>
        <v>2</v>
      </c>
      <c r="BA28" s="79">
        <f t="shared" si="323"/>
        <v>2</v>
      </c>
      <c r="BB28" s="79">
        <f t="shared" si="324"/>
        <v>2</v>
      </c>
      <c r="BC28" s="80">
        <f t="shared" si="325"/>
        <v>2</v>
      </c>
      <c r="BD28" s="78">
        <f t="shared" si="326"/>
        <v>2</v>
      </c>
      <c r="BE28" s="79">
        <f t="shared" si="327"/>
        <v>2</v>
      </c>
      <c r="BF28" s="79">
        <f t="shared" si="328"/>
        <v>2</v>
      </c>
      <c r="BG28" s="80">
        <f t="shared" si="329"/>
        <v>2</v>
      </c>
      <c r="BH28" s="78">
        <f>+E28</f>
        <v>2</v>
      </c>
      <c r="BI28" s="79">
        <f>+E28</f>
        <v>2</v>
      </c>
      <c r="BJ28" s="79">
        <f>+E28</f>
        <v>2</v>
      </c>
      <c r="BK28" s="80">
        <f>+E28</f>
        <v>2</v>
      </c>
      <c r="BL28" s="78">
        <f>+E28</f>
        <v>2</v>
      </c>
      <c r="BM28" s="79">
        <f>+E28</f>
        <v>2</v>
      </c>
      <c r="BN28" s="79">
        <f>+E28</f>
        <v>2</v>
      </c>
      <c r="BO28" s="80">
        <f>+E28</f>
        <v>2</v>
      </c>
      <c r="BP28" s="78">
        <f>+E28</f>
        <v>2</v>
      </c>
      <c r="BQ28" s="79">
        <f>+E28</f>
        <v>2</v>
      </c>
      <c r="BR28" s="79">
        <f>+E28</f>
        <v>2</v>
      </c>
      <c r="BS28" s="80">
        <f>+E28</f>
        <v>2</v>
      </c>
      <c r="BT28" s="78">
        <f t="shared" si="342"/>
        <v>2</v>
      </c>
      <c r="BU28" s="79">
        <f t="shared" si="343"/>
        <v>2</v>
      </c>
      <c r="BV28" s="79">
        <f t="shared" si="344"/>
        <v>2</v>
      </c>
      <c r="BW28" s="80">
        <f t="shared" si="345"/>
        <v>2</v>
      </c>
      <c r="BX28" s="78">
        <f t="shared" si="346"/>
        <v>2</v>
      </c>
      <c r="BY28" s="79">
        <f t="shared" si="347"/>
        <v>2</v>
      </c>
      <c r="BZ28" s="79">
        <f t="shared" si="348"/>
        <v>2</v>
      </c>
      <c r="CA28" s="80">
        <f t="shared" si="349"/>
        <v>2</v>
      </c>
      <c r="CB28" s="78">
        <f t="shared" si="350"/>
        <v>2</v>
      </c>
      <c r="CC28" s="79">
        <f t="shared" si="351"/>
        <v>2</v>
      </c>
      <c r="CD28" s="79">
        <f t="shared" si="352"/>
        <v>2</v>
      </c>
      <c r="CE28" s="80">
        <f t="shared" si="353"/>
        <v>2</v>
      </c>
      <c r="CF28" s="78">
        <f t="shared" si="354"/>
        <v>2</v>
      </c>
      <c r="CG28" s="79">
        <f t="shared" si="355"/>
        <v>2</v>
      </c>
      <c r="CH28" s="79">
        <f t="shared" si="356"/>
        <v>2</v>
      </c>
      <c r="CI28" s="80">
        <f t="shared" si="357"/>
        <v>2</v>
      </c>
      <c r="CJ28" s="78">
        <f t="shared" si="358"/>
        <v>2</v>
      </c>
      <c r="CK28" s="79">
        <f t="shared" si="359"/>
        <v>2</v>
      </c>
      <c r="CL28" s="79">
        <f t="shared" si="360"/>
        <v>2</v>
      </c>
      <c r="CM28" s="80">
        <f t="shared" si="361"/>
        <v>2</v>
      </c>
      <c r="CN28" s="78">
        <f t="shared" si="362"/>
        <v>2</v>
      </c>
      <c r="CO28" s="79">
        <f t="shared" si="363"/>
        <v>2</v>
      </c>
      <c r="CP28" s="79">
        <f t="shared" si="364"/>
        <v>2</v>
      </c>
      <c r="CQ28" s="80">
        <f t="shared" si="365"/>
        <v>2</v>
      </c>
      <c r="CR28" s="78">
        <f t="shared" si="366"/>
        <v>2</v>
      </c>
      <c r="CS28" s="79">
        <f t="shared" si="367"/>
        <v>2</v>
      </c>
      <c r="CT28" s="79">
        <f t="shared" si="368"/>
        <v>2</v>
      </c>
      <c r="CU28" s="80">
        <f t="shared" si="369"/>
        <v>2</v>
      </c>
      <c r="CV28" s="78">
        <f t="shared" si="370"/>
        <v>2</v>
      </c>
      <c r="CW28" s="79">
        <f t="shared" si="371"/>
        <v>2</v>
      </c>
      <c r="CX28" s="79">
        <f t="shared" si="372"/>
        <v>2</v>
      </c>
      <c r="CY28" s="80">
        <f t="shared" si="373"/>
        <v>2</v>
      </c>
      <c r="CZ28" s="78">
        <f>+BY28</f>
        <v>2</v>
      </c>
      <c r="DA28" s="79">
        <f>+BY28</f>
        <v>2</v>
      </c>
      <c r="DB28" s="79">
        <f>+BY28</f>
        <v>2</v>
      </c>
      <c r="DC28" s="80">
        <f>+BY28</f>
        <v>2</v>
      </c>
      <c r="DD28" s="78">
        <f>+BY28</f>
        <v>2</v>
      </c>
      <c r="DE28" s="79">
        <f>+BY28</f>
        <v>2</v>
      </c>
      <c r="DF28" s="79">
        <f>+BY28</f>
        <v>2</v>
      </c>
      <c r="DG28" s="80">
        <f>+BY28</f>
        <v>2</v>
      </c>
      <c r="DH28" s="78">
        <f>+BY28</f>
        <v>2</v>
      </c>
      <c r="DI28" s="79">
        <f>+BY28</f>
        <v>2</v>
      </c>
      <c r="DJ28" s="79">
        <f>+BY28</f>
        <v>2</v>
      </c>
      <c r="DK28" s="80">
        <f>+BY28</f>
        <v>2</v>
      </c>
      <c r="DL28" s="78">
        <f t="shared" si="386"/>
        <v>2</v>
      </c>
      <c r="DM28" s="79">
        <f t="shared" si="387"/>
        <v>2</v>
      </c>
      <c r="DN28" s="79">
        <f t="shared" si="388"/>
        <v>2</v>
      </c>
      <c r="DO28" s="80">
        <f t="shared" si="389"/>
        <v>2</v>
      </c>
      <c r="DP28" s="78">
        <f t="shared" si="390"/>
        <v>2</v>
      </c>
      <c r="DQ28" s="79">
        <f t="shared" si="391"/>
        <v>2</v>
      </c>
      <c r="DR28" s="79">
        <f t="shared" si="392"/>
        <v>2</v>
      </c>
      <c r="DS28" s="80">
        <f t="shared" si="393"/>
        <v>2</v>
      </c>
      <c r="DT28" s="78">
        <f t="shared" si="274"/>
        <v>2</v>
      </c>
      <c r="DU28" s="79">
        <f t="shared" si="275"/>
        <v>2</v>
      </c>
      <c r="DV28" s="79">
        <f t="shared" si="276"/>
        <v>2</v>
      </c>
      <c r="DW28" s="80">
        <f t="shared" si="277"/>
        <v>2</v>
      </c>
      <c r="DX28" s="78">
        <f t="shared" si="278"/>
        <v>2</v>
      </c>
      <c r="DY28" s="79">
        <f t="shared" si="279"/>
        <v>2</v>
      </c>
      <c r="DZ28" s="79">
        <f t="shared" si="280"/>
        <v>2</v>
      </c>
      <c r="EA28" s="80">
        <f t="shared" si="281"/>
        <v>2</v>
      </c>
      <c r="EB28" s="78">
        <f>+BY28</f>
        <v>2</v>
      </c>
      <c r="EC28" s="79">
        <f>+BY28</f>
        <v>2</v>
      </c>
      <c r="ED28" s="79">
        <f>+BY28</f>
        <v>2</v>
      </c>
      <c r="EE28" s="80">
        <f>+BY28</f>
        <v>2</v>
      </c>
      <c r="EF28" s="78">
        <f>+BY28</f>
        <v>2</v>
      </c>
      <c r="EG28" s="79">
        <f>+BY28</f>
        <v>2</v>
      </c>
      <c r="EH28" s="79">
        <f>+BY28</f>
        <v>2</v>
      </c>
      <c r="EI28" s="80">
        <f>+BY28</f>
        <v>2</v>
      </c>
      <c r="EJ28" s="78">
        <f>+BY28</f>
        <v>2</v>
      </c>
      <c r="EK28" s="79">
        <f>+BY28</f>
        <v>2</v>
      </c>
      <c r="EL28" s="79">
        <f>+BY28</f>
        <v>2</v>
      </c>
      <c r="EM28" s="80">
        <f>+BY28</f>
        <v>2</v>
      </c>
      <c r="EN28" s="78">
        <f t="shared" si="294"/>
        <v>2</v>
      </c>
      <c r="EO28" s="79">
        <f t="shared" si="295"/>
        <v>2</v>
      </c>
      <c r="EP28" s="79">
        <f t="shared" si="296"/>
        <v>2</v>
      </c>
      <c r="EQ28" s="80">
        <f t="shared" si="297"/>
        <v>2</v>
      </c>
      <c r="ER28" s="78">
        <f t="shared" si="298"/>
        <v>2</v>
      </c>
      <c r="ES28" s="79">
        <f t="shared" si="299"/>
        <v>2</v>
      </c>
      <c r="ET28" s="79">
        <f t="shared" si="300"/>
        <v>2</v>
      </c>
      <c r="EU28" s="80">
        <f t="shared" si="301"/>
        <v>2</v>
      </c>
      <c r="EV28" s="81">
        <f>SUM(H28:DC28)/4</f>
        <v>38</v>
      </c>
    </row>
    <row r="29" spans="2:152" s="30" customFormat="1" ht="29.25" customHeight="1">
      <c r="B29" s="22"/>
      <c r="C29" s="93" t="str">
        <f>+schedule_ARAS!C71</f>
        <v>Workshop Staff</v>
      </c>
      <c r="D29" s="94" t="str">
        <f>+schedule_ARAS!D71</f>
        <v>Adet</v>
      </c>
      <c r="E29" s="446">
        <f>+schedule_ARAS!E71</f>
        <v>4</v>
      </c>
      <c r="F29" s="25"/>
      <c r="G29" s="26"/>
      <c r="H29" s="78"/>
      <c r="I29" s="79"/>
      <c r="J29" s="79"/>
      <c r="K29" s="80"/>
      <c r="L29" s="78"/>
      <c r="M29" s="79"/>
      <c r="N29" s="79"/>
      <c r="O29" s="80"/>
      <c r="P29" s="78"/>
      <c r="Q29" s="79"/>
      <c r="R29" s="79"/>
      <c r="S29" s="80"/>
      <c r="T29" s="78"/>
      <c r="U29" s="79"/>
      <c r="V29" s="79"/>
      <c r="W29" s="80"/>
      <c r="X29" s="78"/>
      <c r="Y29" s="79"/>
      <c r="Z29" s="79"/>
      <c r="AA29" s="80"/>
      <c r="AB29" s="78"/>
      <c r="AC29" s="79"/>
      <c r="AD29" s="79"/>
      <c r="AE29" s="80"/>
      <c r="AF29" s="78">
        <f t="shared" si="302"/>
        <v>4</v>
      </c>
      <c r="AG29" s="79">
        <f t="shared" si="303"/>
        <v>4</v>
      </c>
      <c r="AH29" s="79">
        <f t="shared" si="304"/>
        <v>4</v>
      </c>
      <c r="AI29" s="80">
        <f t="shared" si="305"/>
        <v>4</v>
      </c>
      <c r="AJ29" s="78">
        <f t="shared" si="306"/>
        <v>4</v>
      </c>
      <c r="AK29" s="79">
        <f t="shared" si="307"/>
        <v>4</v>
      </c>
      <c r="AL29" s="79">
        <f t="shared" si="308"/>
        <v>4</v>
      </c>
      <c r="AM29" s="80">
        <f t="shared" si="309"/>
        <v>4</v>
      </c>
      <c r="AN29" s="78">
        <f t="shared" si="310"/>
        <v>4</v>
      </c>
      <c r="AO29" s="79">
        <f t="shared" si="311"/>
        <v>4</v>
      </c>
      <c r="AP29" s="79">
        <f t="shared" si="312"/>
        <v>4</v>
      </c>
      <c r="AQ29" s="80">
        <f t="shared" si="313"/>
        <v>4</v>
      </c>
      <c r="AR29" s="78">
        <f t="shared" si="314"/>
        <v>4</v>
      </c>
      <c r="AS29" s="79">
        <f t="shared" si="315"/>
        <v>4</v>
      </c>
      <c r="AT29" s="79">
        <f t="shared" si="316"/>
        <v>4</v>
      </c>
      <c r="AU29" s="80">
        <f t="shared" si="317"/>
        <v>4</v>
      </c>
      <c r="AV29" s="78">
        <f t="shared" si="318"/>
        <v>4</v>
      </c>
      <c r="AW29" s="79">
        <f t="shared" si="319"/>
        <v>4</v>
      </c>
      <c r="AX29" s="79">
        <f t="shared" si="320"/>
        <v>4</v>
      </c>
      <c r="AY29" s="80">
        <f t="shared" si="321"/>
        <v>4</v>
      </c>
      <c r="AZ29" s="78">
        <f t="shared" si="322"/>
        <v>4</v>
      </c>
      <c r="BA29" s="79">
        <f t="shared" si="323"/>
        <v>4</v>
      </c>
      <c r="BB29" s="79">
        <f t="shared" si="324"/>
        <v>4</v>
      </c>
      <c r="BC29" s="80">
        <f t="shared" si="325"/>
        <v>4</v>
      </c>
      <c r="BD29" s="78">
        <f t="shared" si="326"/>
        <v>4</v>
      </c>
      <c r="BE29" s="79">
        <f t="shared" si="327"/>
        <v>4</v>
      </c>
      <c r="BF29" s="79">
        <f t="shared" si="328"/>
        <v>4</v>
      </c>
      <c r="BG29" s="80">
        <f t="shared" si="329"/>
        <v>4</v>
      </c>
      <c r="BH29" s="78">
        <f t="shared" si="330"/>
        <v>4</v>
      </c>
      <c r="BI29" s="79">
        <f t="shared" si="331"/>
        <v>4</v>
      </c>
      <c r="BJ29" s="79">
        <f t="shared" si="332"/>
        <v>4</v>
      </c>
      <c r="BK29" s="80">
        <f t="shared" si="333"/>
        <v>4</v>
      </c>
      <c r="BL29" s="78">
        <f t="shared" si="334"/>
        <v>4</v>
      </c>
      <c r="BM29" s="79">
        <f t="shared" si="335"/>
        <v>4</v>
      </c>
      <c r="BN29" s="79">
        <f t="shared" si="336"/>
        <v>4</v>
      </c>
      <c r="BO29" s="80">
        <f t="shared" si="337"/>
        <v>4</v>
      </c>
      <c r="BP29" s="78">
        <f t="shared" si="338"/>
        <v>4</v>
      </c>
      <c r="BQ29" s="79">
        <f t="shared" si="339"/>
        <v>4</v>
      </c>
      <c r="BR29" s="79">
        <f t="shared" si="340"/>
        <v>4</v>
      </c>
      <c r="BS29" s="80">
        <f t="shared" si="341"/>
        <v>4</v>
      </c>
      <c r="BT29" s="78">
        <f t="shared" si="342"/>
        <v>4</v>
      </c>
      <c r="BU29" s="79">
        <f t="shared" si="343"/>
        <v>4</v>
      </c>
      <c r="BV29" s="79">
        <f t="shared" si="344"/>
        <v>4</v>
      </c>
      <c r="BW29" s="80">
        <f t="shared" si="345"/>
        <v>4</v>
      </c>
      <c r="BX29" s="78">
        <f t="shared" si="346"/>
        <v>4</v>
      </c>
      <c r="BY29" s="79">
        <f t="shared" si="347"/>
        <v>4</v>
      </c>
      <c r="BZ29" s="79">
        <f t="shared" si="348"/>
        <v>4</v>
      </c>
      <c r="CA29" s="80">
        <f t="shared" si="349"/>
        <v>4</v>
      </c>
      <c r="CB29" s="78">
        <f t="shared" si="350"/>
        <v>4</v>
      </c>
      <c r="CC29" s="79">
        <f t="shared" si="351"/>
        <v>4</v>
      </c>
      <c r="CD29" s="79">
        <f t="shared" si="352"/>
        <v>4</v>
      </c>
      <c r="CE29" s="80">
        <f t="shared" si="353"/>
        <v>4</v>
      </c>
      <c r="CF29" s="78">
        <f t="shared" si="354"/>
        <v>4</v>
      </c>
      <c r="CG29" s="79">
        <f t="shared" si="355"/>
        <v>4</v>
      </c>
      <c r="CH29" s="79">
        <f t="shared" si="356"/>
        <v>4</v>
      </c>
      <c r="CI29" s="80">
        <f t="shared" si="357"/>
        <v>4</v>
      </c>
      <c r="CJ29" s="78">
        <f t="shared" si="358"/>
        <v>4</v>
      </c>
      <c r="CK29" s="79">
        <f t="shared" si="359"/>
        <v>4</v>
      </c>
      <c r="CL29" s="79">
        <f t="shared" si="360"/>
        <v>4</v>
      </c>
      <c r="CM29" s="80">
        <f t="shared" si="361"/>
        <v>4</v>
      </c>
      <c r="CN29" s="78">
        <f t="shared" si="362"/>
        <v>4</v>
      </c>
      <c r="CO29" s="79">
        <f t="shared" si="363"/>
        <v>4</v>
      </c>
      <c r="CP29" s="79">
        <f t="shared" si="364"/>
        <v>4</v>
      </c>
      <c r="CQ29" s="80">
        <f t="shared" si="365"/>
        <v>4</v>
      </c>
      <c r="CR29" s="78">
        <f t="shared" si="366"/>
        <v>4</v>
      </c>
      <c r="CS29" s="79">
        <f t="shared" si="367"/>
        <v>4</v>
      </c>
      <c r="CT29" s="79">
        <f t="shared" si="368"/>
        <v>4</v>
      </c>
      <c r="CU29" s="80">
        <f t="shared" si="369"/>
        <v>4</v>
      </c>
      <c r="CV29" s="78">
        <f t="shared" si="370"/>
        <v>4</v>
      </c>
      <c r="CW29" s="79">
        <f t="shared" si="371"/>
        <v>4</v>
      </c>
      <c r="CX29" s="79">
        <f t="shared" si="372"/>
        <v>4</v>
      </c>
      <c r="CY29" s="80">
        <f t="shared" si="373"/>
        <v>4</v>
      </c>
      <c r="CZ29" s="78">
        <f t="shared" ref="CZ29:CZ31" si="394">+BY29</f>
        <v>4</v>
      </c>
      <c r="DA29" s="79">
        <f t="shared" ref="DA29:DA31" si="395">+BY29</f>
        <v>4</v>
      </c>
      <c r="DB29" s="79">
        <f t="shared" ref="DB29:DB31" si="396">+BY29</f>
        <v>4</v>
      </c>
      <c r="DC29" s="80">
        <f t="shared" ref="DC29:DC31" si="397">+BY29</f>
        <v>4</v>
      </c>
      <c r="DD29" s="78">
        <f t="shared" ref="DD29:DD31" si="398">+BY29</f>
        <v>4</v>
      </c>
      <c r="DE29" s="79">
        <f t="shared" ref="DE29:DE31" si="399">+BY29</f>
        <v>4</v>
      </c>
      <c r="DF29" s="79">
        <f t="shared" ref="DF29:DF31" si="400">+BY29</f>
        <v>4</v>
      </c>
      <c r="DG29" s="80">
        <f t="shared" ref="DG29:DG31" si="401">+BY29</f>
        <v>4</v>
      </c>
      <c r="DH29" s="78">
        <f t="shared" ref="DH29:DH31" si="402">+BY29</f>
        <v>4</v>
      </c>
      <c r="DI29" s="79">
        <f t="shared" ref="DI29:DI31" si="403">+BY29</f>
        <v>4</v>
      </c>
      <c r="DJ29" s="79">
        <f t="shared" ref="DJ29:DJ31" si="404">+BY29</f>
        <v>4</v>
      </c>
      <c r="DK29" s="80">
        <f t="shared" ref="DK29:DK31" si="405">+BY29</f>
        <v>4</v>
      </c>
      <c r="DL29" s="78">
        <f t="shared" si="386"/>
        <v>4</v>
      </c>
      <c r="DM29" s="79">
        <f t="shared" si="387"/>
        <v>4</v>
      </c>
      <c r="DN29" s="79">
        <f t="shared" si="388"/>
        <v>4</v>
      </c>
      <c r="DO29" s="80">
        <f t="shared" si="389"/>
        <v>4</v>
      </c>
      <c r="DP29" s="78">
        <f t="shared" si="390"/>
        <v>4</v>
      </c>
      <c r="DQ29" s="79">
        <f t="shared" si="391"/>
        <v>4</v>
      </c>
      <c r="DR29" s="79">
        <f t="shared" si="392"/>
        <v>4</v>
      </c>
      <c r="DS29" s="80">
        <f t="shared" si="393"/>
        <v>4</v>
      </c>
      <c r="DT29" s="78">
        <f t="shared" si="274"/>
        <v>4</v>
      </c>
      <c r="DU29" s="79">
        <f t="shared" si="275"/>
        <v>4</v>
      </c>
      <c r="DV29" s="79">
        <f t="shared" si="276"/>
        <v>4</v>
      </c>
      <c r="DW29" s="80">
        <f t="shared" si="277"/>
        <v>4</v>
      </c>
      <c r="DX29" s="78">
        <f t="shared" si="278"/>
        <v>4</v>
      </c>
      <c r="DY29" s="79">
        <f t="shared" si="279"/>
        <v>4</v>
      </c>
      <c r="DZ29" s="79">
        <f t="shared" si="280"/>
        <v>4</v>
      </c>
      <c r="EA29" s="80">
        <f t="shared" si="281"/>
        <v>4</v>
      </c>
      <c r="EB29" s="78">
        <f t="shared" ref="EB29:EB31" si="406">+DI29</f>
        <v>4</v>
      </c>
      <c r="EC29" s="79">
        <f t="shared" ref="EC29:EC31" si="407">+DI29</f>
        <v>4</v>
      </c>
      <c r="ED29" s="79">
        <f t="shared" ref="ED29:ED31" si="408">+DI29</f>
        <v>4</v>
      </c>
      <c r="EE29" s="80">
        <f t="shared" ref="EE29:EE31" si="409">+DI29</f>
        <v>4</v>
      </c>
      <c r="EF29" s="78">
        <f t="shared" ref="EF29:EF31" si="410">+DM29</f>
        <v>4</v>
      </c>
      <c r="EG29" s="79">
        <f t="shared" ref="EG29:EG31" si="411">+DM29</f>
        <v>4</v>
      </c>
      <c r="EH29" s="79">
        <f t="shared" ref="EH29:EH31" si="412">+DM29</f>
        <v>4</v>
      </c>
      <c r="EI29" s="80">
        <f t="shared" ref="EI29:EI31" si="413">+DM29</f>
        <v>4</v>
      </c>
      <c r="EJ29" s="78">
        <f t="shared" ref="EJ29:EJ31" si="414">+DQ29</f>
        <v>4</v>
      </c>
      <c r="EK29" s="79">
        <f t="shared" ref="EK29:EK31" si="415">+DQ29</f>
        <v>4</v>
      </c>
      <c r="EL29" s="79">
        <f t="shared" ref="EL29:EL31" si="416">+DQ29</f>
        <v>4</v>
      </c>
      <c r="EM29" s="80">
        <f t="shared" ref="EM29:EM31" si="417">+DQ29</f>
        <v>4</v>
      </c>
      <c r="EN29" s="78">
        <f t="shared" si="294"/>
        <v>4</v>
      </c>
      <c r="EO29" s="79">
        <f t="shared" si="295"/>
        <v>4</v>
      </c>
      <c r="EP29" s="79">
        <f t="shared" si="296"/>
        <v>4</v>
      </c>
      <c r="EQ29" s="80">
        <f t="shared" si="297"/>
        <v>4</v>
      </c>
      <c r="ER29" s="78">
        <f t="shared" si="298"/>
        <v>4</v>
      </c>
      <c r="ES29" s="79">
        <f t="shared" si="299"/>
        <v>4</v>
      </c>
      <c r="ET29" s="79">
        <f t="shared" si="300"/>
        <v>4</v>
      </c>
      <c r="EU29" s="80">
        <f t="shared" si="301"/>
        <v>4</v>
      </c>
      <c r="EV29" s="81">
        <f>SUM(H29:DC29)/4</f>
        <v>76</v>
      </c>
    </row>
    <row r="30" spans="2:152" s="30" customFormat="1" ht="29.25" customHeight="1">
      <c r="B30" s="22"/>
      <c r="C30" s="93" t="str">
        <f>+schedule_ARAS!C72</f>
        <v>Technical Office Engineer</v>
      </c>
      <c r="D30" s="94" t="str">
        <f>+schedule_ARAS!D72</f>
        <v>Adet</v>
      </c>
      <c r="E30" s="446">
        <f>+schedule_ARAS!E72</f>
        <v>1</v>
      </c>
      <c r="F30" s="25"/>
      <c r="G30" s="26"/>
      <c r="H30" s="78"/>
      <c r="I30" s="79"/>
      <c r="J30" s="79"/>
      <c r="K30" s="80"/>
      <c r="L30" s="78"/>
      <c r="M30" s="79"/>
      <c r="N30" s="79"/>
      <c r="O30" s="80"/>
      <c r="P30" s="78"/>
      <c r="Q30" s="79"/>
      <c r="R30" s="79"/>
      <c r="S30" s="80"/>
      <c r="T30" s="78"/>
      <c r="U30" s="79"/>
      <c r="V30" s="79"/>
      <c r="W30" s="80"/>
      <c r="X30" s="78"/>
      <c r="Y30" s="79"/>
      <c r="Z30" s="79"/>
      <c r="AA30" s="80"/>
      <c r="AB30" s="78"/>
      <c r="AC30" s="79"/>
      <c r="AD30" s="79"/>
      <c r="AE30" s="80"/>
      <c r="AF30" s="78">
        <f t="shared" si="302"/>
        <v>1</v>
      </c>
      <c r="AG30" s="79">
        <f t="shared" si="303"/>
        <v>1</v>
      </c>
      <c r="AH30" s="79">
        <f t="shared" si="304"/>
        <v>1</v>
      </c>
      <c r="AI30" s="80">
        <f t="shared" si="305"/>
        <v>1</v>
      </c>
      <c r="AJ30" s="78">
        <f t="shared" si="306"/>
        <v>1</v>
      </c>
      <c r="AK30" s="79">
        <f t="shared" si="307"/>
        <v>1</v>
      </c>
      <c r="AL30" s="79">
        <f t="shared" si="308"/>
        <v>1</v>
      </c>
      <c r="AM30" s="80">
        <f t="shared" si="309"/>
        <v>1</v>
      </c>
      <c r="AN30" s="78">
        <f t="shared" si="310"/>
        <v>1</v>
      </c>
      <c r="AO30" s="79">
        <f t="shared" si="311"/>
        <v>1</v>
      </c>
      <c r="AP30" s="79">
        <f t="shared" si="312"/>
        <v>1</v>
      </c>
      <c r="AQ30" s="80">
        <f t="shared" si="313"/>
        <v>1</v>
      </c>
      <c r="AR30" s="78">
        <f t="shared" si="314"/>
        <v>1</v>
      </c>
      <c r="AS30" s="79">
        <f t="shared" si="315"/>
        <v>1</v>
      </c>
      <c r="AT30" s="79">
        <f t="shared" si="316"/>
        <v>1</v>
      </c>
      <c r="AU30" s="80">
        <f t="shared" si="317"/>
        <v>1</v>
      </c>
      <c r="AV30" s="78">
        <f t="shared" si="318"/>
        <v>1</v>
      </c>
      <c r="AW30" s="79">
        <f t="shared" si="319"/>
        <v>1</v>
      </c>
      <c r="AX30" s="79">
        <f t="shared" si="320"/>
        <v>1</v>
      </c>
      <c r="AY30" s="80">
        <f t="shared" si="321"/>
        <v>1</v>
      </c>
      <c r="AZ30" s="78">
        <f t="shared" si="322"/>
        <v>1</v>
      </c>
      <c r="BA30" s="79">
        <f t="shared" si="323"/>
        <v>1</v>
      </c>
      <c r="BB30" s="79">
        <f t="shared" si="324"/>
        <v>1</v>
      </c>
      <c r="BC30" s="80">
        <f t="shared" si="325"/>
        <v>1</v>
      </c>
      <c r="BD30" s="78">
        <f t="shared" si="326"/>
        <v>1</v>
      </c>
      <c r="BE30" s="79">
        <f t="shared" si="327"/>
        <v>1</v>
      </c>
      <c r="BF30" s="79">
        <f t="shared" si="328"/>
        <v>1</v>
      </c>
      <c r="BG30" s="80">
        <f t="shared" si="329"/>
        <v>1</v>
      </c>
      <c r="BH30" s="78">
        <f t="shared" si="330"/>
        <v>1</v>
      </c>
      <c r="BI30" s="79">
        <f t="shared" si="331"/>
        <v>1</v>
      </c>
      <c r="BJ30" s="79">
        <f t="shared" si="332"/>
        <v>1</v>
      </c>
      <c r="BK30" s="80">
        <f t="shared" si="333"/>
        <v>1</v>
      </c>
      <c r="BL30" s="78">
        <f t="shared" si="334"/>
        <v>1</v>
      </c>
      <c r="BM30" s="79">
        <f t="shared" si="335"/>
        <v>1</v>
      </c>
      <c r="BN30" s="79">
        <f t="shared" si="336"/>
        <v>1</v>
      </c>
      <c r="BO30" s="80">
        <f t="shared" si="337"/>
        <v>1</v>
      </c>
      <c r="BP30" s="78">
        <f t="shared" si="338"/>
        <v>1</v>
      </c>
      <c r="BQ30" s="79">
        <f t="shared" si="339"/>
        <v>1</v>
      </c>
      <c r="BR30" s="79">
        <f t="shared" si="340"/>
        <v>1</v>
      </c>
      <c r="BS30" s="80">
        <f t="shared" si="341"/>
        <v>1</v>
      </c>
      <c r="BT30" s="78">
        <f t="shared" si="342"/>
        <v>1</v>
      </c>
      <c r="BU30" s="79">
        <f t="shared" si="343"/>
        <v>1</v>
      </c>
      <c r="BV30" s="79">
        <f t="shared" si="344"/>
        <v>1</v>
      </c>
      <c r="BW30" s="80">
        <f t="shared" si="345"/>
        <v>1</v>
      </c>
      <c r="BX30" s="78">
        <f t="shared" si="346"/>
        <v>1</v>
      </c>
      <c r="BY30" s="79">
        <f t="shared" si="347"/>
        <v>1</v>
      </c>
      <c r="BZ30" s="79">
        <f t="shared" si="348"/>
        <v>1</v>
      </c>
      <c r="CA30" s="80">
        <f t="shared" si="349"/>
        <v>1</v>
      </c>
      <c r="CB30" s="78">
        <f t="shared" si="350"/>
        <v>1</v>
      </c>
      <c r="CC30" s="79">
        <f t="shared" si="351"/>
        <v>1</v>
      </c>
      <c r="CD30" s="79">
        <f t="shared" si="352"/>
        <v>1</v>
      </c>
      <c r="CE30" s="80">
        <f t="shared" si="353"/>
        <v>1</v>
      </c>
      <c r="CF30" s="78">
        <f t="shared" si="354"/>
        <v>1</v>
      </c>
      <c r="CG30" s="79">
        <f t="shared" si="355"/>
        <v>1</v>
      </c>
      <c r="CH30" s="79">
        <f t="shared" si="356"/>
        <v>1</v>
      </c>
      <c r="CI30" s="80">
        <f t="shared" si="357"/>
        <v>1</v>
      </c>
      <c r="CJ30" s="78">
        <f t="shared" si="358"/>
        <v>1</v>
      </c>
      <c r="CK30" s="79">
        <f t="shared" si="359"/>
        <v>1</v>
      </c>
      <c r="CL30" s="79">
        <f t="shared" si="360"/>
        <v>1</v>
      </c>
      <c r="CM30" s="80">
        <f t="shared" si="361"/>
        <v>1</v>
      </c>
      <c r="CN30" s="78">
        <f t="shared" si="362"/>
        <v>1</v>
      </c>
      <c r="CO30" s="79">
        <f t="shared" si="363"/>
        <v>1</v>
      </c>
      <c r="CP30" s="79">
        <f t="shared" si="364"/>
        <v>1</v>
      </c>
      <c r="CQ30" s="80">
        <f t="shared" si="365"/>
        <v>1</v>
      </c>
      <c r="CR30" s="78">
        <f t="shared" si="366"/>
        <v>1</v>
      </c>
      <c r="CS30" s="79">
        <f t="shared" si="367"/>
        <v>1</v>
      </c>
      <c r="CT30" s="79">
        <f t="shared" si="368"/>
        <v>1</v>
      </c>
      <c r="CU30" s="80">
        <f t="shared" si="369"/>
        <v>1</v>
      </c>
      <c r="CV30" s="78">
        <f t="shared" si="370"/>
        <v>1</v>
      </c>
      <c r="CW30" s="79">
        <f t="shared" si="371"/>
        <v>1</v>
      </c>
      <c r="CX30" s="79">
        <f t="shared" si="372"/>
        <v>1</v>
      </c>
      <c r="CY30" s="80">
        <f t="shared" si="373"/>
        <v>1</v>
      </c>
      <c r="CZ30" s="78">
        <f t="shared" si="394"/>
        <v>1</v>
      </c>
      <c r="DA30" s="79">
        <f t="shared" si="395"/>
        <v>1</v>
      </c>
      <c r="DB30" s="79">
        <f t="shared" si="396"/>
        <v>1</v>
      </c>
      <c r="DC30" s="80">
        <f t="shared" si="397"/>
        <v>1</v>
      </c>
      <c r="DD30" s="78">
        <f t="shared" si="398"/>
        <v>1</v>
      </c>
      <c r="DE30" s="79">
        <f t="shared" si="399"/>
        <v>1</v>
      </c>
      <c r="DF30" s="79">
        <f t="shared" si="400"/>
        <v>1</v>
      </c>
      <c r="DG30" s="80">
        <f t="shared" si="401"/>
        <v>1</v>
      </c>
      <c r="DH30" s="78">
        <f t="shared" si="402"/>
        <v>1</v>
      </c>
      <c r="DI30" s="79">
        <f t="shared" si="403"/>
        <v>1</v>
      </c>
      <c r="DJ30" s="79">
        <f t="shared" si="404"/>
        <v>1</v>
      </c>
      <c r="DK30" s="80">
        <f t="shared" si="405"/>
        <v>1</v>
      </c>
      <c r="DL30" s="78">
        <f t="shared" si="386"/>
        <v>1</v>
      </c>
      <c r="DM30" s="79">
        <f t="shared" si="387"/>
        <v>1</v>
      </c>
      <c r="DN30" s="79">
        <f t="shared" si="388"/>
        <v>1</v>
      </c>
      <c r="DO30" s="80">
        <f t="shared" si="389"/>
        <v>1</v>
      </c>
      <c r="DP30" s="78">
        <f t="shared" si="390"/>
        <v>1</v>
      </c>
      <c r="DQ30" s="79">
        <f t="shared" si="391"/>
        <v>1</v>
      </c>
      <c r="DR30" s="79">
        <f t="shared" si="392"/>
        <v>1</v>
      </c>
      <c r="DS30" s="80">
        <f t="shared" si="393"/>
        <v>1</v>
      </c>
      <c r="DT30" s="78">
        <f t="shared" si="274"/>
        <v>1</v>
      </c>
      <c r="DU30" s="79">
        <f t="shared" si="275"/>
        <v>1</v>
      </c>
      <c r="DV30" s="79">
        <f t="shared" si="276"/>
        <v>1</v>
      </c>
      <c r="DW30" s="80">
        <f t="shared" si="277"/>
        <v>1</v>
      </c>
      <c r="DX30" s="78">
        <f t="shared" si="278"/>
        <v>1</v>
      </c>
      <c r="DY30" s="79">
        <f t="shared" si="279"/>
        <v>1</v>
      </c>
      <c r="DZ30" s="79">
        <f t="shared" si="280"/>
        <v>1</v>
      </c>
      <c r="EA30" s="80">
        <f t="shared" si="281"/>
        <v>1</v>
      </c>
      <c r="EB30" s="78">
        <f t="shared" si="406"/>
        <v>1</v>
      </c>
      <c r="EC30" s="79">
        <f t="shared" si="407"/>
        <v>1</v>
      </c>
      <c r="ED30" s="79">
        <f t="shared" si="408"/>
        <v>1</v>
      </c>
      <c r="EE30" s="80">
        <f t="shared" si="409"/>
        <v>1</v>
      </c>
      <c r="EF30" s="78">
        <f t="shared" si="410"/>
        <v>1</v>
      </c>
      <c r="EG30" s="79">
        <f t="shared" si="411"/>
        <v>1</v>
      </c>
      <c r="EH30" s="79">
        <f t="shared" si="412"/>
        <v>1</v>
      </c>
      <c r="EI30" s="80">
        <f t="shared" si="413"/>
        <v>1</v>
      </c>
      <c r="EJ30" s="78">
        <f t="shared" si="414"/>
        <v>1</v>
      </c>
      <c r="EK30" s="79">
        <f t="shared" si="415"/>
        <v>1</v>
      </c>
      <c r="EL30" s="79">
        <f t="shared" si="416"/>
        <v>1</v>
      </c>
      <c r="EM30" s="80">
        <f t="shared" si="417"/>
        <v>1</v>
      </c>
      <c r="EN30" s="78">
        <f t="shared" si="294"/>
        <v>1</v>
      </c>
      <c r="EO30" s="79">
        <f t="shared" si="295"/>
        <v>1</v>
      </c>
      <c r="EP30" s="79">
        <f t="shared" si="296"/>
        <v>1</v>
      </c>
      <c r="EQ30" s="80">
        <f t="shared" si="297"/>
        <v>1</v>
      </c>
      <c r="ER30" s="78">
        <f t="shared" si="298"/>
        <v>1</v>
      </c>
      <c r="ES30" s="79">
        <f t="shared" si="299"/>
        <v>1</v>
      </c>
      <c r="ET30" s="79">
        <f t="shared" si="300"/>
        <v>1</v>
      </c>
      <c r="EU30" s="80">
        <f t="shared" si="301"/>
        <v>1</v>
      </c>
      <c r="EV30" s="81">
        <f>SUM(H30:DC30)/4</f>
        <v>19</v>
      </c>
    </row>
    <row r="31" spans="2:152" s="30" customFormat="1" ht="29.25" customHeight="1">
      <c r="B31" s="22"/>
      <c r="C31" s="93" t="str">
        <f>+schedule_ARAS!C73</f>
        <v>Vardiya Amiri</v>
      </c>
      <c r="D31" s="94" t="str">
        <f>+schedule_ARAS!D73</f>
        <v>Adet</v>
      </c>
      <c r="E31" s="446">
        <f>+schedule_ARAS!E73</f>
        <v>2</v>
      </c>
      <c r="F31" s="25"/>
      <c r="G31" s="26"/>
      <c r="H31" s="78"/>
      <c r="I31" s="79"/>
      <c r="J31" s="79"/>
      <c r="K31" s="80"/>
      <c r="L31" s="78"/>
      <c r="M31" s="79"/>
      <c r="N31" s="79"/>
      <c r="O31" s="80"/>
      <c r="P31" s="78"/>
      <c r="Q31" s="79"/>
      <c r="R31" s="79"/>
      <c r="S31" s="80"/>
      <c r="T31" s="78"/>
      <c r="U31" s="79"/>
      <c r="V31" s="79"/>
      <c r="W31" s="80"/>
      <c r="X31" s="78"/>
      <c r="Y31" s="79"/>
      <c r="Z31" s="79"/>
      <c r="AA31" s="80"/>
      <c r="AB31" s="78"/>
      <c r="AC31" s="79"/>
      <c r="AD31" s="79"/>
      <c r="AE31" s="80"/>
      <c r="AF31" s="78">
        <f>+E31</f>
        <v>2</v>
      </c>
      <c r="AG31" s="79">
        <f>+E31</f>
        <v>2</v>
      </c>
      <c r="AH31" s="79">
        <f>+E31</f>
        <v>2</v>
      </c>
      <c r="AI31" s="80">
        <f>+E31</f>
        <v>2</v>
      </c>
      <c r="AJ31" s="78">
        <f>+E31</f>
        <v>2</v>
      </c>
      <c r="AK31" s="79">
        <f>+E31</f>
        <v>2</v>
      </c>
      <c r="AL31" s="79">
        <f>+E31</f>
        <v>2</v>
      </c>
      <c r="AM31" s="80">
        <f>+E31</f>
        <v>2</v>
      </c>
      <c r="AN31" s="78">
        <f>+E31</f>
        <v>2</v>
      </c>
      <c r="AO31" s="79">
        <f>+E31</f>
        <v>2</v>
      </c>
      <c r="AP31" s="79">
        <f>+E31</f>
        <v>2</v>
      </c>
      <c r="AQ31" s="80">
        <f>+E31</f>
        <v>2</v>
      </c>
      <c r="AR31" s="78">
        <f t="shared" si="314"/>
        <v>2</v>
      </c>
      <c r="AS31" s="79">
        <f t="shared" si="315"/>
        <v>2</v>
      </c>
      <c r="AT31" s="79">
        <f t="shared" si="316"/>
        <v>2</v>
      </c>
      <c r="AU31" s="80">
        <f t="shared" si="317"/>
        <v>2</v>
      </c>
      <c r="AV31" s="78">
        <f t="shared" si="318"/>
        <v>2</v>
      </c>
      <c r="AW31" s="79">
        <f t="shared" si="319"/>
        <v>2</v>
      </c>
      <c r="AX31" s="79">
        <f t="shared" si="320"/>
        <v>2</v>
      </c>
      <c r="AY31" s="80">
        <f t="shared" si="321"/>
        <v>2</v>
      </c>
      <c r="AZ31" s="78">
        <f t="shared" si="322"/>
        <v>2</v>
      </c>
      <c r="BA31" s="79">
        <f t="shared" si="323"/>
        <v>2</v>
      </c>
      <c r="BB31" s="79">
        <f t="shared" si="324"/>
        <v>2</v>
      </c>
      <c r="BC31" s="80">
        <f t="shared" si="325"/>
        <v>2</v>
      </c>
      <c r="BD31" s="78">
        <f t="shared" si="326"/>
        <v>2</v>
      </c>
      <c r="BE31" s="79">
        <f t="shared" si="327"/>
        <v>2</v>
      </c>
      <c r="BF31" s="79">
        <f t="shared" si="328"/>
        <v>2</v>
      </c>
      <c r="BG31" s="80">
        <f t="shared" si="329"/>
        <v>2</v>
      </c>
      <c r="BH31" s="78">
        <f t="shared" si="330"/>
        <v>2</v>
      </c>
      <c r="BI31" s="79">
        <f t="shared" si="331"/>
        <v>2</v>
      </c>
      <c r="BJ31" s="79">
        <f t="shared" si="332"/>
        <v>2</v>
      </c>
      <c r="BK31" s="80">
        <f t="shared" si="333"/>
        <v>2</v>
      </c>
      <c r="BL31" s="78">
        <f>+E31</f>
        <v>2</v>
      </c>
      <c r="BM31" s="79">
        <f>+E31</f>
        <v>2</v>
      </c>
      <c r="BN31" s="79">
        <f>+E31</f>
        <v>2</v>
      </c>
      <c r="BO31" s="80">
        <f>+E31</f>
        <v>2</v>
      </c>
      <c r="BP31" s="78">
        <f>+E31</f>
        <v>2</v>
      </c>
      <c r="BQ31" s="79">
        <f>+E31</f>
        <v>2</v>
      </c>
      <c r="BR31" s="79">
        <f>+E31</f>
        <v>2</v>
      </c>
      <c r="BS31" s="80">
        <f>+E31</f>
        <v>2</v>
      </c>
      <c r="BT31" s="78">
        <f t="shared" si="342"/>
        <v>2</v>
      </c>
      <c r="BU31" s="79">
        <f t="shared" si="343"/>
        <v>2</v>
      </c>
      <c r="BV31" s="79">
        <f t="shared" si="344"/>
        <v>2</v>
      </c>
      <c r="BW31" s="80">
        <f t="shared" si="345"/>
        <v>2</v>
      </c>
      <c r="BX31" s="78">
        <f t="shared" si="346"/>
        <v>2</v>
      </c>
      <c r="BY31" s="79">
        <f t="shared" si="347"/>
        <v>2</v>
      </c>
      <c r="BZ31" s="79">
        <f t="shared" si="348"/>
        <v>2</v>
      </c>
      <c r="CA31" s="80">
        <f t="shared" si="349"/>
        <v>2</v>
      </c>
      <c r="CB31" s="78">
        <f t="shared" si="350"/>
        <v>2</v>
      </c>
      <c r="CC31" s="79">
        <f t="shared" si="351"/>
        <v>2</v>
      </c>
      <c r="CD31" s="79">
        <f t="shared" si="352"/>
        <v>2</v>
      </c>
      <c r="CE31" s="80">
        <f t="shared" si="353"/>
        <v>2</v>
      </c>
      <c r="CF31" s="78">
        <f t="shared" si="354"/>
        <v>2</v>
      </c>
      <c r="CG31" s="79">
        <f t="shared" si="355"/>
        <v>2</v>
      </c>
      <c r="CH31" s="79">
        <f t="shared" si="356"/>
        <v>2</v>
      </c>
      <c r="CI31" s="80">
        <f t="shared" si="357"/>
        <v>2</v>
      </c>
      <c r="CJ31" s="78">
        <f t="shared" si="358"/>
        <v>2</v>
      </c>
      <c r="CK31" s="79">
        <f t="shared" si="359"/>
        <v>2</v>
      </c>
      <c r="CL31" s="79">
        <f t="shared" si="360"/>
        <v>2</v>
      </c>
      <c r="CM31" s="80">
        <f t="shared" si="361"/>
        <v>2</v>
      </c>
      <c r="CN31" s="78">
        <f t="shared" si="362"/>
        <v>2</v>
      </c>
      <c r="CO31" s="79">
        <f t="shared" si="363"/>
        <v>2</v>
      </c>
      <c r="CP31" s="79">
        <f t="shared" si="364"/>
        <v>2</v>
      </c>
      <c r="CQ31" s="80">
        <f t="shared" si="365"/>
        <v>2</v>
      </c>
      <c r="CR31" s="78">
        <f t="shared" si="366"/>
        <v>2</v>
      </c>
      <c r="CS31" s="79">
        <f t="shared" si="367"/>
        <v>2</v>
      </c>
      <c r="CT31" s="79">
        <f t="shared" si="368"/>
        <v>2</v>
      </c>
      <c r="CU31" s="80">
        <f t="shared" si="369"/>
        <v>2</v>
      </c>
      <c r="CV31" s="78">
        <f t="shared" si="370"/>
        <v>2</v>
      </c>
      <c r="CW31" s="79">
        <f t="shared" si="371"/>
        <v>2</v>
      </c>
      <c r="CX31" s="79">
        <f t="shared" si="372"/>
        <v>2</v>
      </c>
      <c r="CY31" s="80">
        <f t="shared" si="373"/>
        <v>2</v>
      </c>
      <c r="CZ31" s="78">
        <f>+BY31</f>
        <v>2</v>
      </c>
      <c r="DA31" s="79">
        <f>+BY31</f>
        <v>2</v>
      </c>
      <c r="DB31" s="79">
        <f>+BY31</f>
        <v>2</v>
      </c>
      <c r="DC31" s="80">
        <f>+BY31</f>
        <v>2</v>
      </c>
      <c r="DD31" s="78">
        <f>+BY31</f>
        <v>2</v>
      </c>
      <c r="DE31" s="79">
        <f>+BY31</f>
        <v>2</v>
      </c>
      <c r="DF31" s="79">
        <f>+BY31</f>
        <v>2</v>
      </c>
      <c r="DG31" s="80">
        <f>+BY31</f>
        <v>2</v>
      </c>
      <c r="DH31" s="78">
        <f>+BY31</f>
        <v>2</v>
      </c>
      <c r="DI31" s="79">
        <f>+BY31</f>
        <v>2</v>
      </c>
      <c r="DJ31" s="79">
        <f>+BY31</f>
        <v>2</v>
      </c>
      <c r="DK31" s="80">
        <f>+BY31</f>
        <v>2</v>
      </c>
      <c r="DL31" s="78">
        <f t="shared" si="386"/>
        <v>2</v>
      </c>
      <c r="DM31" s="79">
        <f t="shared" si="387"/>
        <v>2</v>
      </c>
      <c r="DN31" s="79">
        <f t="shared" si="388"/>
        <v>2</v>
      </c>
      <c r="DO31" s="80">
        <f t="shared" si="389"/>
        <v>2</v>
      </c>
      <c r="DP31" s="78">
        <f t="shared" si="390"/>
        <v>2</v>
      </c>
      <c r="DQ31" s="79">
        <f t="shared" si="391"/>
        <v>2</v>
      </c>
      <c r="DR31" s="79">
        <f t="shared" si="392"/>
        <v>2</v>
      </c>
      <c r="DS31" s="80">
        <f t="shared" si="393"/>
        <v>2</v>
      </c>
      <c r="DT31" s="78">
        <f t="shared" si="274"/>
        <v>2</v>
      </c>
      <c r="DU31" s="79">
        <f t="shared" si="275"/>
        <v>2</v>
      </c>
      <c r="DV31" s="79">
        <f t="shared" si="276"/>
        <v>2</v>
      </c>
      <c r="DW31" s="80">
        <f t="shared" si="277"/>
        <v>2</v>
      </c>
      <c r="DX31" s="78">
        <f t="shared" si="278"/>
        <v>2</v>
      </c>
      <c r="DY31" s="79">
        <f t="shared" si="279"/>
        <v>2</v>
      </c>
      <c r="DZ31" s="79">
        <f t="shared" si="280"/>
        <v>2</v>
      </c>
      <c r="EA31" s="80">
        <f t="shared" si="281"/>
        <v>2</v>
      </c>
      <c r="EB31" s="78">
        <f t="shared" si="406"/>
        <v>2</v>
      </c>
      <c r="EC31" s="79">
        <f t="shared" si="407"/>
        <v>2</v>
      </c>
      <c r="ED31" s="79">
        <f t="shared" si="408"/>
        <v>2</v>
      </c>
      <c r="EE31" s="80">
        <f t="shared" si="409"/>
        <v>2</v>
      </c>
      <c r="EF31" s="78">
        <f>+BY31</f>
        <v>2</v>
      </c>
      <c r="EG31" s="79">
        <f>+BY31</f>
        <v>2</v>
      </c>
      <c r="EH31" s="79">
        <f>+BY31</f>
        <v>2</v>
      </c>
      <c r="EI31" s="80">
        <f>+BY31</f>
        <v>2</v>
      </c>
      <c r="EJ31" s="78">
        <f>+BY31</f>
        <v>2</v>
      </c>
      <c r="EK31" s="79">
        <f>+BY31</f>
        <v>2</v>
      </c>
      <c r="EL31" s="79">
        <f>+BY31</f>
        <v>2</v>
      </c>
      <c r="EM31" s="80">
        <f>+BY31</f>
        <v>2</v>
      </c>
      <c r="EN31" s="78">
        <f t="shared" si="294"/>
        <v>2</v>
      </c>
      <c r="EO31" s="79">
        <f t="shared" si="295"/>
        <v>2</v>
      </c>
      <c r="EP31" s="79">
        <f t="shared" si="296"/>
        <v>2</v>
      </c>
      <c r="EQ31" s="80">
        <f t="shared" si="297"/>
        <v>2</v>
      </c>
      <c r="ER31" s="78">
        <f t="shared" si="298"/>
        <v>2</v>
      </c>
      <c r="ES31" s="79">
        <f t="shared" si="299"/>
        <v>2</v>
      </c>
      <c r="ET31" s="79">
        <f t="shared" si="300"/>
        <v>2</v>
      </c>
      <c r="EU31" s="80">
        <f t="shared" si="301"/>
        <v>2</v>
      </c>
      <c r="EV31" s="81">
        <f t="shared" ref="EV31" si="418">SUM(H31:DC31)/4</f>
        <v>38</v>
      </c>
    </row>
    <row r="32" spans="2:152" s="30" customFormat="1" ht="29.25" customHeight="1">
      <c r="B32" s="22"/>
      <c r="C32" s="93"/>
      <c r="D32" s="94"/>
      <c r="E32" s="24"/>
      <c r="F32" s="25"/>
      <c r="G32" s="26"/>
      <c r="H32" s="394"/>
      <c r="I32" s="395"/>
      <c r="J32" s="395"/>
      <c r="K32" s="396"/>
      <c r="L32" s="394"/>
      <c r="M32" s="395"/>
      <c r="N32" s="395"/>
      <c r="O32" s="396"/>
      <c r="P32" s="394"/>
      <c r="Q32" s="395"/>
      <c r="R32" s="395"/>
      <c r="S32" s="396"/>
      <c r="T32" s="394"/>
      <c r="U32" s="395"/>
      <c r="V32" s="395"/>
      <c r="W32" s="396"/>
      <c r="X32" s="394"/>
      <c r="Y32" s="395"/>
      <c r="Z32" s="395"/>
      <c r="AA32" s="396"/>
      <c r="AB32" s="394"/>
      <c r="AC32" s="395"/>
      <c r="AD32" s="395"/>
      <c r="AE32" s="396"/>
      <c r="AF32" s="394"/>
      <c r="AG32" s="395"/>
      <c r="AH32" s="395"/>
      <c r="AI32" s="396"/>
      <c r="AJ32" s="394"/>
      <c r="AK32" s="395"/>
      <c r="AL32" s="395"/>
      <c r="AM32" s="396"/>
      <c r="AN32" s="394"/>
      <c r="AO32" s="395"/>
      <c r="AP32" s="395"/>
      <c r="AQ32" s="396"/>
      <c r="AR32" s="394"/>
      <c r="AS32" s="395"/>
      <c r="AT32" s="395"/>
      <c r="AU32" s="396"/>
      <c r="AV32" s="394"/>
      <c r="AW32" s="395"/>
      <c r="AX32" s="395"/>
      <c r="AY32" s="396"/>
      <c r="AZ32" s="394"/>
      <c r="BA32" s="395"/>
      <c r="BB32" s="395"/>
      <c r="BC32" s="396"/>
      <c r="BD32" s="394"/>
      <c r="BE32" s="395"/>
      <c r="BF32" s="395"/>
      <c r="BG32" s="396"/>
      <c r="BH32" s="394"/>
      <c r="BI32" s="395"/>
      <c r="BJ32" s="395"/>
      <c r="BK32" s="396"/>
      <c r="BL32" s="394"/>
      <c r="BM32" s="395"/>
      <c r="BN32" s="395"/>
      <c r="BO32" s="396"/>
      <c r="BP32" s="394"/>
      <c r="BQ32" s="395"/>
      <c r="BR32" s="395"/>
      <c r="BS32" s="396"/>
      <c r="BT32" s="394"/>
      <c r="BU32" s="395"/>
      <c r="BV32" s="395"/>
      <c r="BW32" s="396"/>
      <c r="BX32" s="394"/>
      <c r="BY32" s="395"/>
      <c r="BZ32" s="395"/>
      <c r="CA32" s="396"/>
      <c r="CB32" s="394"/>
      <c r="CC32" s="395"/>
      <c r="CD32" s="395"/>
      <c r="CE32" s="396"/>
      <c r="CF32" s="394"/>
      <c r="CG32" s="395"/>
      <c r="CH32" s="395"/>
      <c r="CI32" s="396"/>
      <c r="CJ32" s="394"/>
      <c r="CK32" s="395"/>
      <c r="CL32" s="395"/>
      <c r="CM32" s="396"/>
      <c r="CN32" s="394"/>
      <c r="CO32" s="395"/>
      <c r="CP32" s="395"/>
      <c r="CQ32" s="396"/>
      <c r="CR32" s="394"/>
      <c r="CS32" s="395"/>
      <c r="CT32" s="395"/>
      <c r="CU32" s="396"/>
      <c r="CV32" s="394"/>
      <c r="CW32" s="395"/>
      <c r="CX32" s="395"/>
      <c r="CY32" s="396"/>
      <c r="CZ32" s="394"/>
      <c r="DA32" s="395"/>
      <c r="DB32" s="395"/>
      <c r="DC32" s="396"/>
      <c r="DD32" s="394"/>
      <c r="DE32" s="395"/>
      <c r="DF32" s="395"/>
      <c r="DG32" s="396"/>
      <c r="DH32" s="394"/>
      <c r="DI32" s="395"/>
      <c r="DJ32" s="395"/>
      <c r="DK32" s="396"/>
      <c r="DL32" s="394"/>
      <c r="DM32" s="395"/>
      <c r="DN32" s="395"/>
      <c r="DO32" s="396"/>
      <c r="DP32" s="394"/>
      <c r="DQ32" s="395"/>
      <c r="DR32" s="395"/>
      <c r="DS32" s="396"/>
      <c r="DT32" s="394"/>
      <c r="DU32" s="395"/>
      <c r="DV32" s="395"/>
      <c r="DW32" s="396"/>
      <c r="DX32" s="394"/>
      <c r="DY32" s="395"/>
      <c r="DZ32" s="395"/>
      <c r="EA32" s="396"/>
      <c r="EB32" s="394"/>
      <c r="EC32" s="395"/>
      <c r="ED32" s="395"/>
      <c r="EE32" s="396"/>
      <c r="EF32" s="394"/>
      <c r="EG32" s="395"/>
      <c r="EH32" s="395"/>
      <c r="EI32" s="396"/>
      <c r="EJ32" s="394"/>
      <c r="EK32" s="395"/>
      <c r="EL32" s="395"/>
      <c r="EM32" s="396"/>
      <c r="EN32" s="394"/>
      <c r="EO32" s="395"/>
      <c r="EP32" s="395"/>
      <c r="EQ32" s="396"/>
      <c r="ER32" s="394"/>
      <c r="ES32" s="395"/>
      <c r="ET32" s="395"/>
      <c r="EU32" s="396"/>
      <c r="EV32" s="81"/>
    </row>
    <row r="33" spans="2:152" s="30" customFormat="1" ht="29.25" customHeight="1" thickBot="1">
      <c r="B33" s="22"/>
      <c r="C33" s="93"/>
      <c r="D33" s="94"/>
      <c r="E33" s="24"/>
      <c r="F33" s="25"/>
      <c r="G33" s="26"/>
      <c r="H33" s="394"/>
      <c r="I33" s="395"/>
      <c r="J33" s="395"/>
      <c r="K33" s="396"/>
      <c r="L33" s="394"/>
      <c r="M33" s="395"/>
      <c r="N33" s="395"/>
      <c r="O33" s="396"/>
      <c r="P33" s="394"/>
      <c r="Q33" s="395"/>
      <c r="R33" s="395"/>
      <c r="S33" s="396"/>
      <c r="T33" s="394"/>
      <c r="U33" s="395"/>
      <c r="V33" s="395"/>
      <c r="W33" s="396"/>
      <c r="X33" s="394"/>
      <c r="Y33" s="395"/>
      <c r="Z33" s="395"/>
      <c r="AA33" s="396"/>
      <c r="AB33" s="394"/>
      <c r="AC33" s="395"/>
      <c r="AD33" s="395"/>
      <c r="AE33" s="396"/>
      <c r="AF33" s="394"/>
      <c r="AG33" s="395"/>
      <c r="AH33" s="395"/>
      <c r="AI33" s="396"/>
      <c r="AJ33" s="394"/>
      <c r="AK33" s="395"/>
      <c r="AL33" s="395"/>
      <c r="AM33" s="396"/>
      <c r="AN33" s="394"/>
      <c r="AO33" s="395"/>
      <c r="AP33" s="395"/>
      <c r="AQ33" s="396"/>
      <c r="AR33" s="394"/>
      <c r="AS33" s="395"/>
      <c r="AT33" s="395"/>
      <c r="AU33" s="396"/>
      <c r="AV33" s="394"/>
      <c r="AW33" s="395"/>
      <c r="AX33" s="395"/>
      <c r="AY33" s="396"/>
      <c r="AZ33" s="394"/>
      <c r="BA33" s="395"/>
      <c r="BB33" s="395"/>
      <c r="BC33" s="396"/>
      <c r="BD33" s="394"/>
      <c r="BE33" s="395"/>
      <c r="BF33" s="395"/>
      <c r="BG33" s="396"/>
      <c r="BH33" s="394"/>
      <c r="BI33" s="395"/>
      <c r="BJ33" s="395"/>
      <c r="BK33" s="396"/>
      <c r="BL33" s="394"/>
      <c r="BM33" s="395"/>
      <c r="BN33" s="395"/>
      <c r="BO33" s="396"/>
      <c r="BP33" s="394"/>
      <c r="BQ33" s="395"/>
      <c r="BR33" s="395"/>
      <c r="BS33" s="396"/>
      <c r="BT33" s="394"/>
      <c r="BU33" s="395"/>
      <c r="BV33" s="395"/>
      <c r="BW33" s="396"/>
      <c r="BX33" s="394"/>
      <c r="BY33" s="395"/>
      <c r="BZ33" s="395"/>
      <c r="CA33" s="396"/>
      <c r="CB33" s="394"/>
      <c r="CC33" s="395"/>
      <c r="CD33" s="395"/>
      <c r="CE33" s="396"/>
      <c r="CF33" s="394"/>
      <c r="CG33" s="395"/>
      <c r="CH33" s="395"/>
      <c r="CI33" s="396"/>
      <c r="CJ33" s="394"/>
      <c r="CK33" s="395"/>
      <c r="CL33" s="395"/>
      <c r="CM33" s="396"/>
      <c r="CN33" s="394"/>
      <c r="CO33" s="395"/>
      <c r="CP33" s="395"/>
      <c r="CQ33" s="396"/>
      <c r="CR33" s="394"/>
      <c r="CS33" s="395"/>
      <c r="CT33" s="395"/>
      <c r="CU33" s="396"/>
      <c r="CV33" s="394"/>
      <c r="CW33" s="395"/>
      <c r="CX33" s="395"/>
      <c r="CY33" s="396"/>
      <c r="CZ33" s="394"/>
      <c r="DA33" s="395"/>
      <c r="DB33" s="395"/>
      <c r="DC33" s="396"/>
      <c r="DD33" s="394"/>
      <c r="DE33" s="395"/>
      <c r="DF33" s="395"/>
      <c r="DG33" s="396"/>
      <c r="DH33" s="394"/>
      <c r="DI33" s="395"/>
      <c r="DJ33" s="395"/>
      <c r="DK33" s="396"/>
      <c r="DL33" s="394"/>
      <c r="DM33" s="395"/>
      <c r="DN33" s="395"/>
      <c r="DO33" s="396"/>
      <c r="DP33" s="394"/>
      <c r="DQ33" s="395"/>
      <c r="DR33" s="395"/>
      <c r="DS33" s="396"/>
      <c r="DT33" s="394"/>
      <c r="DU33" s="395"/>
      <c r="DV33" s="395"/>
      <c r="DW33" s="396"/>
      <c r="DX33" s="394"/>
      <c r="DY33" s="395"/>
      <c r="DZ33" s="395"/>
      <c r="EA33" s="396"/>
      <c r="EB33" s="394"/>
      <c r="EC33" s="395"/>
      <c r="ED33" s="395"/>
      <c r="EE33" s="396"/>
      <c r="EF33" s="394"/>
      <c r="EG33" s="395"/>
      <c r="EH33" s="395"/>
      <c r="EI33" s="396"/>
      <c r="EJ33" s="394"/>
      <c r="EK33" s="395"/>
      <c r="EL33" s="395"/>
      <c r="EM33" s="396"/>
      <c r="EN33" s="394"/>
      <c r="EO33" s="395"/>
      <c r="EP33" s="395"/>
      <c r="EQ33" s="396"/>
      <c r="ER33" s="394"/>
      <c r="ES33" s="395"/>
      <c r="ET33" s="395"/>
      <c r="EU33" s="396"/>
      <c r="EV33" s="81"/>
    </row>
    <row r="34" spans="2:152" s="86" customFormat="1" ht="29.25" customHeight="1" thickBot="1">
      <c r="B34" s="82"/>
      <c r="C34" s="83"/>
      <c r="D34" s="473" t="s">
        <v>50</v>
      </c>
      <c r="E34" s="473"/>
      <c r="F34" s="473"/>
      <c r="G34" s="474"/>
      <c r="H34" s="84">
        <f t="shared" ref="H34:AM34" si="419">SUM(H18:H30)</f>
        <v>0</v>
      </c>
      <c r="I34" s="84">
        <f t="shared" si="419"/>
        <v>0</v>
      </c>
      <c r="J34" s="84">
        <f t="shared" si="419"/>
        <v>0</v>
      </c>
      <c r="K34" s="84">
        <f t="shared" si="419"/>
        <v>0</v>
      </c>
      <c r="L34" s="84">
        <f t="shared" si="419"/>
        <v>0</v>
      </c>
      <c r="M34" s="84">
        <f t="shared" si="419"/>
        <v>0</v>
      </c>
      <c r="N34" s="84">
        <f t="shared" si="419"/>
        <v>0</v>
      </c>
      <c r="O34" s="84">
        <f t="shared" si="419"/>
        <v>0</v>
      </c>
      <c r="P34" s="84">
        <f t="shared" si="419"/>
        <v>0</v>
      </c>
      <c r="Q34" s="84">
        <f t="shared" si="419"/>
        <v>0</v>
      </c>
      <c r="R34" s="84">
        <f t="shared" si="419"/>
        <v>0</v>
      </c>
      <c r="S34" s="84">
        <f t="shared" si="419"/>
        <v>0</v>
      </c>
      <c r="T34" s="84">
        <f t="shared" si="419"/>
        <v>0</v>
      </c>
      <c r="U34" s="84">
        <f t="shared" si="419"/>
        <v>0</v>
      </c>
      <c r="V34" s="84">
        <f t="shared" si="419"/>
        <v>0</v>
      </c>
      <c r="W34" s="84">
        <f t="shared" si="419"/>
        <v>0</v>
      </c>
      <c r="X34" s="84">
        <f t="shared" si="419"/>
        <v>0</v>
      </c>
      <c r="Y34" s="84">
        <f t="shared" si="419"/>
        <v>0</v>
      </c>
      <c r="Z34" s="84">
        <f t="shared" si="419"/>
        <v>0</v>
      </c>
      <c r="AA34" s="84">
        <f t="shared" si="419"/>
        <v>0</v>
      </c>
      <c r="AB34" s="84">
        <f t="shared" si="419"/>
        <v>0</v>
      </c>
      <c r="AC34" s="84">
        <f t="shared" si="419"/>
        <v>0</v>
      </c>
      <c r="AD34" s="84">
        <f t="shared" si="419"/>
        <v>0</v>
      </c>
      <c r="AE34" s="84">
        <f t="shared" si="419"/>
        <v>0</v>
      </c>
      <c r="AF34" s="84">
        <f>SUM(AF18:AF31)</f>
        <v>28</v>
      </c>
      <c r="AG34" s="84">
        <f>SUM(AG18:AG31)</f>
        <v>28</v>
      </c>
      <c r="AH34" s="84">
        <f>SUM(AH18:AH31)</f>
        <v>28</v>
      </c>
      <c r="AI34" s="84">
        <f>SUM(AI18:AI31)</f>
        <v>28</v>
      </c>
      <c r="AJ34" s="84">
        <f>SUM(AJ18:AJ31)</f>
        <v>28</v>
      </c>
      <c r="AK34" s="84">
        <f>SUM(AK18:AK31)</f>
        <v>28</v>
      </c>
      <c r="AL34" s="84">
        <f>SUM(AL18:AL31)</f>
        <v>28</v>
      </c>
      <c r="AM34" s="84">
        <f>SUM(AM18:AM31)</f>
        <v>28</v>
      </c>
      <c r="AN34" s="84">
        <f>SUM(AN18:AN31)</f>
        <v>28</v>
      </c>
      <c r="AO34" s="84">
        <f>SUM(AO18:AO31)</f>
        <v>28</v>
      </c>
      <c r="AP34" s="84">
        <f>SUM(AP18:AP31)</f>
        <v>28</v>
      </c>
      <c r="AQ34" s="84">
        <f>SUM(AQ18:AQ31)</f>
        <v>28</v>
      </c>
      <c r="AR34" s="84">
        <f t="shared" ref="AN34:BS34" si="420">SUM(AR18:AR30)</f>
        <v>26</v>
      </c>
      <c r="AS34" s="84">
        <f t="shared" si="420"/>
        <v>26</v>
      </c>
      <c r="AT34" s="84">
        <f t="shared" si="420"/>
        <v>26</v>
      </c>
      <c r="AU34" s="84">
        <f t="shared" si="420"/>
        <v>26</v>
      </c>
      <c r="AV34" s="84">
        <f t="shared" si="420"/>
        <v>26</v>
      </c>
      <c r="AW34" s="84">
        <f t="shared" si="420"/>
        <v>26</v>
      </c>
      <c r="AX34" s="84">
        <f t="shared" si="420"/>
        <v>26</v>
      </c>
      <c r="AY34" s="84">
        <f t="shared" si="420"/>
        <v>26</v>
      </c>
      <c r="AZ34" s="84">
        <f>SUM(AZ18:AZ31)</f>
        <v>28</v>
      </c>
      <c r="BA34" s="84">
        <f>SUM(BA18:BA31)</f>
        <v>28</v>
      </c>
      <c r="BB34" s="84">
        <f>SUM(BB18:BB31)</f>
        <v>28</v>
      </c>
      <c r="BC34" s="84">
        <f>SUM(BC18:BC31)</f>
        <v>28</v>
      </c>
      <c r="BD34" s="84">
        <f>SUM(BD18:BD31)</f>
        <v>28</v>
      </c>
      <c r="BE34" s="84">
        <f>SUM(BE18:BE31)</f>
        <v>28</v>
      </c>
      <c r="BF34" s="84">
        <f>SUM(BF18:BF31)</f>
        <v>28</v>
      </c>
      <c r="BG34" s="84">
        <f>SUM(BG18:BG31)</f>
        <v>28</v>
      </c>
      <c r="BH34" s="84">
        <f>SUM(BH18:BH31)</f>
        <v>28</v>
      </c>
      <c r="BI34" s="84">
        <f>SUM(BI18:BI31)</f>
        <v>28</v>
      </c>
      <c r="BJ34" s="84">
        <f>SUM(BJ18:BJ31)</f>
        <v>28</v>
      </c>
      <c r="BK34" s="84">
        <f>SUM(BK18:BK31)</f>
        <v>28</v>
      </c>
      <c r="BL34" s="84">
        <f>SUM(BL18:BL31)</f>
        <v>28</v>
      </c>
      <c r="BM34" s="84">
        <f>SUM(BM18:BM31)</f>
        <v>28</v>
      </c>
      <c r="BN34" s="84">
        <f>SUM(BN18:BN31)</f>
        <v>28</v>
      </c>
      <c r="BO34" s="84">
        <f>SUM(BO18:BO31)</f>
        <v>28</v>
      </c>
      <c r="BP34" s="84">
        <f>SUM(BP18:BP31)</f>
        <v>28</v>
      </c>
      <c r="BQ34" s="84">
        <f>SUM(BQ18:BQ31)</f>
        <v>28</v>
      </c>
      <c r="BR34" s="84">
        <f>SUM(BR18:BR31)</f>
        <v>28</v>
      </c>
      <c r="BS34" s="84">
        <f>SUM(BS18:BS31)</f>
        <v>28</v>
      </c>
      <c r="BT34" s="84">
        <f>SUM(BT18:BT31)</f>
        <v>28</v>
      </c>
      <c r="BU34" s="84">
        <f>SUM(BU18:BU31)</f>
        <v>28</v>
      </c>
      <c r="BV34" s="84">
        <f>SUM(BV18:BV31)</f>
        <v>28</v>
      </c>
      <c r="BW34" s="84">
        <f>SUM(BW18:BW31)</f>
        <v>28</v>
      </c>
      <c r="BX34" s="84">
        <f>SUM(BX18:BX31)</f>
        <v>28</v>
      </c>
      <c r="BY34" s="84">
        <f>SUM(BY18:BY31)</f>
        <v>28</v>
      </c>
      <c r="BZ34" s="84">
        <f>SUM(BZ18:BZ31)</f>
        <v>28</v>
      </c>
      <c r="CA34" s="84">
        <f>SUM(CA18:CA31)</f>
        <v>28</v>
      </c>
      <c r="CB34" s="84">
        <f>SUM(CB18:CB31)</f>
        <v>28</v>
      </c>
      <c r="CC34" s="84">
        <f>SUM(CC18:CC31)</f>
        <v>28</v>
      </c>
      <c r="CD34" s="84">
        <f>SUM(CD18:CD31)</f>
        <v>28</v>
      </c>
      <c r="CE34" s="84">
        <f>SUM(CE18:CE31)</f>
        <v>28</v>
      </c>
      <c r="CF34" s="84">
        <f>SUM(CF18:CF31)</f>
        <v>28</v>
      </c>
      <c r="CG34" s="84">
        <f>SUM(CG18:CG31)</f>
        <v>28</v>
      </c>
      <c r="CH34" s="84">
        <f>SUM(CH18:CH31)</f>
        <v>28</v>
      </c>
      <c r="CI34" s="84">
        <f>SUM(CI18:CI31)</f>
        <v>28</v>
      </c>
      <c r="CJ34" s="84">
        <f>SUM(CJ18:CJ31)</f>
        <v>28</v>
      </c>
      <c r="CK34" s="84">
        <f>SUM(CK18:CK31)</f>
        <v>28</v>
      </c>
      <c r="CL34" s="84">
        <f>SUM(CL18:CL31)</f>
        <v>28</v>
      </c>
      <c r="CM34" s="84">
        <f>SUM(CM18:CM31)</f>
        <v>28</v>
      </c>
      <c r="CN34" s="84">
        <f>SUM(CN18:CN31)</f>
        <v>28</v>
      </c>
      <c r="CO34" s="84">
        <f>SUM(CO18:CO31)</f>
        <v>28</v>
      </c>
      <c r="CP34" s="84">
        <f>SUM(CP18:CP31)</f>
        <v>28</v>
      </c>
      <c r="CQ34" s="84">
        <f>SUM(CQ18:CQ31)</f>
        <v>28</v>
      </c>
      <c r="CR34" s="84">
        <f>SUM(CR18:CR31)</f>
        <v>28</v>
      </c>
      <c r="CS34" s="84">
        <f>SUM(CS18:CS31)</f>
        <v>28</v>
      </c>
      <c r="CT34" s="84">
        <f>SUM(CT18:CT31)</f>
        <v>28</v>
      </c>
      <c r="CU34" s="84">
        <f>SUM(CU18:CU31)</f>
        <v>28</v>
      </c>
      <c r="CV34" s="84">
        <f>SUM(CV18:CV31)</f>
        <v>28</v>
      </c>
      <c r="CW34" s="84">
        <f>SUM(CW18:CW31)</f>
        <v>28</v>
      </c>
      <c r="CX34" s="84">
        <f>SUM(CX18:CX31)</f>
        <v>28</v>
      </c>
      <c r="CY34" s="84">
        <f>SUM(CY18:CY31)</f>
        <v>28</v>
      </c>
      <c r="CZ34" s="84">
        <f t="shared" ref="CZ34:DG34" si="421">SUM(CZ18:CZ30)</f>
        <v>26</v>
      </c>
      <c r="DA34" s="84">
        <f t="shared" si="421"/>
        <v>26</v>
      </c>
      <c r="DB34" s="84">
        <f t="shared" si="421"/>
        <v>26</v>
      </c>
      <c r="DC34" s="84">
        <f t="shared" si="421"/>
        <v>26</v>
      </c>
      <c r="DD34" s="84">
        <f t="shared" si="421"/>
        <v>26</v>
      </c>
      <c r="DE34" s="84">
        <f t="shared" si="421"/>
        <v>26</v>
      </c>
      <c r="DF34" s="84">
        <f t="shared" si="421"/>
        <v>26</v>
      </c>
      <c r="DG34" s="84">
        <f t="shared" si="421"/>
        <v>26</v>
      </c>
      <c r="DH34" s="84">
        <f t="shared" ref="DH34:EU34" si="422">SUM(DH18:DH30)</f>
        <v>26</v>
      </c>
      <c r="DI34" s="84">
        <f t="shared" si="422"/>
        <v>26</v>
      </c>
      <c r="DJ34" s="84">
        <f t="shared" si="422"/>
        <v>26</v>
      </c>
      <c r="DK34" s="84">
        <f t="shared" si="422"/>
        <v>26</v>
      </c>
      <c r="DL34" s="84">
        <f t="shared" si="422"/>
        <v>26</v>
      </c>
      <c r="DM34" s="84">
        <f t="shared" si="422"/>
        <v>26</v>
      </c>
      <c r="DN34" s="84">
        <f t="shared" si="422"/>
        <v>26</v>
      </c>
      <c r="DO34" s="84">
        <f t="shared" si="422"/>
        <v>26</v>
      </c>
      <c r="DP34" s="84">
        <f t="shared" si="422"/>
        <v>26</v>
      </c>
      <c r="DQ34" s="84">
        <f t="shared" si="422"/>
        <v>26</v>
      </c>
      <c r="DR34" s="84">
        <f t="shared" si="422"/>
        <v>26</v>
      </c>
      <c r="DS34" s="84">
        <f t="shared" si="422"/>
        <v>26</v>
      </c>
      <c r="DT34" s="84">
        <f t="shared" si="422"/>
        <v>26</v>
      </c>
      <c r="DU34" s="84">
        <f t="shared" si="422"/>
        <v>26</v>
      </c>
      <c r="DV34" s="84">
        <f t="shared" si="422"/>
        <v>26</v>
      </c>
      <c r="DW34" s="84">
        <f t="shared" si="422"/>
        <v>26</v>
      </c>
      <c r="DX34" s="84">
        <f t="shared" si="422"/>
        <v>26</v>
      </c>
      <c r="DY34" s="84">
        <f t="shared" si="422"/>
        <v>26</v>
      </c>
      <c r="DZ34" s="84">
        <f t="shared" si="422"/>
        <v>26</v>
      </c>
      <c r="EA34" s="84">
        <f t="shared" si="422"/>
        <v>26</v>
      </c>
      <c r="EB34" s="84">
        <f t="shared" si="422"/>
        <v>26</v>
      </c>
      <c r="EC34" s="84">
        <f t="shared" si="422"/>
        <v>26</v>
      </c>
      <c r="ED34" s="84">
        <f t="shared" si="422"/>
        <v>26</v>
      </c>
      <c r="EE34" s="84">
        <f t="shared" si="422"/>
        <v>26</v>
      </c>
      <c r="EF34" s="84">
        <f t="shared" si="422"/>
        <v>26</v>
      </c>
      <c r="EG34" s="84">
        <f t="shared" si="422"/>
        <v>26</v>
      </c>
      <c r="EH34" s="84">
        <f t="shared" si="422"/>
        <v>26</v>
      </c>
      <c r="EI34" s="84">
        <f t="shared" si="422"/>
        <v>26</v>
      </c>
      <c r="EJ34" s="84">
        <f t="shared" si="422"/>
        <v>26</v>
      </c>
      <c r="EK34" s="84">
        <f t="shared" si="422"/>
        <v>26</v>
      </c>
      <c r="EL34" s="84">
        <f t="shared" si="422"/>
        <v>26</v>
      </c>
      <c r="EM34" s="84">
        <f t="shared" si="422"/>
        <v>26</v>
      </c>
      <c r="EN34" s="84">
        <f t="shared" si="422"/>
        <v>26</v>
      </c>
      <c r="EO34" s="84">
        <f t="shared" si="422"/>
        <v>26</v>
      </c>
      <c r="EP34" s="84">
        <f t="shared" si="422"/>
        <v>26</v>
      </c>
      <c r="EQ34" s="84">
        <f t="shared" si="422"/>
        <v>26</v>
      </c>
      <c r="ER34" s="84">
        <f t="shared" si="422"/>
        <v>26</v>
      </c>
      <c r="ES34" s="84">
        <f t="shared" si="422"/>
        <v>26</v>
      </c>
      <c r="ET34" s="84">
        <f t="shared" si="422"/>
        <v>26</v>
      </c>
      <c r="EU34" s="84">
        <f t="shared" si="422"/>
        <v>26</v>
      </c>
      <c r="EV34" s="95">
        <f>SUM(EV18:EV30)</f>
        <v>494</v>
      </c>
    </row>
    <row r="35" spans="2:152" s="86" customFormat="1" ht="29.25" customHeight="1" thickBot="1">
      <c r="B35" s="96"/>
      <c r="C35" s="97"/>
      <c r="D35" s="475" t="s">
        <v>25</v>
      </c>
      <c r="E35" s="475"/>
      <c r="F35" s="475"/>
      <c r="G35" s="476"/>
      <c r="H35" s="84">
        <f t="shared" ref="H35:AM35" si="423">+H16+H34</f>
        <v>0</v>
      </c>
      <c r="I35" s="84">
        <f t="shared" si="423"/>
        <v>0</v>
      </c>
      <c r="J35" s="84">
        <f t="shared" si="423"/>
        <v>0</v>
      </c>
      <c r="K35" s="84">
        <f t="shared" si="423"/>
        <v>0</v>
      </c>
      <c r="L35" s="84">
        <f t="shared" si="423"/>
        <v>0</v>
      </c>
      <c r="M35" s="84">
        <f t="shared" si="423"/>
        <v>0</v>
      </c>
      <c r="N35" s="84">
        <f t="shared" si="423"/>
        <v>0</v>
      </c>
      <c r="O35" s="84">
        <f t="shared" si="423"/>
        <v>0</v>
      </c>
      <c r="P35" s="84">
        <f t="shared" si="423"/>
        <v>0</v>
      </c>
      <c r="Q35" s="84">
        <f t="shared" si="423"/>
        <v>0</v>
      </c>
      <c r="R35" s="84">
        <f t="shared" si="423"/>
        <v>0</v>
      </c>
      <c r="S35" s="84">
        <f t="shared" si="423"/>
        <v>0</v>
      </c>
      <c r="T35" s="84">
        <f t="shared" si="423"/>
        <v>0</v>
      </c>
      <c r="U35" s="84">
        <f t="shared" si="423"/>
        <v>0</v>
      </c>
      <c r="V35" s="84">
        <f t="shared" si="423"/>
        <v>0</v>
      </c>
      <c r="W35" s="84">
        <f t="shared" si="423"/>
        <v>0</v>
      </c>
      <c r="X35" s="84">
        <f t="shared" si="423"/>
        <v>0</v>
      </c>
      <c r="Y35" s="84">
        <f t="shared" si="423"/>
        <v>0</v>
      </c>
      <c r="Z35" s="84">
        <f t="shared" si="423"/>
        <v>0</v>
      </c>
      <c r="AA35" s="84">
        <f t="shared" si="423"/>
        <v>0</v>
      </c>
      <c r="AB35" s="84">
        <f t="shared" si="423"/>
        <v>0</v>
      </c>
      <c r="AC35" s="84">
        <f t="shared" si="423"/>
        <v>0</v>
      </c>
      <c r="AD35" s="84">
        <f t="shared" si="423"/>
        <v>0</v>
      </c>
      <c r="AE35" s="84">
        <f t="shared" si="423"/>
        <v>0</v>
      </c>
      <c r="AF35" s="84">
        <f t="shared" si="423"/>
        <v>165</v>
      </c>
      <c r="AG35" s="84">
        <f t="shared" si="423"/>
        <v>165</v>
      </c>
      <c r="AH35" s="84">
        <f t="shared" si="423"/>
        <v>165</v>
      </c>
      <c r="AI35" s="84">
        <f t="shared" si="423"/>
        <v>165</v>
      </c>
      <c r="AJ35" s="84">
        <f t="shared" si="423"/>
        <v>165</v>
      </c>
      <c r="AK35" s="84">
        <f t="shared" si="423"/>
        <v>165</v>
      </c>
      <c r="AL35" s="84">
        <f t="shared" si="423"/>
        <v>165</v>
      </c>
      <c r="AM35" s="84">
        <f t="shared" si="423"/>
        <v>165</v>
      </c>
      <c r="AN35" s="84">
        <f t="shared" ref="AN35:BS35" si="424">+AN16+AN34</f>
        <v>165</v>
      </c>
      <c r="AO35" s="84">
        <f t="shared" si="424"/>
        <v>165</v>
      </c>
      <c r="AP35" s="84">
        <f t="shared" si="424"/>
        <v>165</v>
      </c>
      <c r="AQ35" s="84">
        <f t="shared" si="424"/>
        <v>165</v>
      </c>
      <c r="AR35" s="84">
        <f t="shared" si="424"/>
        <v>163</v>
      </c>
      <c r="AS35" s="84">
        <f t="shared" si="424"/>
        <v>163</v>
      </c>
      <c r="AT35" s="84">
        <f t="shared" si="424"/>
        <v>163</v>
      </c>
      <c r="AU35" s="84">
        <f t="shared" si="424"/>
        <v>163</v>
      </c>
      <c r="AV35" s="84">
        <f t="shared" si="424"/>
        <v>163</v>
      </c>
      <c r="AW35" s="84">
        <f t="shared" si="424"/>
        <v>163</v>
      </c>
      <c r="AX35" s="84">
        <f t="shared" si="424"/>
        <v>163</v>
      </c>
      <c r="AY35" s="84">
        <f t="shared" si="424"/>
        <v>163</v>
      </c>
      <c r="AZ35" s="84">
        <f t="shared" si="424"/>
        <v>165</v>
      </c>
      <c r="BA35" s="84">
        <f t="shared" si="424"/>
        <v>165</v>
      </c>
      <c r="BB35" s="84">
        <f t="shared" si="424"/>
        <v>165</v>
      </c>
      <c r="BC35" s="84">
        <f t="shared" si="424"/>
        <v>165</v>
      </c>
      <c r="BD35" s="84">
        <f t="shared" si="424"/>
        <v>165</v>
      </c>
      <c r="BE35" s="84">
        <f t="shared" si="424"/>
        <v>165</v>
      </c>
      <c r="BF35" s="84">
        <f t="shared" si="424"/>
        <v>165</v>
      </c>
      <c r="BG35" s="84">
        <f t="shared" si="424"/>
        <v>165</v>
      </c>
      <c r="BH35" s="84">
        <f t="shared" si="424"/>
        <v>165</v>
      </c>
      <c r="BI35" s="84">
        <f t="shared" si="424"/>
        <v>165</v>
      </c>
      <c r="BJ35" s="84">
        <f t="shared" si="424"/>
        <v>165</v>
      </c>
      <c r="BK35" s="84">
        <f t="shared" si="424"/>
        <v>165</v>
      </c>
      <c r="BL35" s="84">
        <f t="shared" si="424"/>
        <v>165</v>
      </c>
      <c r="BM35" s="84">
        <f t="shared" si="424"/>
        <v>165</v>
      </c>
      <c r="BN35" s="84">
        <f t="shared" si="424"/>
        <v>165</v>
      </c>
      <c r="BO35" s="84">
        <f t="shared" si="424"/>
        <v>165</v>
      </c>
      <c r="BP35" s="84">
        <f t="shared" si="424"/>
        <v>165</v>
      </c>
      <c r="BQ35" s="84">
        <f t="shared" si="424"/>
        <v>165</v>
      </c>
      <c r="BR35" s="84">
        <f t="shared" si="424"/>
        <v>165</v>
      </c>
      <c r="BS35" s="84">
        <f t="shared" si="424"/>
        <v>165</v>
      </c>
      <c r="BT35" s="84">
        <f t="shared" ref="BT35:CY35" si="425">+BT16+BT34</f>
        <v>165</v>
      </c>
      <c r="BU35" s="84">
        <f t="shared" si="425"/>
        <v>165</v>
      </c>
      <c r="BV35" s="84">
        <f t="shared" si="425"/>
        <v>165</v>
      </c>
      <c r="BW35" s="84">
        <f t="shared" si="425"/>
        <v>165</v>
      </c>
      <c r="BX35" s="84">
        <f t="shared" si="425"/>
        <v>165</v>
      </c>
      <c r="BY35" s="84">
        <f t="shared" si="425"/>
        <v>165</v>
      </c>
      <c r="BZ35" s="84">
        <f t="shared" si="425"/>
        <v>165</v>
      </c>
      <c r="CA35" s="84">
        <f t="shared" si="425"/>
        <v>165</v>
      </c>
      <c r="CB35" s="84">
        <f t="shared" si="425"/>
        <v>165</v>
      </c>
      <c r="CC35" s="84">
        <f t="shared" si="425"/>
        <v>165</v>
      </c>
      <c r="CD35" s="84">
        <f t="shared" si="425"/>
        <v>165</v>
      </c>
      <c r="CE35" s="84">
        <f t="shared" si="425"/>
        <v>165</v>
      </c>
      <c r="CF35" s="84">
        <f t="shared" si="425"/>
        <v>165</v>
      </c>
      <c r="CG35" s="84">
        <f t="shared" si="425"/>
        <v>165</v>
      </c>
      <c r="CH35" s="84">
        <f t="shared" si="425"/>
        <v>165</v>
      </c>
      <c r="CI35" s="84">
        <f t="shared" si="425"/>
        <v>165</v>
      </c>
      <c r="CJ35" s="84">
        <f t="shared" si="425"/>
        <v>165</v>
      </c>
      <c r="CK35" s="84">
        <f t="shared" si="425"/>
        <v>165</v>
      </c>
      <c r="CL35" s="84">
        <f t="shared" si="425"/>
        <v>165</v>
      </c>
      <c r="CM35" s="84">
        <f t="shared" si="425"/>
        <v>165</v>
      </c>
      <c r="CN35" s="84">
        <f t="shared" si="425"/>
        <v>165</v>
      </c>
      <c r="CO35" s="84">
        <f t="shared" si="425"/>
        <v>165</v>
      </c>
      <c r="CP35" s="84">
        <f t="shared" si="425"/>
        <v>165</v>
      </c>
      <c r="CQ35" s="84">
        <f t="shared" si="425"/>
        <v>165</v>
      </c>
      <c r="CR35" s="84">
        <f t="shared" si="425"/>
        <v>165</v>
      </c>
      <c r="CS35" s="84">
        <f t="shared" si="425"/>
        <v>165</v>
      </c>
      <c r="CT35" s="84">
        <f t="shared" si="425"/>
        <v>165</v>
      </c>
      <c r="CU35" s="84">
        <f t="shared" si="425"/>
        <v>165</v>
      </c>
      <c r="CV35" s="84">
        <f t="shared" si="425"/>
        <v>165</v>
      </c>
      <c r="CW35" s="84">
        <f t="shared" si="425"/>
        <v>165</v>
      </c>
      <c r="CX35" s="84">
        <f t="shared" si="425"/>
        <v>165</v>
      </c>
      <c r="CY35" s="84">
        <f t="shared" si="425"/>
        <v>165</v>
      </c>
      <c r="CZ35" s="84">
        <f t="shared" ref="CZ35:DG35" si="426">+CZ16+CZ34</f>
        <v>163</v>
      </c>
      <c r="DA35" s="84">
        <f t="shared" si="426"/>
        <v>163</v>
      </c>
      <c r="DB35" s="84">
        <f t="shared" si="426"/>
        <v>163</v>
      </c>
      <c r="DC35" s="84">
        <f t="shared" si="426"/>
        <v>163</v>
      </c>
      <c r="DD35" s="84">
        <f t="shared" si="426"/>
        <v>163</v>
      </c>
      <c r="DE35" s="84">
        <f t="shared" si="426"/>
        <v>163</v>
      </c>
      <c r="DF35" s="84">
        <f t="shared" si="426"/>
        <v>163</v>
      </c>
      <c r="DG35" s="84">
        <f t="shared" si="426"/>
        <v>163</v>
      </c>
      <c r="DH35" s="84">
        <f t="shared" ref="DH35:EU35" si="427">+DH16+DH34</f>
        <v>163</v>
      </c>
      <c r="DI35" s="84">
        <f t="shared" si="427"/>
        <v>163</v>
      </c>
      <c r="DJ35" s="84">
        <f t="shared" si="427"/>
        <v>163</v>
      </c>
      <c r="DK35" s="84">
        <f t="shared" si="427"/>
        <v>163</v>
      </c>
      <c r="DL35" s="84">
        <f t="shared" si="427"/>
        <v>163</v>
      </c>
      <c r="DM35" s="84">
        <f t="shared" si="427"/>
        <v>163</v>
      </c>
      <c r="DN35" s="84">
        <f t="shared" si="427"/>
        <v>163</v>
      </c>
      <c r="DO35" s="84">
        <f t="shared" si="427"/>
        <v>163</v>
      </c>
      <c r="DP35" s="84">
        <f t="shared" si="427"/>
        <v>163</v>
      </c>
      <c r="DQ35" s="84">
        <f t="shared" si="427"/>
        <v>163</v>
      </c>
      <c r="DR35" s="84">
        <f t="shared" si="427"/>
        <v>163</v>
      </c>
      <c r="DS35" s="84">
        <f t="shared" si="427"/>
        <v>163</v>
      </c>
      <c r="DT35" s="84">
        <f t="shared" si="427"/>
        <v>163</v>
      </c>
      <c r="DU35" s="84">
        <f t="shared" si="427"/>
        <v>163</v>
      </c>
      <c r="DV35" s="84">
        <f t="shared" si="427"/>
        <v>163</v>
      </c>
      <c r="DW35" s="84">
        <f t="shared" si="427"/>
        <v>163</v>
      </c>
      <c r="DX35" s="84">
        <f t="shared" si="427"/>
        <v>163</v>
      </c>
      <c r="DY35" s="84">
        <f t="shared" si="427"/>
        <v>163</v>
      </c>
      <c r="DZ35" s="84">
        <f t="shared" si="427"/>
        <v>163</v>
      </c>
      <c r="EA35" s="84">
        <f t="shared" si="427"/>
        <v>163</v>
      </c>
      <c r="EB35" s="84">
        <f t="shared" si="427"/>
        <v>163</v>
      </c>
      <c r="EC35" s="84">
        <f t="shared" si="427"/>
        <v>163</v>
      </c>
      <c r="ED35" s="84">
        <f t="shared" si="427"/>
        <v>163</v>
      </c>
      <c r="EE35" s="84">
        <f t="shared" si="427"/>
        <v>163</v>
      </c>
      <c r="EF35" s="84">
        <f t="shared" si="427"/>
        <v>163</v>
      </c>
      <c r="EG35" s="84">
        <f t="shared" si="427"/>
        <v>163</v>
      </c>
      <c r="EH35" s="84">
        <f t="shared" si="427"/>
        <v>163</v>
      </c>
      <c r="EI35" s="84">
        <f t="shared" si="427"/>
        <v>163</v>
      </c>
      <c r="EJ35" s="84">
        <f t="shared" si="427"/>
        <v>163</v>
      </c>
      <c r="EK35" s="84">
        <f t="shared" si="427"/>
        <v>163</v>
      </c>
      <c r="EL35" s="84">
        <f t="shared" si="427"/>
        <v>163</v>
      </c>
      <c r="EM35" s="84">
        <f t="shared" si="427"/>
        <v>163</v>
      </c>
      <c r="EN35" s="84">
        <f t="shared" si="427"/>
        <v>163</v>
      </c>
      <c r="EO35" s="84">
        <f t="shared" si="427"/>
        <v>163</v>
      </c>
      <c r="EP35" s="84">
        <f t="shared" si="427"/>
        <v>163</v>
      </c>
      <c r="EQ35" s="84">
        <f t="shared" si="427"/>
        <v>163</v>
      </c>
      <c r="ER35" s="84">
        <f t="shared" si="427"/>
        <v>163</v>
      </c>
      <c r="ES35" s="84">
        <f t="shared" si="427"/>
        <v>163</v>
      </c>
      <c r="ET35" s="84">
        <f t="shared" si="427"/>
        <v>163</v>
      </c>
      <c r="EU35" s="84">
        <f t="shared" si="427"/>
        <v>163</v>
      </c>
      <c r="EV35" s="95">
        <f>(EV16+EV34)</f>
        <v>3097</v>
      </c>
    </row>
    <row r="36" spans="2:152" ht="28.5" customHeight="1">
      <c r="EV36" s="99" t="e">
        <f>+EV35-#REF!</f>
        <v>#REF!</v>
      </c>
    </row>
  </sheetData>
  <mergeCells count="67">
    <mergeCell ref="EB5:EE5"/>
    <mergeCell ref="EF5:EI5"/>
    <mergeCell ref="EJ5:EM5"/>
    <mergeCell ref="EN5:EQ5"/>
    <mergeCell ref="ER5:EU5"/>
    <mergeCell ref="DH5:DK5"/>
    <mergeCell ref="DL5:DO5"/>
    <mergeCell ref="DP5:DS5"/>
    <mergeCell ref="DT5:DW5"/>
    <mergeCell ref="DX5:EA5"/>
    <mergeCell ref="DD4:DG4"/>
    <mergeCell ref="DD5:DG5"/>
    <mergeCell ref="D16:G16"/>
    <mergeCell ref="D34:G34"/>
    <mergeCell ref="D35:G35"/>
    <mergeCell ref="H5:K5"/>
    <mergeCell ref="L5:O5"/>
    <mergeCell ref="P5:S5"/>
    <mergeCell ref="T5:W5"/>
    <mergeCell ref="X5:AA5"/>
    <mergeCell ref="AB5:AE5"/>
    <mergeCell ref="AF5:AI5"/>
    <mergeCell ref="CZ5:DC5"/>
    <mergeCell ref="CN4:CQ4"/>
    <mergeCell ref="CZ4:DC4"/>
    <mergeCell ref="AJ5:AM5"/>
    <mergeCell ref="C1:DC1"/>
    <mergeCell ref="D2:DC2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CB4:CE4"/>
    <mergeCell ref="AV4:AY4"/>
    <mergeCell ref="AZ4:BC4"/>
    <mergeCell ref="BX4:CA4"/>
    <mergeCell ref="CJ5:CM5"/>
    <mergeCell ref="CR4:CU4"/>
    <mergeCell ref="AN5:AQ5"/>
    <mergeCell ref="AR5:AU5"/>
    <mergeCell ref="CN5:CQ5"/>
    <mergeCell ref="CB5:CE5"/>
    <mergeCell ref="AV5:AY5"/>
    <mergeCell ref="AZ5:BC5"/>
    <mergeCell ref="BX5:CA5"/>
    <mergeCell ref="CV4:CY4"/>
    <mergeCell ref="CV5:CY5"/>
    <mergeCell ref="CR5:CU5"/>
    <mergeCell ref="BD4:BG4"/>
    <mergeCell ref="BH4:BK4"/>
    <mergeCell ref="BL4:BO4"/>
    <mergeCell ref="BP4:BS4"/>
    <mergeCell ref="BT4:BW4"/>
    <mergeCell ref="BD5:BG5"/>
    <mergeCell ref="BH5:BK5"/>
    <mergeCell ref="BL5:BO5"/>
    <mergeCell ref="BP5:BS5"/>
    <mergeCell ref="BT5:BW5"/>
    <mergeCell ref="CF4:CI4"/>
    <mergeCell ref="CJ4:CM4"/>
    <mergeCell ref="CF5:CI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28" orientation="landscape" r:id="rId1"/>
  <rowBreaks count="1" manualBreakCount="1">
    <brk id="35" min="1" max="15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view="pageBreakPreview" topLeftCell="A22" zoomScale="110" zoomScaleNormal="115" zoomScaleSheetLayoutView="110" workbookViewId="0">
      <selection activeCell="B7" sqref="B7"/>
    </sheetView>
  </sheetViews>
  <sheetFormatPr defaultColWidth="9.109375" defaultRowHeight="24" customHeight="1"/>
  <cols>
    <col min="1" max="1" width="4.88671875" style="102" customWidth="1"/>
    <col min="2" max="2" width="53.5546875" style="102" customWidth="1"/>
    <col min="3" max="3" width="2" style="102" customWidth="1"/>
    <col min="4" max="4" width="27.6640625" style="102" customWidth="1"/>
    <col min="5" max="5" width="13.6640625" style="102" bestFit="1" customWidth="1"/>
    <col min="6" max="6" width="16.109375" style="102" customWidth="1"/>
    <col min="7" max="7" width="19.88671875" style="102" bestFit="1" customWidth="1"/>
    <col min="8" max="8" width="21.5546875" style="102" bestFit="1" customWidth="1"/>
    <col min="9" max="9" width="17.88671875" style="102" customWidth="1"/>
    <col min="10" max="11" width="15.109375" style="102" customWidth="1"/>
    <col min="12" max="13" width="13.6640625" style="102" customWidth="1"/>
    <col min="14" max="14" width="14.88671875" style="102" customWidth="1"/>
    <col min="15" max="16384" width="9.109375" style="102"/>
  </cols>
  <sheetData>
    <row r="1" spans="2:11" s="100" customFormat="1" ht="24" customHeight="1">
      <c r="B1" s="477" t="str">
        <f>+schedule_ARAS!D2</f>
        <v>FİLYOS LİMANI TAHKİMAT İŞİ</v>
      </c>
      <c r="C1" s="477"/>
      <c r="D1" s="477"/>
    </row>
    <row r="2" spans="2:11" s="101" customFormat="1" ht="24" customHeight="1">
      <c r="B2" s="477" t="s">
        <v>51</v>
      </c>
      <c r="C2" s="477"/>
      <c r="D2" s="477"/>
    </row>
    <row r="3" spans="2:11" ht="15.75" customHeight="1">
      <c r="G3" s="397" t="s">
        <v>186</v>
      </c>
      <c r="H3" s="397" t="s">
        <v>187</v>
      </c>
      <c r="I3" s="397" t="s">
        <v>188</v>
      </c>
      <c r="J3" s="397" t="s">
        <v>189</v>
      </c>
      <c r="K3" s="397"/>
    </row>
    <row r="4" spans="2:11" s="100" customFormat="1" ht="31.5" customHeight="1">
      <c r="B4" s="103" t="s">
        <v>178</v>
      </c>
      <c r="C4" s="104" t="s">
        <v>52</v>
      </c>
      <c r="D4" s="113" t="s">
        <v>82</v>
      </c>
      <c r="G4" s="400">
        <v>1900</v>
      </c>
      <c r="H4" s="400">
        <v>5</v>
      </c>
      <c r="I4" s="400">
        <f>+G4/H4</f>
        <v>380</v>
      </c>
      <c r="J4" s="401">
        <f>+I4/24</f>
        <v>15.833333333333334</v>
      </c>
      <c r="K4" s="398">
        <f>75000/950</f>
        <v>78.94736842105263</v>
      </c>
    </row>
    <row r="5" spans="2:11" s="107" customFormat="1" ht="27" customHeight="1">
      <c r="B5" s="105" t="s">
        <v>259</v>
      </c>
      <c r="C5" s="105"/>
      <c r="D5" s="448">
        <f>1800000*2</f>
        <v>3600000</v>
      </c>
      <c r="F5" s="108"/>
      <c r="G5" s="399"/>
      <c r="H5" s="399"/>
      <c r="I5" s="399"/>
      <c r="J5" s="399"/>
      <c r="K5" s="399">
        <f>+K4*G4</f>
        <v>150000</v>
      </c>
    </row>
    <row r="6" spans="2:11" s="107" customFormat="1" ht="27" customHeight="1">
      <c r="B6" s="105" t="s">
        <v>260</v>
      </c>
      <c r="C6" s="105"/>
      <c r="D6" s="448">
        <f>500000*2</f>
        <v>1000000</v>
      </c>
      <c r="F6" s="108"/>
    </row>
    <row r="7" spans="2:11" s="107" customFormat="1" ht="27" customHeight="1">
      <c r="B7" s="105"/>
      <c r="C7" s="105"/>
      <c r="D7" s="448"/>
      <c r="F7" s="108"/>
    </row>
    <row r="8" spans="2:11" s="107" customFormat="1" ht="27" customHeight="1">
      <c r="B8" s="105"/>
      <c r="C8" s="105"/>
      <c r="D8" s="448"/>
      <c r="F8" s="108"/>
    </row>
    <row r="9" spans="2:11" s="107" customFormat="1" ht="27" customHeight="1">
      <c r="B9" s="105"/>
      <c r="C9" s="105"/>
      <c r="D9" s="448"/>
      <c r="F9" s="108"/>
    </row>
    <row r="10" spans="2:11" s="107" customFormat="1" ht="27" customHeight="1">
      <c r="B10" s="105"/>
      <c r="C10" s="105"/>
      <c r="D10" s="448"/>
      <c r="F10" s="108"/>
    </row>
    <row r="11" spans="2:11" s="107" customFormat="1" ht="27" customHeight="1">
      <c r="B11" s="105"/>
      <c r="C11" s="105"/>
      <c r="D11" s="448"/>
      <c r="F11" s="108"/>
    </row>
    <row r="12" spans="2:11" s="107" customFormat="1" ht="27" customHeight="1">
      <c r="B12" s="105"/>
      <c r="C12" s="105"/>
      <c r="D12" s="448"/>
      <c r="F12" s="108"/>
    </row>
    <row r="13" spans="2:11" s="107" customFormat="1" ht="27" customHeight="1">
      <c r="B13" s="105"/>
      <c r="C13" s="105"/>
      <c r="D13" s="106"/>
      <c r="F13" s="108"/>
    </row>
    <row r="14" spans="2:11" s="107" customFormat="1" ht="27" customHeight="1">
      <c r="B14" s="105"/>
      <c r="C14" s="105"/>
      <c r="D14" s="106"/>
      <c r="F14" s="108"/>
    </row>
    <row r="15" spans="2:11" s="107" customFormat="1" ht="27" customHeight="1">
      <c r="B15" s="105"/>
      <c r="C15" s="105"/>
      <c r="D15" s="106"/>
      <c r="F15" s="108"/>
    </row>
    <row r="16" spans="2:11" s="107" customFormat="1" ht="27" customHeight="1">
      <c r="B16" s="105"/>
      <c r="C16" s="105"/>
      <c r="D16" s="106"/>
      <c r="F16" s="108"/>
    </row>
    <row r="17" spans="2:6" s="107" customFormat="1" ht="27" customHeight="1">
      <c r="B17" s="105"/>
      <c r="C17" s="105"/>
      <c r="D17" s="106"/>
      <c r="F17" s="108"/>
    </row>
    <row r="18" spans="2:6" s="107" customFormat="1" ht="27" customHeight="1">
      <c r="B18" s="105"/>
      <c r="C18" s="105"/>
      <c r="D18" s="106"/>
      <c r="F18" s="108"/>
    </row>
    <row r="19" spans="2:6" s="107" customFormat="1" ht="26.25" customHeight="1">
      <c r="B19" s="105"/>
      <c r="C19" s="105"/>
      <c r="D19" s="106"/>
      <c r="F19" s="108"/>
    </row>
    <row r="20" spans="2:6" s="107" customFormat="1" ht="26.25" customHeight="1">
      <c r="B20" s="105"/>
      <c r="C20" s="105"/>
      <c r="D20" s="106"/>
      <c r="F20" s="108"/>
    </row>
    <row r="21" spans="2:6" s="107" customFormat="1" ht="26.25" customHeight="1">
      <c r="B21" s="105"/>
      <c r="C21" s="105"/>
      <c r="D21" s="106"/>
      <c r="F21" s="108"/>
    </row>
    <row r="22" spans="2:6" s="107" customFormat="1" ht="26.25" customHeight="1">
      <c r="B22" s="105"/>
      <c r="C22" s="105"/>
      <c r="D22" s="106"/>
      <c r="F22" s="108"/>
    </row>
    <row r="23" spans="2:6" s="107" customFormat="1" ht="26.25" customHeight="1">
      <c r="B23" s="105"/>
      <c r="C23" s="105"/>
      <c r="D23" s="106"/>
      <c r="F23" s="108"/>
    </row>
    <row r="24" spans="2:6" s="107" customFormat="1" ht="26.25" customHeight="1">
      <c r="B24" s="105"/>
      <c r="C24" s="105"/>
      <c r="D24" s="106"/>
      <c r="F24" s="108"/>
    </row>
    <row r="25" spans="2:6" s="107" customFormat="1" ht="26.25" customHeight="1">
      <c r="B25" s="105"/>
      <c r="C25" s="105"/>
      <c r="D25" s="106"/>
      <c r="F25" s="108"/>
    </row>
    <row r="26" spans="2:6" s="107" customFormat="1" ht="26.25" customHeight="1">
      <c r="B26" s="105"/>
      <c r="C26" s="105"/>
      <c r="D26" s="106"/>
      <c r="F26" s="108"/>
    </row>
    <row r="27" spans="2:6" s="107" customFormat="1" ht="26.25" customHeight="1">
      <c r="B27" s="105"/>
      <c r="C27" s="105"/>
      <c r="D27" s="106"/>
      <c r="F27" s="108"/>
    </row>
    <row r="28" spans="2:6" s="107" customFormat="1" ht="26.25" customHeight="1">
      <c r="B28" s="105"/>
      <c r="C28" s="105"/>
      <c r="D28" s="106"/>
      <c r="F28" s="108"/>
    </row>
    <row r="29" spans="2:6" s="107" customFormat="1" ht="26.25" customHeight="1">
      <c r="B29" s="105"/>
      <c r="C29" s="105"/>
      <c r="D29" s="106"/>
      <c r="F29" s="108"/>
    </row>
    <row r="30" spans="2:6" s="107" customFormat="1" ht="26.25" customHeight="1">
      <c r="B30" s="105"/>
      <c r="C30" s="105"/>
      <c r="D30" s="106"/>
      <c r="F30" s="108"/>
    </row>
    <row r="31" spans="2:6" s="107" customFormat="1" ht="30.75" customHeight="1">
      <c r="B31" s="105"/>
      <c r="C31" s="105"/>
      <c r="D31" s="106"/>
      <c r="F31" s="108"/>
    </row>
    <row r="32" spans="2:6" ht="31.5" customHeight="1">
      <c r="B32" s="111" t="s">
        <v>53</v>
      </c>
      <c r="C32" s="112" t="s">
        <v>52</v>
      </c>
      <c r="D32" s="113">
        <f>SUM(D5:D31)</f>
        <v>4600000</v>
      </c>
    </row>
  </sheetData>
  <mergeCells count="2">
    <mergeCell ref="B1:D1"/>
    <mergeCell ref="B2:D2"/>
  </mergeCells>
  <pageMargins left="0.7" right="0.7" top="0.75" bottom="0.75" header="0.3" footer="0.3"/>
  <pageSetup paperSize="9" scale="97" orientation="portrait" horizontalDpi="300" verticalDpi="300" r:id="rId1"/>
  <headerFooter>
    <oddHeader xml:space="preserve">&amp;LDoc. No: FR.SAT.07-A  Date of Issue : 01.03.2010   Rev. Date : ..  Rev. No : 00  
</oddHeader>
    <oddFooter>&amp;LREV: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40"/>
  <sheetViews>
    <sheetView view="pageBreakPreview" zoomScale="70" zoomScaleNormal="100" zoomScaleSheetLayoutView="70" workbookViewId="0">
      <pane xSplit="3" ySplit="4" topLeftCell="D5" activePane="bottomRight" state="frozen"/>
      <selection activeCell="B4" sqref="B4:D13"/>
      <selection pane="topRight" activeCell="B4" sqref="B4:D13"/>
      <selection pane="bottomLeft" activeCell="B4" sqref="B4:D13"/>
      <selection pane="bottomRight" activeCell="L35" sqref="L35"/>
    </sheetView>
  </sheetViews>
  <sheetFormatPr defaultColWidth="10.5546875" defaultRowHeight="26.25" customHeight="1"/>
  <cols>
    <col min="1" max="1" width="4.5546875" style="114" customWidth="1"/>
    <col min="2" max="2" width="40" style="114" customWidth="1"/>
    <col min="3" max="3" width="19.6640625" style="114" customWidth="1"/>
    <col min="4" max="4" width="16.88671875" style="114" customWidth="1"/>
    <col min="5" max="8" width="22" style="114" customWidth="1"/>
    <col min="9" max="10" width="18.33203125" style="114" customWidth="1"/>
    <col min="11" max="13" width="20.5546875" style="114" customWidth="1"/>
    <col min="14" max="14" width="16" style="114" bestFit="1" customWidth="1"/>
    <col min="15" max="15" width="11.44140625" style="114" bestFit="1" customWidth="1"/>
    <col min="16" max="16" width="13.88671875" style="114" bestFit="1" customWidth="1"/>
    <col min="17" max="17" width="14.88671875" style="114" bestFit="1" customWidth="1"/>
    <col min="18" max="16384" width="10.5546875" style="114"/>
  </cols>
  <sheetData>
    <row r="1" spans="2:24" ht="26.25" customHeight="1">
      <c r="B1" s="478" t="str">
        <f>+schedule_ARAS!D2</f>
        <v>FİLYOS LİMANI TAHKİMAT İŞİ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</row>
    <row r="2" spans="2:24" s="115" customFormat="1" ht="26.25" customHeight="1">
      <c r="B2" s="478" t="s">
        <v>54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</row>
    <row r="3" spans="2:24" s="115" customFormat="1" ht="18" customHeight="1">
      <c r="B3" s="116"/>
      <c r="C3" s="117"/>
      <c r="D3" s="118"/>
      <c r="P3" s="115" t="s">
        <v>263</v>
      </c>
      <c r="Q3" s="115">
        <f>4.32*0.84*1000</f>
        <v>3628.8</v>
      </c>
    </row>
    <row r="4" spans="2:24" s="120" customFormat="1" ht="45" customHeight="1">
      <c r="B4" s="119" t="s">
        <v>55</v>
      </c>
      <c r="C4" s="119" t="s">
        <v>56</v>
      </c>
      <c r="D4" s="119" t="s">
        <v>57</v>
      </c>
      <c r="E4" s="119" t="s">
        <v>58</v>
      </c>
      <c r="F4" s="119" t="s">
        <v>222</v>
      </c>
      <c r="G4" s="119" t="s">
        <v>39</v>
      </c>
      <c r="H4" s="119" t="s">
        <v>40</v>
      </c>
      <c r="I4" s="119" t="s">
        <v>59</v>
      </c>
      <c r="J4" s="119" t="s">
        <v>60</v>
      </c>
      <c r="K4" s="119" t="s">
        <v>61</v>
      </c>
      <c r="L4" s="119" t="s">
        <v>62</v>
      </c>
      <c r="M4" s="119" t="s">
        <v>63</v>
      </c>
      <c r="P4" s="120" t="s">
        <v>264</v>
      </c>
      <c r="Q4" s="115">
        <f>2.17*0.84*1000</f>
        <v>1822.8</v>
      </c>
    </row>
    <row r="5" spans="2:24" s="124" customFormat="1" ht="25.8" customHeight="1">
      <c r="B5" s="121" t="str">
        <f>+'Machinery Deployment Chart'!C8</f>
        <v>Kurtuluş Kara</v>
      </c>
      <c r="C5" s="122">
        <f>+'Machinery Deployment Chart'!ET8*30</f>
        <v>900</v>
      </c>
      <c r="D5" s="122">
        <v>4000</v>
      </c>
      <c r="E5" s="122">
        <f t="shared" ref="E5:E8" si="0">C5*D5</f>
        <v>3600000</v>
      </c>
      <c r="F5" s="122">
        <f>+E5*0.2</f>
        <v>720000</v>
      </c>
      <c r="G5" s="122">
        <f>+'Machinery Deployment Chart'!EU8</f>
        <v>13440</v>
      </c>
      <c r="H5" s="122">
        <f>+'Machinery Deployment Chart'!EV8</f>
        <v>7200</v>
      </c>
      <c r="I5" s="320">
        <f>2.5/16</f>
        <v>0.15625</v>
      </c>
      <c r="J5" s="320">
        <f>0.2/8</f>
        <v>2.5000000000000001E-2</v>
      </c>
      <c r="K5" s="321">
        <f>+(G5*I5)+(H5*J5)</f>
        <v>2280</v>
      </c>
      <c r="L5" s="322">
        <f>+K5*Q3</f>
        <v>8273664</v>
      </c>
      <c r="M5" s="323">
        <f>+E5+F5+L5</f>
        <v>12593664</v>
      </c>
      <c r="N5" s="123">
        <f>+E5+F5</f>
        <v>4320000</v>
      </c>
      <c r="O5" s="123"/>
      <c r="P5" s="123"/>
      <c r="S5" s="124">
        <f>340/0.85</f>
        <v>400</v>
      </c>
    </row>
    <row r="6" spans="2:24" s="124" customFormat="1" ht="26.25" customHeight="1">
      <c r="B6" s="121" t="str">
        <f>+'Machinery Deployment Chart'!C9</f>
        <v>Koparan</v>
      </c>
      <c r="C6" s="122">
        <f>+'Machinery Deployment Chart'!ET9*30</f>
        <v>900</v>
      </c>
      <c r="D6" s="122">
        <v>4000</v>
      </c>
      <c r="E6" s="122">
        <f t="shared" si="0"/>
        <v>3600000</v>
      </c>
      <c r="F6" s="122">
        <f>+E6*0.2</f>
        <v>720000</v>
      </c>
      <c r="G6" s="122">
        <f>+'Machinery Deployment Chart'!EU9</f>
        <v>13440</v>
      </c>
      <c r="H6" s="122">
        <f>+'Machinery Deployment Chart'!EV9</f>
        <v>7200</v>
      </c>
      <c r="I6" s="320">
        <f>1.25/16</f>
        <v>7.8125E-2</v>
      </c>
      <c r="J6" s="320">
        <f>0.1/8</f>
        <v>1.2500000000000001E-2</v>
      </c>
      <c r="K6" s="321">
        <f t="shared" ref="K6:K15" si="1">+(G6*I6)+(H6*J6)</f>
        <v>1140</v>
      </c>
      <c r="L6" s="322">
        <f>+K6*Q3</f>
        <v>4136832</v>
      </c>
      <c r="M6" s="323">
        <f>+E6+F6+L6</f>
        <v>8456832</v>
      </c>
      <c r="N6" s="123">
        <f t="shared" ref="N6:N17" si="2">+E6+F6</f>
        <v>4320000</v>
      </c>
      <c r="O6" s="123"/>
      <c r="P6" s="123"/>
    </row>
    <row r="7" spans="2:24" s="124" customFormat="1" ht="26.25" customHeight="1">
      <c r="B7" s="121" t="str">
        <f>+'Machinery Deployment Chart'!C10</f>
        <v>Necem D-18</v>
      </c>
      <c r="C7" s="122">
        <f>+'Machinery Deployment Chart'!ET10*30</f>
        <v>900</v>
      </c>
      <c r="D7" s="122">
        <v>3500</v>
      </c>
      <c r="E7" s="122">
        <f t="shared" si="0"/>
        <v>3150000</v>
      </c>
      <c r="F7" s="122">
        <f t="shared" ref="F7:F32" si="3">+E7*0.2</f>
        <v>630000</v>
      </c>
      <c r="G7" s="122">
        <f>+'Machinery Deployment Chart'!EU10</f>
        <v>13440</v>
      </c>
      <c r="H7" s="122">
        <f>+'Machinery Deployment Chart'!EV10</f>
        <v>7200</v>
      </c>
      <c r="I7" s="320">
        <v>0.125</v>
      </c>
      <c r="J7" s="320">
        <f>0.2/8</f>
        <v>2.5000000000000001E-2</v>
      </c>
      <c r="K7" s="321">
        <f>+(G7*I7)+(H7*J7)</f>
        <v>1860</v>
      </c>
      <c r="L7" s="322">
        <f>+K7*Q3</f>
        <v>6749568</v>
      </c>
      <c r="M7" s="323">
        <f>+E7+F7+L7</f>
        <v>10529568</v>
      </c>
      <c r="N7" s="123">
        <f t="shared" si="2"/>
        <v>3780000</v>
      </c>
      <c r="O7" s="376"/>
      <c r="P7" s="376">
        <v>1.3</v>
      </c>
    </row>
    <row r="8" spans="2:24" s="124" customFormat="1" ht="24" customHeight="1">
      <c r="B8" s="121" t="str">
        <f>+'Machinery Deployment Chart'!C11</f>
        <v>Alpaslan - II</v>
      </c>
      <c r="C8" s="122">
        <f>+'Machinery Deployment Chart'!ET11*30</f>
        <v>900</v>
      </c>
      <c r="D8" s="122">
        <v>2500</v>
      </c>
      <c r="E8" s="122">
        <f t="shared" si="0"/>
        <v>2250000</v>
      </c>
      <c r="F8" s="122">
        <f t="shared" si="3"/>
        <v>450000</v>
      </c>
      <c r="G8" s="122">
        <f>+'Machinery Deployment Chart'!EU11</f>
        <v>13440</v>
      </c>
      <c r="H8" s="122">
        <f>+'Machinery Deployment Chart'!EV11</f>
        <v>7200</v>
      </c>
      <c r="I8" s="320">
        <v>0.125</v>
      </c>
      <c r="J8" s="320">
        <f>0.2/8</f>
        <v>2.5000000000000001E-2</v>
      </c>
      <c r="K8" s="321">
        <f>+(G8*I8)+(H8*J8)</f>
        <v>1860</v>
      </c>
      <c r="L8" s="322">
        <f>+K8*Q3</f>
        <v>6749568</v>
      </c>
      <c r="M8" s="323">
        <f>+E8+F8+L8</f>
        <v>9449568</v>
      </c>
      <c r="N8" s="123">
        <f t="shared" si="2"/>
        <v>2700000</v>
      </c>
      <c r="O8" s="123"/>
      <c r="P8" s="123">
        <f>+P7/0.85</f>
        <v>1.5294117647058825</v>
      </c>
    </row>
    <row r="9" spans="2:24" s="124" customFormat="1" ht="24" customHeight="1">
      <c r="B9" s="121" t="str">
        <f>+'Machinery Deployment Chart'!C12</f>
        <v>Koca Seyit</v>
      </c>
      <c r="C9" s="122">
        <f>+'Machinery Deployment Chart'!ET12*30</f>
        <v>900</v>
      </c>
      <c r="D9" s="122">
        <v>2000</v>
      </c>
      <c r="E9" s="122">
        <f t="shared" ref="E9" si="4">C9*D9</f>
        <v>1800000</v>
      </c>
      <c r="F9" s="122">
        <f t="shared" si="3"/>
        <v>360000</v>
      </c>
      <c r="G9" s="122">
        <f>+'Machinery Deployment Chart'!EU12</f>
        <v>13440</v>
      </c>
      <c r="H9" s="122">
        <f>+'Machinery Deployment Chart'!EV12</f>
        <v>7200</v>
      </c>
      <c r="I9" s="320">
        <f>1.7/16</f>
        <v>0.10625</v>
      </c>
      <c r="J9" s="320">
        <f>0.2/8</f>
        <v>2.5000000000000001E-2</v>
      </c>
      <c r="K9" s="321">
        <f>+(G9*I9)+(H9*J9)</f>
        <v>1608</v>
      </c>
      <c r="L9" s="322">
        <f>+K9*Q3</f>
        <v>5835110.4000000004</v>
      </c>
      <c r="M9" s="323">
        <f t="shared" ref="M9:M32" si="5">+E9+F9+L9</f>
        <v>7995110.4000000004</v>
      </c>
      <c r="N9" s="123">
        <f t="shared" ref="N9" si="6">+E9+F9</f>
        <v>2160000</v>
      </c>
      <c r="O9" s="123"/>
      <c r="P9" s="123" t="e">
        <f>+#REF!/3.01</f>
        <v>#REF!</v>
      </c>
    </row>
    <row r="10" spans="2:24" s="124" customFormat="1" ht="24" customHeight="1">
      <c r="B10" s="121" t="str">
        <f>+'Machinery Deployment Chart'!C13</f>
        <v>Floating Crane 3</v>
      </c>
      <c r="C10" s="122">
        <f>+'Machinery Deployment Chart'!ET13*30</f>
        <v>900</v>
      </c>
      <c r="D10" s="122">
        <v>2000</v>
      </c>
      <c r="E10" s="122">
        <f t="shared" ref="E10" si="7">C10*D10</f>
        <v>1800000</v>
      </c>
      <c r="F10" s="122">
        <f t="shared" si="3"/>
        <v>360000</v>
      </c>
      <c r="G10" s="122">
        <f>+'Machinery Deployment Chart'!EU13</f>
        <v>13440</v>
      </c>
      <c r="H10" s="122">
        <f>+'Machinery Deployment Chart'!EV13</f>
        <v>7200</v>
      </c>
      <c r="I10" s="320">
        <f>1.7/16</f>
        <v>0.10625</v>
      </c>
      <c r="J10" s="320">
        <f>0.2/8</f>
        <v>2.5000000000000001E-2</v>
      </c>
      <c r="K10" s="321">
        <f>+(G10*I10)+(H10*J10)</f>
        <v>1608</v>
      </c>
      <c r="L10" s="322">
        <f>+K10*Q3</f>
        <v>5835110.4000000004</v>
      </c>
      <c r="M10" s="323">
        <f t="shared" si="5"/>
        <v>7995110.4000000004</v>
      </c>
      <c r="N10" s="123">
        <f t="shared" ref="N10" si="8">+E10+F10</f>
        <v>2160000</v>
      </c>
      <c r="O10" s="123"/>
      <c r="P10" s="123"/>
    </row>
    <row r="11" spans="2:24" s="124" customFormat="1" ht="26.25" customHeight="1">
      <c r="B11" s="121" t="str">
        <f>+'Machinery Deployment Chart'!C14</f>
        <v>Midia 5</v>
      </c>
      <c r="C11" s="122">
        <f>+'Machinery Deployment Chart'!ET14*30</f>
        <v>900</v>
      </c>
      <c r="D11" s="122">
        <v>1500</v>
      </c>
      <c r="E11" s="122">
        <f t="shared" ref="E11:E15" si="9">+D11*C11</f>
        <v>1350000</v>
      </c>
      <c r="F11" s="122">
        <f t="shared" si="3"/>
        <v>270000</v>
      </c>
      <c r="G11" s="122">
        <f>+'Machinery Deployment Chart'!EU14</f>
        <v>13440</v>
      </c>
      <c r="H11" s="122">
        <f>+'Machinery Deployment Chart'!EV14</f>
        <v>7200</v>
      </c>
      <c r="I11" s="320">
        <f>1.3/16</f>
        <v>8.1250000000000003E-2</v>
      </c>
      <c r="J11" s="320">
        <f>0.2/8</f>
        <v>2.5000000000000001E-2</v>
      </c>
      <c r="K11" s="321">
        <f t="shared" si="1"/>
        <v>1272</v>
      </c>
      <c r="L11" s="322">
        <f>+K11*Q4</f>
        <v>2318601.6</v>
      </c>
      <c r="M11" s="323">
        <f t="shared" si="5"/>
        <v>3938601.6</v>
      </c>
      <c r="N11" s="123">
        <f t="shared" si="2"/>
        <v>1620000</v>
      </c>
      <c r="O11" s="123"/>
      <c r="P11" s="123"/>
      <c r="X11" s="124" t="s">
        <v>180</v>
      </c>
    </row>
    <row r="12" spans="2:24" s="124" customFormat="1" ht="26.25" customHeight="1">
      <c r="B12" s="121" t="str">
        <f>+'Machinery Deployment Chart'!C15</f>
        <v>Midia 8</v>
      </c>
      <c r="C12" s="122">
        <f>+'Machinery Deployment Chart'!ET15*30</f>
        <v>900</v>
      </c>
      <c r="D12" s="122">
        <v>1500</v>
      </c>
      <c r="E12" s="122">
        <f t="shared" si="9"/>
        <v>1350000</v>
      </c>
      <c r="F12" s="122">
        <f t="shared" si="3"/>
        <v>270000</v>
      </c>
      <c r="G12" s="122">
        <f>+'Machinery Deployment Chart'!EU15</f>
        <v>13440</v>
      </c>
      <c r="H12" s="122">
        <f>+'Machinery Deployment Chart'!EV15</f>
        <v>7200</v>
      </c>
      <c r="I12" s="320">
        <f>1.3/16</f>
        <v>8.1250000000000003E-2</v>
      </c>
      <c r="J12" s="320">
        <f>0.2/8</f>
        <v>2.5000000000000001E-2</v>
      </c>
      <c r="K12" s="321">
        <f t="shared" si="1"/>
        <v>1272</v>
      </c>
      <c r="L12" s="322">
        <f>+K12*Q4</f>
        <v>2318601.6</v>
      </c>
      <c r="M12" s="323">
        <f t="shared" si="5"/>
        <v>3938601.6</v>
      </c>
      <c r="N12" s="123">
        <f t="shared" si="2"/>
        <v>1620000</v>
      </c>
      <c r="O12" s="123"/>
      <c r="P12" s="123"/>
      <c r="X12" s="124" t="s">
        <v>185</v>
      </c>
    </row>
    <row r="13" spans="2:24" s="124" customFormat="1" ht="26.25" customHeight="1">
      <c r="B13" s="121" t="str">
        <f>+'Machinery Deployment Chart'!C16</f>
        <v>Midia 13</v>
      </c>
      <c r="C13" s="122">
        <f>+'Machinery Deployment Chart'!ET16*30</f>
        <v>900</v>
      </c>
      <c r="D13" s="122">
        <v>1500</v>
      </c>
      <c r="E13" s="122">
        <f t="shared" si="9"/>
        <v>1350000</v>
      </c>
      <c r="F13" s="122">
        <f t="shared" si="3"/>
        <v>270000</v>
      </c>
      <c r="G13" s="122">
        <f>+'Machinery Deployment Chart'!EU16</f>
        <v>13440</v>
      </c>
      <c r="H13" s="122">
        <f>+'Machinery Deployment Chart'!EV16</f>
        <v>7200</v>
      </c>
      <c r="I13" s="320">
        <f>1.3/16</f>
        <v>8.1250000000000003E-2</v>
      </c>
      <c r="J13" s="320">
        <f>0.2/8</f>
        <v>2.5000000000000001E-2</v>
      </c>
      <c r="K13" s="321">
        <f t="shared" si="1"/>
        <v>1272</v>
      </c>
      <c r="L13" s="322">
        <f>+K13*Q4</f>
        <v>2318601.6</v>
      </c>
      <c r="M13" s="323">
        <f t="shared" si="5"/>
        <v>3938601.6</v>
      </c>
      <c r="N13" s="123">
        <f t="shared" si="2"/>
        <v>1620000</v>
      </c>
      <c r="O13" s="123"/>
      <c r="P13" s="123"/>
      <c r="X13" s="124" t="s">
        <v>181</v>
      </c>
    </row>
    <row r="14" spans="2:24" s="124" customFormat="1" ht="26.25" customHeight="1">
      <c r="B14" s="121" t="str">
        <f>+'Machinery Deployment Chart'!C17</f>
        <v>Paşa</v>
      </c>
      <c r="C14" s="122">
        <f>+'Machinery Deployment Chart'!ET17*30</f>
        <v>900</v>
      </c>
      <c r="D14" s="122">
        <v>1500</v>
      </c>
      <c r="E14" s="122">
        <f t="shared" si="9"/>
        <v>1350000</v>
      </c>
      <c r="F14" s="122">
        <f t="shared" si="3"/>
        <v>270000</v>
      </c>
      <c r="G14" s="122">
        <f>+'Machinery Deployment Chart'!EU17</f>
        <v>13440</v>
      </c>
      <c r="H14" s="122">
        <f>+'Machinery Deployment Chart'!EV17</f>
        <v>7200</v>
      </c>
      <c r="I14" s="320">
        <f>1.5/16</f>
        <v>9.375E-2</v>
      </c>
      <c r="J14" s="320">
        <f>0.2/8</f>
        <v>2.5000000000000001E-2</v>
      </c>
      <c r="K14" s="321">
        <f t="shared" si="1"/>
        <v>1440</v>
      </c>
      <c r="L14" s="322">
        <f>+K14*Q4</f>
        <v>2624832</v>
      </c>
      <c r="M14" s="323">
        <f t="shared" si="5"/>
        <v>4244832</v>
      </c>
      <c r="N14" s="123">
        <f t="shared" si="2"/>
        <v>1620000</v>
      </c>
      <c r="O14" s="123"/>
      <c r="P14" s="123"/>
      <c r="X14" s="124" t="s">
        <v>182</v>
      </c>
    </row>
    <row r="15" spans="2:24" s="124" customFormat="1" ht="26.25" customHeight="1">
      <c r="B15" s="121" t="str">
        <f>+'Machinery Deployment Chart'!C18</f>
        <v>Hila</v>
      </c>
      <c r="C15" s="122">
        <f>+'Machinery Deployment Chart'!ET18*30</f>
        <v>900</v>
      </c>
      <c r="D15" s="122">
        <v>1500</v>
      </c>
      <c r="E15" s="122">
        <f t="shared" si="9"/>
        <v>1350000</v>
      </c>
      <c r="F15" s="122">
        <f t="shared" si="3"/>
        <v>270000</v>
      </c>
      <c r="G15" s="122">
        <f>+'Machinery Deployment Chart'!EU18</f>
        <v>13440</v>
      </c>
      <c r="H15" s="122">
        <f>+'Machinery Deployment Chart'!EV18</f>
        <v>7200</v>
      </c>
      <c r="I15" s="320">
        <f>1.3/16</f>
        <v>8.1250000000000003E-2</v>
      </c>
      <c r="J15" s="320">
        <f>0.2/8</f>
        <v>2.5000000000000001E-2</v>
      </c>
      <c r="K15" s="321">
        <f t="shared" si="1"/>
        <v>1272</v>
      </c>
      <c r="L15" s="322">
        <f>+K15*Q4</f>
        <v>2318601.6</v>
      </c>
      <c r="M15" s="323">
        <f t="shared" si="5"/>
        <v>3938601.6</v>
      </c>
      <c r="N15" s="123">
        <f t="shared" si="2"/>
        <v>1620000</v>
      </c>
      <c r="O15" s="123"/>
      <c r="P15" s="123"/>
      <c r="X15" s="124" t="s">
        <v>183</v>
      </c>
    </row>
    <row r="16" spans="2:24" s="124" customFormat="1" ht="26.25" customHeight="1">
      <c r="B16" s="121" t="str">
        <f>+'Machinery Deployment Chart'!C19</f>
        <v>Daria</v>
      </c>
      <c r="C16" s="122">
        <f>+'Machinery Deployment Chart'!ET19*30</f>
        <v>900</v>
      </c>
      <c r="D16" s="122">
        <v>1500</v>
      </c>
      <c r="E16" s="122">
        <f t="shared" ref="E16:E17" si="10">+D16*C16</f>
        <v>1350000</v>
      </c>
      <c r="F16" s="122">
        <f t="shared" si="3"/>
        <v>270000</v>
      </c>
      <c r="G16" s="122">
        <f>+'Machinery Deployment Chart'!EU19</f>
        <v>13440</v>
      </c>
      <c r="H16" s="122">
        <f>+'Machinery Deployment Chart'!EV19</f>
        <v>7200</v>
      </c>
      <c r="I16" s="320">
        <f>1.3/16</f>
        <v>8.1250000000000003E-2</v>
      </c>
      <c r="J16" s="320">
        <f>0.2/8</f>
        <v>2.5000000000000001E-2</v>
      </c>
      <c r="K16" s="321">
        <f t="shared" ref="K16:K32" si="11">+(G16*I16)+(H16*J16)</f>
        <v>1272</v>
      </c>
      <c r="L16" s="322">
        <f>+K16*Q4</f>
        <v>2318601.6</v>
      </c>
      <c r="M16" s="323">
        <f t="shared" si="5"/>
        <v>3938601.6</v>
      </c>
      <c r="N16" s="123">
        <f t="shared" si="2"/>
        <v>1620000</v>
      </c>
      <c r="O16" s="123"/>
      <c r="P16" s="123"/>
      <c r="X16" s="124" t="s">
        <v>184</v>
      </c>
    </row>
    <row r="17" spans="2:24" s="124" customFormat="1" ht="26.25" customHeight="1">
      <c r="B17" s="121" t="str">
        <f>+'Machinery Deployment Chart'!C20</f>
        <v>Hadar</v>
      </c>
      <c r="C17" s="122">
        <f>+'Machinery Deployment Chart'!ET20*30</f>
        <v>900</v>
      </c>
      <c r="D17" s="122">
        <v>1500</v>
      </c>
      <c r="E17" s="122">
        <f t="shared" si="10"/>
        <v>1350000</v>
      </c>
      <c r="F17" s="122">
        <f t="shared" si="3"/>
        <v>270000</v>
      </c>
      <c r="G17" s="122">
        <f>+'Machinery Deployment Chart'!EU20</f>
        <v>13440</v>
      </c>
      <c r="H17" s="122">
        <f>+'Machinery Deployment Chart'!EV20</f>
        <v>7200</v>
      </c>
      <c r="I17" s="320">
        <f>1.3/16</f>
        <v>8.1250000000000003E-2</v>
      </c>
      <c r="J17" s="320">
        <f>0.2/8</f>
        <v>2.5000000000000001E-2</v>
      </c>
      <c r="K17" s="321">
        <f t="shared" si="11"/>
        <v>1272</v>
      </c>
      <c r="L17" s="322">
        <f>+K17*Q4</f>
        <v>2318601.6</v>
      </c>
      <c r="M17" s="323">
        <f t="shared" si="5"/>
        <v>3938601.6</v>
      </c>
      <c r="N17" s="123">
        <f t="shared" si="2"/>
        <v>1620000</v>
      </c>
      <c r="O17" s="123"/>
      <c r="P17" s="123"/>
      <c r="X17" s="124" t="s">
        <v>190</v>
      </c>
    </row>
    <row r="18" spans="2:24" s="124" customFormat="1" ht="26.25" customHeight="1">
      <c r="B18" s="121" t="str">
        <f>+'Machinery Deployment Chart'!C21</f>
        <v>Split Barge (x5)</v>
      </c>
      <c r="C18" s="122">
        <f>+'Machinery Deployment Chart'!ET21*30</f>
        <v>4500</v>
      </c>
      <c r="D18" s="122">
        <v>1500</v>
      </c>
      <c r="E18" s="122">
        <f t="shared" ref="E18:E25" si="12">C18*D18</f>
        <v>6750000</v>
      </c>
      <c r="F18" s="122">
        <f t="shared" si="3"/>
        <v>1350000</v>
      </c>
      <c r="G18" s="122">
        <f>+'Machinery Deployment Chart'!EU21</f>
        <v>67200</v>
      </c>
      <c r="H18" s="122">
        <f>+'Machinery Deployment Chart'!EV21</f>
        <v>36000</v>
      </c>
      <c r="I18" s="320">
        <f>1.3/16</f>
        <v>8.1250000000000003E-2</v>
      </c>
      <c r="J18" s="320">
        <f>0.2/8</f>
        <v>2.5000000000000001E-2</v>
      </c>
      <c r="K18" s="321">
        <f t="shared" si="11"/>
        <v>6360</v>
      </c>
      <c r="L18" s="322">
        <f>+K18*Q4</f>
        <v>11593008</v>
      </c>
      <c r="M18" s="323">
        <f t="shared" si="5"/>
        <v>19693008</v>
      </c>
      <c r="N18" s="123"/>
      <c r="O18" s="123"/>
      <c r="P18" s="123"/>
      <c r="X18" s="124" t="s">
        <v>191</v>
      </c>
    </row>
    <row r="19" spans="2:24" s="124" customFormat="1" ht="26.25" customHeight="1">
      <c r="B19" s="121" t="str">
        <f>+'Machinery Deployment Chart'!C22</f>
        <v>Bozkurt</v>
      </c>
      <c r="C19" s="122">
        <f>+'Machinery Deployment Chart'!ET22*30</f>
        <v>900</v>
      </c>
      <c r="D19" s="122">
        <v>750</v>
      </c>
      <c r="E19" s="122">
        <f t="shared" si="12"/>
        <v>675000</v>
      </c>
      <c r="F19" s="122">
        <f t="shared" si="3"/>
        <v>135000</v>
      </c>
      <c r="G19" s="122">
        <f>+'Machinery Deployment Chart'!EU22</f>
        <v>13440</v>
      </c>
      <c r="H19" s="122">
        <f>+'Machinery Deployment Chart'!EV22</f>
        <v>7200</v>
      </c>
      <c r="I19" s="320">
        <v>0.1875</v>
      </c>
      <c r="J19" s="320">
        <f>0.5/8</f>
        <v>6.25E-2</v>
      </c>
      <c r="K19" s="321">
        <f t="shared" si="11"/>
        <v>2970</v>
      </c>
      <c r="L19" s="322">
        <f>+K19*Q4</f>
        <v>5413716</v>
      </c>
      <c r="M19" s="323">
        <f t="shared" si="5"/>
        <v>6223716</v>
      </c>
      <c r="N19" s="123"/>
      <c r="O19" s="123"/>
      <c r="P19" s="123"/>
      <c r="X19" s="124" t="s">
        <v>192</v>
      </c>
    </row>
    <row r="20" spans="2:24" s="124" customFormat="1" ht="26.25" customHeight="1">
      <c r="B20" s="121" t="str">
        <f>+'Machinery Deployment Chart'!C23</f>
        <v>Yozgat</v>
      </c>
      <c r="C20" s="122">
        <f>+'Machinery Deployment Chart'!ET23*30</f>
        <v>900</v>
      </c>
      <c r="D20" s="122">
        <v>400</v>
      </c>
      <c r="E20" s="122">
        <f t="shared" si="12"/>
        <v>360000</v>
      </c>
      <c r="F20" s="122">
        <f t="shared" si="3"/>
        <v>72000</v>
      </c>
      <c r="G20" s="122">
        <f>+'Machinery Deployment Chart'!EU23</f>
        <v>13440</v>
      </c>
      <c r="H20" s="122">
        <f>+'Machinery Deployment Chart'!EV23</f>
        <v>7200</v>
      </c>
      <c r="I20" s="320">
        <f>1.3/16</f>
        <v>8.1250000000000003E-2</v>
      </c>
      <c r="J20" s="320">
        <f>0.18/8</f>
        <v>2.2499999999999999E-2</v>
      </c>
      <c r="K20" s="321">
        <f t="shared" si="11"/>
        <v>1254</v>
      </c>
      <c r="L20" s="322">
        <f>+K20*Q4</f>
        <v>2285791.1999999997</v>
      </c>
      <c r="M20" s="323">
        <f t="shared" si="5"/>
        <v>2717791.1999999997</v>
      </c>
      <c r="N20" s="123"/>
      <c r="O20" s="123"/>
      <c r="P20" s="123"/>
    </row>
    <row r="21" spans="2:24" s="124" customFormat="1" ht="26.25" customHeight="1">
      <c r="B21" s="121" t="str">
        <f>+'Machinery Deployment Chart'!C24</f>
        <v>Dalgıç</v>
      </c>
      <c r="C21" s="122">
        <f>+'Machinery Deployment Chart'!ET24*30</f>
        <v>900</v>
      </c>
      <c r="D21" s="122">
        <v>400</v>
      </c>
      <c r="E21" s="122">
        <f t="shared" si="12"/>
        <v>360000</v>
      </c>
      <c r="F21" s="122">
        <f t="shared" si="3"/>
        <v>72000</v>
      </c>
      <c r="G21" s="122">
        <f>+'Machinery Deployment Chart'!EU24</f>
        <v>13440</v>
      </c>
      <c r="H21" s="122">
        <f>+'Machinery Deployment Chart'!EV24</f>
        <v>7200</v>
      </c>
      <c r="I21" s="320">
        <v>6.25E-2</v>
      </c>
      <c r="J21" s="320">
        <f>0.12/8</f>
        <v>1.4999999999999999E-2</v>
      </c>
      <c r="K21" s="321">
        <f t="shared" si="11"/>
        <v>948</v>
      </c>
      <c r="L21" s="322">
        <f>+K21*Q4</f>
        <v>1728014.4</v>
      </c>
      <c r="M21" s="323">
        <f t="shared" si="5"/>
        <v>2160014.4</v>
      </c>
      <c r="N21" s="123"/>
      <c r="O21" s="123"/>
      <c r="P21" s="123"/>
      <c r="X21" s="114"/>
    </row>
    <row r="22" spans="2:24" s="124" customFormat="1" ht="26.25" customHeight="1">
      <c r="B22" s="121" t="str">
        <f>+'Machinery Deployment Chart'!C25</f>
        <v>Yunus - 6</v>
      </c>
      <c r="C22" s="122">
        <f>+'Machinery Deployment Chart'!ET25*30</f>
        <v>900</v>
      </c>
      <c r="D22" s="122">
        <v>250</v>
      </c>
      <c r="E22" s="122">
        <f t="shared" si="12"/>
        <v>225000</v>
      </c>
      <c r="F22" s="122">
        <f t="shared" si="3"/>
        <v>45000</v>
      </c>
      <c r="G22" s="122">
        <f>+'Machinery Deployment Chart'!EU25</f>
        <v>13440</v>
      </c>
      <c r="H22" s="122">
        <f>+'Machinery Deployment Chart'!EV25</f>
        <v>7200</v>
      </c>
      <c r="I22" s="320">
        <f>0.25/16</f>
        <v>1.5625E-2</v>
      </c>
      <c r="J22" s="320">
        <f>0/8</f>
        <v>0</v>
      </c>
      <c r="K22" s="321">
        <f t="shared" si="11"/>
        <v>210</v>
      </c>
      <c r="L22" s="322">
        <f>+K22*Q4</f>
        <v>382788</v>
      </c>
      <c r="M22" s="323">
        <f t="shared" si="5"/>
        <v>652788</v>
      </c>
      <c r="N22" s="123"/>
      <c r="O22" s="123"/>
      <c r="P22" s="123"/>
      <c r="X22" s="114"/>
    </row>
    <row r="23" spans="2:24" s="124" customFormat="1" ht="26.25" customHeight="1">
      <c r="B23" s="121" t="str">
        <f>+'Machinery Deployment Chart'!C26</f>
        <v>Atmaca</v>
      </c>
      <c r="C23" s="122">
        <f>+'Machinery Deployment Chart'!ET26*30</f>
        <v>900</v>
      </c>
      <c r="D23" s="122">
        <v>50</v>
      </c>
      <c r="E23" s="122">
        <f>+D23*C23</f>
        <v>45000</v>
      </c>
      <c r="F23" s="122">
        <f>+E23*0.2</f>
        <v>9000</v>
      </c>
      <c r="G23" s="122">
        <f>+'Machinery Deployment Chart'!EU26</f>
        <v>13440</v>
      </c>
      <c r="H23" s="122">
        <f>+'Machinery Deployment Chart'!EV26</f>
        <v>7200</v>
      </c>
      <c r="I23" s="320">
        <f>0.25/16</f>
        <v>1.5625E-2</v>
      </c>
      <c r="J23" s="320">
        <f>0/8</f>
        <v>0</v>
      </c>
      <c r="K23" s="321">
        <f t="shared" si="11"/>
        <v>210</v>
      </c>
      <c r="L23" s="322">
        <f>+K23*Q4</f>
        <v>382788</v>
      </c>
      <c r="M23" s="323">
        <f t="shared" si="5"/>
        <v>436788</v>
      </c>
      <c r="N23" s="123"/>
      <c r="O23" s="123"/>
      <c r="P23" s="123"/>
      <c r="X23"/>
    </row>
    <row r="24" spans="2:24" s="124" customFormat="1" ht="26.25" customHeight="1">
      <c r="B24" s="121" t="str">
        <f>+'Machinery Deployment Chart'!C27</f>
        <v>Tayfun</v>
      </c>
      <c r="C24" s="122">
        <f>+'Machinery Deployment Chart'!ET27*30</f>
        <v>900</v>
      </c>
      <c r="D24" s="122">
        <v>50</v>
      </c>
      <c r="E24" s="122">
        <f>+D24*C24</f>
        <v>45000</v>
      </c>
      <c r="F24" s="122">
        <f>+E24*0.2</f>
        <v>9000</v>
      </c>
      <c r="G24" s="122">
        <f>+'Machinery Deployment Chart'!EU27</f>
        <v>13440</v>
      </c>
      <c r="H24" s="122">
        <f>+'Machinery Deployment Chart'!EV27</f>
        <v>7200</v>
      </c>
      <c r="I24" s="320">
        <f>0.25/16</f>
        <v>1.5625E-2</v>
      </c>
      <c r="J24" s="320">
        <v>0</v>
      </c>
      <c r="K24" s="321">
        <f t="shared" si="11"/>
        <v>210</v>
      </c>
      <c r="L24" s="322">
        <f>+K24*Q4</f>
        <v>382788</v>
      </c>
      <c r="M24" s="323">
        <f t="shared" si="5"/>
        <v>436788</v>
      </c>
      <c r="N24" s="123"/>
      <c r="O24" s="123"/>
      <c r="P24" s="123"/>
      <c r="X24"/>
    </row>
    <row r="25" spans="2:24" s="124" customFormat="1" ht="26.25" customHeight="1">
      <c r="B25" s="121" t="str">
        <f>+'Machinery Deployment Chart'!C28</f>
        <v>Crawler Crane (x5)</v>
      </c>
      <c r="C25" s="122">
        <f>+'Machinery Deployment Chart'!ET28*30</f>
        <v>4500</v>
      </c>
      <c r="D25" s="122">
        <v>900</v>
      </c>
      <c r="E25" s="122">
        <f>+C25*D25</f>
        <v>4050000</v>
      </c>
      <c r="F25" s="122">
        <f t="shared" si="3"/>
        <v>810000</v>
      </c>
      <c r="G25" s="122">
        <f>+'Machinery Deployment Chart'!EU26</f>
        <v>13440</v>
      </c>
      <c r="H25" s="122">
        <f>+'Machinery Deployment Chart'!EV26</f>
        <v>7200</v>
      </c>
      <c r="I25" s="320">
        <v>0.05</v>
      </c>
      <c r="J25" s="320">
        <v>0</v>
      </c>
      <c r="K25" s="321">
        <f t="shared" si="11"/>
        <v>672</v>
      </c>
      <c r="L25" s="322">
        <f>+K25*Q4</f>
        <v>1224921.5999999999</v>
      </c>
      <c r="M25" s="323">
        <f t="shared" si="5"/>
        <v>6084921.5999999996</v>
      </c>
      <c r="N25" s="123"/>
      <c r="O25" s="123"/>
      <c r="P25" s="123"/>
    </row>
    <row r="26" spans="2:24" s="124" customFormat="1" ht="26.25" customHeight="1">
      <c r="B26" s="121" t="str">
        <f>+'Machinery Deployment Chart'!C29</f>
        <v>Excavator (x5)</v>
      </c>
      <c r="C26" s="122">
        <f>+'Machinery Deployment Chart'!ET29*30</f>
        <v>4500</v>
      </c>
      <c r="D26" s="122">
        <v>350</v>
      </c>
      <c r="E26" s="122">
        <f t="shared" ref="E26:E29" si="13">+D26*C26</f>
        <v>1575000</v>
      </c>
      <c r="F26" s="122">
        <f t="shared" si="3"/>
        <v>315000</v>
      </c>
      <c r="G26" s="122">
        <f>+'Machinery Deployment Chart'!EU28</f>
        <v>67200</v>
      </c>
      <c r="H26" s="122">
        <f>+'Machinery Deployment Chart'!EV27</f>
        <v>7200</v>
      </c>
      <c r="I26" s="320">
        <v>2.9399999999999999E-2</v>
      </c>
      <c r="J26" s="320">
        <v>0</v>
      </c>
      <c r="K26" s="321">
        <f t="shared" si="11"/>
        <v>1975.6799999999998</v>
      </c>
      <c r="L26" s="322">
        <f>+K26*Q4</f>
        <v>3601269.5039999997</v>
      </c>
      <c r="M26" s="323">
        <f t="shared" si="5"/>
        <v>5491269.5039999997</v>
      </c>
      <c r="N26" s="123"/>
      <c r="O26" s="123"/>
      <c r="P26" s="123"/>
      <c r="X26"/>
    </row>
    <row r="27" spans="2:24" s="124" customFormat="1" ht="26.25" customHeight="1">
      <c r="B27" s="121" t="str">
        <f>+'Machinery Deployment Chart'!C30</f>
        <v>Loader (x3)</v>
      </c>
      <c r="C27" s="122">
        <f>+'Machinery Deployment Chart'!ET30*30</f>
        <v>2700</v>
      </c>
      <c r="D27" s="122">
        <v>300</v>
      </c>
      <c r="E27" s="122">
        <f t="shared" si="13"/>
        <v>810000</v>
      </c>
      <c r="F27" s="122">
        <f t="shared" si="3"/>
        <v>162000</v>
      </c>
      <c r="G27" s="122">
        <f>+'Machinery Deployment Chart'!EU29</f>
        <v>67200</v>
      </c>
      <c r="H27" s="122">
        <f>+'Machinery Deployment Chart'!EV28</f>
        <v>36000</v>
      </c>
      <c r="I27" s="320">
        <v>1.4999999999999999E-2</v>
      </c>
      <c r="J27" s="320">
        <v>0</v>
      </c>
      <c r="K27" s="321">
        <f t="shared" si="11"/>
        <v>1008</v>
      </c>
      <c r="L27" s="322">
        <f>+K27*Q4</f>
        <v>1837382.4</v>
      </c>
      <c r="M27" s="323">
        <f t="shared" si="5"/>
        <v>2809382.4</v>
      </c>
      <c r="N27" s="123"/>
      <c r="O27" s="123"/>
      <c r="P27" s="123"/>
      <c r="X27"/>
    </row>
    <row r="28" spans="2:24" s="124" customFormat="1" ht="26.25" customHeight="1">
      <c r="B28" s="121" t="str">
        <f>+'Machinery Deployment Chart'!C31</f>
        <v>Cylinder (x2)</v>
      </c>
      <c r="C28" s="122">
        <f>+'Machinery Deployment Chart'!ET31*30</f>
        <v>1800</v>
      </c>
      <c r="D28" s="122">
        <v>250</v>
      </c>
      <c r="E28" s="122">
        <f t="shared" si="13"/>
        <v>450000</v>
      </c>
      <c r="F28" s="122">
        <f t="shared" si="3"/>
        <v>90000</v>
      </c>
      <c r="G28" s="122">
        <f>+'Machinery Deployment Chart'!EU30</f>
        <v>40320</v>
      </c>
      <c r="H28" s="122">
        <f>+'Machinery Deployment Chart'!EV29</f>
        <v>36000</v>
      </c>
      <c r="I28" s="320">
        <v>1.4999999999999999E-2</v>
      </c>
      <c r="J28" s="320">
        <v>0</v>
      </c>
      <c r="K28" s="321">
        <f t="shared" si="11"/>
        <v>604.79999999999995</v>
      </c>
      <c r="L28" s="322">
        <f>+K28*Q4</f>
        <v>1102429.44</v>
      </c>
      <c r="M28" s="323">
        <f t="shared" si="5"/>
        <v>1642429.4399999999</v>
      </c>
      <c r="N28" s="123"/>
      <c r="O28" s="123"/>
      <c r="P28" s="123"/>
      <c r="X28"/>
    </row>
    <row r="29" spans="2:24" s="124" customFormat="1" ht="26.25" customHeight="1">
      <c r="B29" s="121" t="str">
        <f>+'Machinery Deployment Chart'!C32</f>
        <v>Dump Truck (x20)</v>
      </c>
      <c r="C29" s="122">
        <f>+'Machinery Deployment Chart'!ET32*30</f>
        <v>18000</v>
      </c>
      <c r="D29" s="122">
        <v>150</v>
      </c>
      <c r="E29" s="122">
        <f t="shared" si="13"/>
        <v>2700000</v>
      </c>
      <c r="F29" s="122">
        <f t="shared" si="3"/>
        <v>540000</v>
      </c>
      <c r="G29" s="122">
        <f>+'Machinery Deployment Chart'!EU31</f>
        <v>26880</v>
      </c>
      <c r="H29" s="122">
        <f>+'Machinery Deployment Chart'!EV30</f>
        <v>21600</v>
      </c>
      <c r="I29" s="320">
        <v>0.01</v>
      </c>
      <c r="J29" s="320">
        <v>0</v>
      </c>
      <c r="K29" s="321">
        <f t="shared" si="11"/>
        <v>268.8</v>
      </c>
      <c r="L29" s="322">
        <f>+K29*Q4</f>
        <v>489968.64000000001</v>
      </c>
      <c r="M29" s="323">
        <f t="shared" si="5"/>
        <v>3729968.64</v>
      </c>
      <c r="N29" s="123"/>
      <c r="O29" s="123"/>
      <c r="P29" s="123"/>
      <c r="X29"/>
    </row>
    <row r="30" spans="2:24" s="124" customFormat="1" ht="26.25" customHeight="1">
      <c r="B30" s="121" t="str">
        <f>+'Machinery Deployment Chart'!C41</f>
        <v>Car</v>
      </c>
      <c r="C30" s="122">
        <f>+'Machinery Deployment Chart'!ET41*30</f>
        <v>1140</v>
      </c>
      <c r="D30" s="122">
        <v>25</v>
      </c>
      <c r="E30" s="122">
        <f t="shared" ref="E30:E32" si="14">+D30*C30</f>
        <v>28500</v>
      </c>
      <c r="F30" s="122">
        <f t="shared" si="3"/>
        <v>5700</v>
      </c>
      <c r="G30" s="122">
        <f>+'Machinery Deployment Chart'!EU41</f>
        <v>17024</v>
      </c>
      <c r="H30" s="122">
        <f>+'Machinery Deployment Chart'!EV41</f>
        <v>9120</v>
      </c>
      <c r="I30" s="320">
        <v>1E-3</v>
      </c>
      <c r="J30" s="320">
        <v>0</v>
      </c>
      <c r="K30" s="321">
        <f t="shared" si="11"/>
        <v>17.024000000000001</v>
      </c>
      <c r="L30" s="322">
        <f>+K30*Q3</f>
        <v>61776.691200000008</v>
      </c>
      <c r="M30" s="323">
        <f t="shared" si="5"/>
        <v>95976.691200000001</v>
      </c>
      <c r="N30" s="123"/>
      <c r="O30" s="123"/>
      <c r="P30" s="123"/>
      <c r="X30"/>
    </row>
    <row r="31" spans="2:24" s="124" customFormat="1" ht="26.25" customHeight="1">
      <c r="B31" s="121" t="str">
        <f>+'Machinery Deployment Chart'!C42</f>
        <v>Pick-Up</v>
      </c>
      <c r="C31" s="122">
        <f>+'Machinery Deployment Chart'!ET42*30</f>
        <v>1140</v>
      </c>
      <c r="D31" s="122">
        <v>35</v>
      </c>
      <c r="E31" s="122">
        <f t="shared" si="14"/>
        <v>39900</v>
      </c>
      <c r="F31" s="122">
        <f t="shared" si="3"/>
        <v>7980</v>
      </c>
      <c r="G31" s="122">
        <f>+'Machinery Deployment Chart'!EU42</f>
        <v>17024</v>
      </c>
      <c r="H31" s="122">
        <f>+'Machinery Deployment Chart'!EV42</f>
        <v>9120</v>
      </c>
      <c r="I31" s="320">
        <v>1E-3</v>
      </c>
      <c r="J31" s="320">
        <v>0</v>
      </c>
      <c r="K31" s="321">
        <f t="shared" si="11"/>
        <v>17.024000000000001</v>
      </c>
      <c r="L31" s="322">
        <f>+K31*Q3</f>
        <v>61776.691200000008</v>
      </c>
      <c r="M31" s="323">
        <f t="shared" si="5"/>
        <v>109656.6912</v>
      </c>
      <c r="N31" s="123"/>
      <c r="O31" s="123"/>
      <c r="P31" s="123"/>
      <c r="X31"/>
    </row>
    <row r="32" spans="2:24" s="124" customFormat="1" ht="26.25" customHeight="1">
      <c r="B32" s="121" t="str">
        <f>+'Machinery Deployment Chart'!C43</f>
        <v>Mini-bus</v>
      </c>
      <c r="C32" s="122">
        <f>+'Machinery Deployment Chart'!ET43*30</f>
        <v>1140</v>
      </c>
      <c r="D32" s="122">
        <v>50</v>
      </c>
      <c r="E32" s="122">
        <f t="shared" si="14"/>
        <v>57000</v>
      </c>
      <c r="F32" s="122">
        <f t="shared" si="3"/>
        <v>11400</v>
      </c>
      <c r="G32" s="122">
        <f>+'Machinery Deployment Chart'!EU43</f>
        <v>17024</v>
      </c>
      <c r="H32" s="122">
        <f>+'Machinery Deployment Chart'!EV43</f>
        <v>9120</v>
      </c>
      <c r="I32" s="320">
        <v>1E-3</v>
      </c>
      <c r="J32" s="320">
        <v>0</v>
      </c>
      <c r="K32" s="321">
        <f t="shared" si="11"/>
        <v>17.024000000000001</v>
      </c>
      <c r="L32" s="322">
        <f>+K32*Q3</f>
        <v>61776.691200000008</v>
      </c>
      <c r="M32" s="323">
        <f t="shared" si="5"/>
        <v>130176.6912</v>
      </c>
      <c r="N32" s="123"/>
      <c r="O32" s="123"/>
      <c r="P32" s="123"/>
      <c r="X32"/>
    </row>
    <row r="33" spans="2:24" s="124" customFormat="1" ht="26.25" customHeight="1">
      <c r="B33" s="121"/>
      <c r="C33" s="122"/>
      <c r="D33" s="122"/>
      <c r="E33" s="122"/>
      <c r="F33" s="122"/>
      <c r="G33" s="122"/>
      <c r="H33" s="122"/>
      <c r="I33" s="320"/>
      <c r="J33" s="320"/>
      <c r="K33" s="321"/>
      <c r="L33" s="322"/>
      <c r="M33" s="323"/>
      <c r="N33" s="123"/>
      <c r="O33" s="123"/>
      <c r="P33" s="123"/>
      <c r="X33"/>
    </row>
    <row r="34" spans="2:24" s="126" customFormat="1" ht="26.25" customHeight="1">
      <c r="B34" s="125" t="s">
        <v>64</v>
      </c>
      <c r="C34" s="324"/>
      <c r="D34" s="324"/>
      <c r="E34" s="324">
        <f>SUM(E5:E33)</f>
        <v>43820400</v>
      </c>
      <c r="F34" s="324">
        <f>SUM(F5:F33)</f>
        <v>8764080</v>
      </c>
      <c r="G34" s="324"/>
      <c r="H34" s="324"/>
      <c r="I34" s="324"/>
      <c r="J34" s="324"/>
      <c r="K34" s="324"/>
      <c r="L34" s="324">
        <f>SUM(L5:L32)</f>
        <v>84726489.657600015</v>
      </c>
      <c r="M34" s="324">
        <f>SUM(M5:M32)</f>
        <v>137310969.65759993</v>
      </c>
      <c r="N34" s="324">
        <f>SUM(C34:L34)-M34</f>
        <v>0</v>
      </c>
      <c r="X34"/>
    </row>
    <row r="35" spans="2:24" ht="20.25" customHeight="1">
      <c r="C35" s="114">
        <f>+C34/30</f>
        <v>0</v>
      </c>
      <c r="X35"/>
    </row>
    <row r="36" spans="2:24" ht="26.25" customHeight="1">
      <c r="E36" s="114" t="e">
        <f>+E5+E6+#REF!+E7+E8</f>
        <v>#REF!</v>
      </c>
      <c r="X36"/>
    </row>
    <row r="37" spans="2:24" ht="26.25" customHeight="1">
      <c r="X37"/>
    </row>
    <row r="38" spans="2:24" ht="26.25" customHeight="1">
      <c r="X38"/>
    </row>
    <row r="39" spans="2:24" ht="26.25" customHeight="1">
      <c r="B39" s="114" t="s">
        <v>164</v>
      </c>
      <c r="C39" s="372"/>
    </row>
    <row r="40" spans="2:24" ht="26.25" customHeight="1">
      <c r="B40" s="127" t="s">
        <v>165</v>
      </c>
      <c r="C40" s="372"/>
    </row>
  </sheetData>
  <mergeCells count="2">
    <mergeCell ref="B1:M1"/>
    <mergeCell ref="B2:M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Header xml:space="preserve">&amp;LDoc. No: FR.SAT.07-B  Date of Issue : 01.03.2010   Rev. Date : ..  Rev. No : 00  </oddHeader>
    <oddFooter>&amp;LREV: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view="pageBreakPreview" zoomScale="85" zoomScaleNormal="100" zoomScaleSheetLayoutView="85" workbookViewId="0">
      <selection activeCell="H25" sqref="H25"/>
    </sheetView>
  </sheetViews>
  <sheetFormatPr defaultColWidth="9.109375" defaultRowHeight="22.5" customHeight="1"/>
  <cols>
    <col min="1" max="1" width="41.44140625" style="102" customWidth="1"/>
    <col min="2" max="8" width="17.5546875" style="102" customWidth="1"/>
    <col min="9" max="9" width="25" style="102" customWidth="1"/>
    <col min="10" max="16384" width="9.109375" style="102"/>
  </cols>
  <sheetData>
    <row r="1" spans="1:9" ht="26.25" customHeight="1">
      <c r="A1" s="477" t="str">
        <f>+schedule_ARAS!D2</f>
        <v>FİLYOS LİMANI TAHKİMAT İŞİ</v>
      </c>
      <c r="B1" s="477"/>
      <c r="C1" s="477"/>
      <c r="D1" s="477"/>
      <c r="E1" s="477"/>
      <c r="F1" s="477"/>
      <c r="G1" s="477"/>
      <c r="H1" s="477"/>
      <c r="I1" s="477"/>
    </row>
    <row r="2" spans="1:9" ht="26.25" customHeight="1">
      <c r="A2" s="477" t="s">
        <v>65</v>
      </c>
      <c r="B2" s="477"/>
      <c r="C2" s="477"/>
      <c r="D2" s="477"/>
      <c r="E2" s="477"/>
      <c r="F2" s="477"/>
      <c r="G2" s="477"/>
      <c r="H2" s="477"/>
      <c r="I2" s="477"/>
    </row>
    <row r="3" spans="1:9" ht="22.5" customHeight="1">
      <c r="B3" s="128"/>
      <c r="C3" s="128"/>
      <c r="D3" s="128"/>
      <c r="E3" s="128"/>
      <c r="F3" s="128"/>
      <c r="G3" s="128"/>
      <c r="H3" s="129"/>
    </row>
    <row r="4" spans="1:9" s="132" customFormat="1" ht="45.75" customHeight="1">
      <c r="A4" s="130" t="s">
        <v>23</v>
      </c>
      <c r="B4" s="130" t="s">
        <v>66</v>
      </c>
      <c r="C4" s="130" t="s">
        <v>67</v>
      </c>
      <c r="D4" s="130" t="s">
        <v>68</v>
      </c>
      <c r="E4" s="131" t="s">
        <v>69</v>
      </c>
      <c r="F4" s="131" t="s">
        <v>70</v>
      </c>
      <c r="G4" s="130" t="s">
        <v>71</v>
      </c>
      <c r="H4" s="130" t="s">
        <v>72</v>
      </c>
      <c r="I4" s="130" t="s">
        <v>73</v>
      </c>
    </row>
    <row r="5" spans="1:9" ht="28.5" customHeight="1">
      <c r="A5" s="103" t="s">
        <v>74</v>
      </c>
      <c r="B5" s="133"/>
      <c r="C5" s="109"/>
      <c r="D5" s="133"/>
      <c r="E5" s="133"/>
      <c r="F5" s="133"/>
      <c r="G5" s="110"/>
      <c r="H5" s="110"/>
      <c r="I5" s="133"/>
    </row>
    <row r="6" spans="1:9" ht="28.5" customHeight="1">
      <c r="A6" s="134" t="str">
        <f>+'Manpower Histogram'!C7</f>
        <v>Formen</v>
      </c>
      <c r="B6" s="133">
        <v>1500</v>
      </c>
      <c r="C6" s="109"/>
      <c r="D6" s="133">
        <v>100</v>
      </c>
      <c r="E6" s="133">
        <f>+B6*0.3</f>
        <v>450</v>
      </c>
      <c r="F6" s="133"/>
      <c r="G6" s="110">
        <f t="shared" ref="G6:G12" si="0">+B6+C6+D6+E6+F6</f>
        <v>2050</v>
      </c>
      <c r="H6" s="135">
        <f>+'Manpower Histogram'!EV7</f>
        <v>114</v>
      </c>
      <c r="I6" s="133">
        <f t="shared" ref="I6:I12" si="1">+G6*H6</f>
        <v>233700</v>
      </c>
    </row>
    <row r="7" spans="1:9" ht="28.5" customHeight="1">
      <c r="A7" s="134" t="str">
        <f>+'Manpower Histogram'!C8</f>
        <v>Operator</v>
      </c>
      <c r="B7" s="133">
        <v>1500</v>
      </c>
      <c r="C7" s="109"/>
      <c r="D7" s="133">
        <v>100</v>
      </c>
      <c r="E7" s="133">
        <f>+B7*0.3</f>
        <v>450</v>
      </c>
      <c r="F7" s="133"/>
      <c r="G7" s="110">
        <f t="shared" si="0"/>
        <v>2050</v>
      </c>
      <c r="H7" s="135">
        <f>+'Manpower Histogram'!EV8</f>
        <v>399</v>
      </c>
      <c r="I7" s="133">
        <f t="shared" si="1"/>
        <v>817950</v>
      </c>
    </row>
    <row r="8" spans="1:9" ht="28.5" customHeight="1">
      <c r="A8" s="134" t="str">
        <f>+'Manpower Histogram'!C9</f>
        <v>Kaptan</v>
      </c>
      <c r="B8" s="133">
        <v>2000</v>
      </c>
      <c r="C8" s="109"/>
      <c r="D8" s="133">
        <v>100</v>
      </c>
      <c r="E8" s="133">
        <f t="shared" ref="E8:E11" si="2">+B8*0.3</f>
        <v>600</v>
      </c>
      <c r="F8" s="133"/>
      <c r="G8" s="110">
        <f t="shared" si="0"/>
        <v>2700</v>
      </c>
      <c r="H8" s="135">
        <f>+'Manpower Histogram'!EV9</f>
        <v>285</v>
      </c>
      <c r="I8" s="133">
        <f t="shared" si="1"/>
        <v>769500</v>
      </c>
    </row>
    <row r="9" spans="1:9" ht="28.5" customHeight="1">
      <c r="A9" s="134" t="str">
        <f>+'Manpower Histogram'!C10</f>
        <v>Çarkçı</v>
      </c>
      <c r="B9" s="133">
        <v>1500</v>
      </c>
      <c r="C9" s="109"/>
      <c r="D9" s="133">
        <v>100</v>
      </c>
      <c r="E9" s="133">
        <f t="shared" si="2"/>
        <v>450</v>
      </c>
      <c r="F9" s="133"/>
      <c r="G9" s="110">
        <f t="shared" si="0"/>
        <v>2050</v>
      </c>
      <c r="H9" s="135">
        <f>+'Manpower Histogram'!EV10</f>
        <v>190</v>
      </c>
      <c r="I9" s="133">
        <f t="shared" si="1"/>
        <v>389500</v>
      </c>
    </row>
    <row r="10" spans="1:9" ht="28.5" customHeight="1">
      <c r="A10" s="134" t="str">
        <f>+'Manpower Histogram'!C11</f>
        <v>Yağcı</v>
      </c>
      <c r="B10" s="133">
        <v>1000</v>
      </c>
      <c r="C10" s="109"/>
      <c r="D10" s="133">
        <v>100</v>
      </c>
      <c r="E10" s="133">
        <f t="shared" si="2"/>
        <v>300</v>
      </c>
      <c r="F10" s="133"/>
      <c r="G10" s="110">
        <f t="shared" si="0"/>
        <v>1400</v>
      </c>
      <c r="H10" s="135">
        <f>+'Manpower Histogram'!EV11</f>
        <v>285</v>
      </c>
      <c r="I10" s="133">
        <f t="shared" si="1"/>
        <v>399000</v>
      </c>
    </row>
    <row r="11" spans="1:9" ht="28.5" customHeight="1">
      <c r="A11" s="134" t="str">
        <f>+'Manpower Histogram'!C12</f>
        <v>Gemici</v>
      </c>
      <c r="B11" s="133">
        <f>+B10</f>
        <v>1000</v>
      </c>
      <c r="C11" s="109"/>
      <c r="D11" s="133">
        <v>100</v>
      </c>
      <c r="E11" s="133">
        <f t="shared" si="2"/>
        <v>300</v>
      </c>
      <c r="F11" s="133"/>
      <c r="G11" s="110">
        <f t="shared" si="0"/>
        <v>1400</v>
      </c>
      <c r="H11" s="135">
        <f>+'Manpower Histogram'!EV12</f>
        <v>570</v>
      </c>
      <c r="I11" s="133">
        <f t="shared" si="1"/>
        <v>798000</v>
      </c>
    </row>
    <row r="12" spans="1:9" ht="28.5" customHeight="1">
      <c r="A12" s="134" t="str">
        <f>+'Manpower Histogram'!C13</f>
        <v>İşçi</v>
      </c>
      <c r="B12" s="133">
        <v>1000</v>
      </c>
      <c r="C12" s="109"/>
      <c r="D12" s="133">
        <v>100</v>
      </c>
      <c r="E12" s="133">
        <f t="shared" ref="E12" si="3">+B12*0.5</f>
        <v>500</v>
      </c>
      <c r="F12" s="133"/>
      <c r="G12" s="110">
        <f t="shared" si="0"/>
        <v>1600</v>
      </c>
      <c r="H12" s="135">
        <f>+'Manpower Histogram'!EV13</f>
        <v>760</v>
      </c>
      <c r="I12" s="133">
        <f t="shared" si="1"/>
        <v>1216000</v>
      </c>
    </row>
    <row r="13" spans="1:9" ht="28.5" customHeight="1">
      <c r="A13" s="134"/>
      <c r="B13" s="133"/>
      <c r="C13" s="109"/>
      <c r="D13" s="133"/>
      <c r="E13" s="133"/>
      <c r="F13" s="133"/>
      <c r="G13" s="110"/>
      <c r="H13" s="135"/>
      <c r="I13" s="133"/>
    </row>
    <row r="14" spans="1:9" ht="28.5" customHeight="1">
      <c r="A14" s="134"/>
      <c r="B14" s="133"/>
      <c r="C14" s="109"/>
      <c r="D14" s="133"/>
      <c r="E14" s="133"/>
      <c r="F14" s="133"/>
      <c r="G14" s="110"/>
      <c r="H14" s="135"/>
      <c r="I14" s="133"/>
    </row>
    <row r="15" spans="1:9" ht="28.5" customHeight="1">
      <c r="A15" s="134"/>
      <c r="B15" s="133"/>
      <c r="C15" s="109"/>
      <c r="D15" s="133"/>
      <c r="E15" s="133"/>
      <c r="F15" s="133"/>
      <c r="G15" s="110"/>
      <c r="H15" s="135"/>
      <c r="I15" s="133"/>
    </row>
    <row r="16" spans="1:9" ht="28.5" customHeight="1">
      <c r="A16" s="134"/>
      <c r="B16" s="133"/>
      <c r="C16" s="109"/>
      <c r="D16" s="133"/>
      <c r="E16" s="133"/>
      <c r="F16" s="133"/>
      <c r="G16" s="110"/>
      <c r="H16" s="135"/>
      <c r="I16" s="133"/>
    </row>
    <row r="17" spans="1:9" ht="28.5" customHeight="1">
      <c r="A17" s="134"/>
      <c r="B17" s="133"/>
      <c r="C17" s="109"/>
      <c r="D17" s="133"/>
      <c r="E17" s="133"/>
      <c r="F17" s="133"/>
      <c r="G17" s="110"/>
      <c r="H17" s="135"/>
      <c r="I17" s="133"/>
    </row>
    <row r="18" spans="1:9" s="139" customFormat="1" ht="28.5" customHeight="1">
      <c r="A18" s="137" t="s">
        <v>75</v>
      </c>
      <c r="B18" s="137"/>
      <c r="C18" s="137"/>
      <c r="D18" s="137"/>
      <c r="E18" s="133"/>
      <c r="F18" s="137"/>
      <c r="G18" s="138">
        <f>SUM(G6:G17)</f>
        <v>13250</v>
      </c>
      <c r="H18" s="138">
        <f>SUM(H6:H17)</f>
        <v>2603</v>
      </c>
      <c r="I18" s="138">
        <f>SUM(I6:I17)</f>
        <v>4623650</v>
      </c>
    </row>
    <row r="19" spans="1:9" ht="28.5" customHeight="1">
      <c r="A19" s="103" t="s">
        <v>76</v>
      </c>
      <c r="B19" s="133"/>
      <c r="C19" s="109"/>
      <c r="D19" s="133"/>
      <c r="E19" s="133"/>
      <c r="F19" s="133"/>
      <c r="G19" s="110"/>
      <c r="H19" s="110"/>
      <c r="I19" s="133"/>
    </row>
    <row r="20" spans="1:9" ht="28.5" customHeight="1">
      <c r="A20" s="109" t="str">
        <f>+'Manpower Histogram'!C18</f>
        <v>Project Manager</v>
      </c>
      <c r="B20" s="133">
        <v>3000</v>
      </c>
      <c r="C20" s="109"/>
      <c r="D20" s="133">
        <v>100</v>
      </c>
      <c r="E20" s="133">
        <f>+B20*0.3</f>
        <v>900</v>
      </c>
      <c r="F20" s="133"/>
      <c r="G20" s="110">
        <f t="shared" ref="G20:G33" si="4">+B20+C20+D20+E20+F20</f>
        <v>4000</v>
      </c>
      <c r="H20" s="135">
        <f>+'Manpower Histogram'!EV18</f>
        <v>19</v>
      </c>
      <c r="I20" s="133">
        <f t="shared" ref="I20:I32" si="5">+G20*H20</f>
        <v>76000</v>
      </c>
    </row>
    <row r="21" spans="1:9" ht="28.5" customHeight="1">
      <c r="A21" s="109" t="str">
        <f>+'Manpower Histogram'!C19</f>
        <v>Site Manager</v>
      </c>
      <c r="B21" s="133">
        <v>2500</v>
      </c>
      <c r="C21" s="109"/>
      <c r="D21" s="133">
        <v>100</v>
      </c>
      <c r="E21" s="133">
        <f>+B21*0.3</f>
        <v>750</v>
      </c>
      <c r="F21" s="133"/>
      <c r="G21" s="110">
        <f t="shared" si="4"/>
        <v>3350</v>
      </c>
      <c r="H21" s="135">
        <f>+'Manpower Histogram'!EV19</f>
        <v>19</v>
      </c>
      <c r="I21" s="133">
        <f t="shared" si="5"/>
        <v>63650</v>
      </c>
    </row>
    <row r="22" spans="1:9" ht="28.5" customHeight="1">
      <c r="A22" s="109" t="str">
        <f>+'Manpower Histogram'!C20</f>
        <v>Survey Engineer</v>
      </c>
      <c r="B22" s="133">
        <v>2000</v>
      </c>
      <c r="C22" s="109"/>
      <c r="D22" s="133">
        <v>100</v>
      </c>
      <c r="E22" s="133">
        <f t="shared" ref="E22:E28" si="6">+B22*0.3</f>
        <v>600</v>
      </c>
      <c r="F22" s="133"/>
      <c r="G22" s="110">
        <f t="shared" si="4"/>
        <v>2700</v>
      </c>
      <c r="H22" s="135">
        <f>+'Manpower Histogram'!EV20</f>
        <v>19</v>
      </c>
      <c r="I22" s="133">
        <f t="shared" si="5"/>
        <v>51300</v>
      </c>
    </row>
    <row r="23" spans="1:9" ht="28.5" customHeight="1">
      <c r="A23" s="109" t="str">
        <f>+'Manpower Histogram'!C21</f>
        <v>Surveyor</v>
      </c>
      <c r="B23" s="133">
        <v>1000</v>
      </c>
      <c r="C23" s="109"/>
      <c r="D23" s="133">
        <v>100</v>
      </c>
      <c r="E23" s="133">
        <f t="shared" si="6"/>
        <v>300</v>
      </c>
      <c r="F23" s="133"/>
      <c r="G23" s="110">
        <f t="shared" si="4"/>
        <v>1400</v>
      </c>
      <c r="H23" s="135">
        <f>+'Manpower Histogram'!EV21</f>
        <v>76</v>
      </c>
      <c r="I23" s="133">
        <f t="shared" si="5"/>
        <v>106400</v>
      </c>
    </row>
    <row r="24" spans="1:9" ht="28.5" customHeight="1">
      <c r="A24" s="109" t="str">
        <f>+'Manpower Histogram'!C22</f>
        <v>Site Engineer</v>
      </c>
      <c r="B24" s="133">
        <v>1500</v>
      </c>
      <c r="C24" s="109"/>
      <c r="D24" s="133">
        <v>100</v>
      </c>
      <c r="E24" s="133">
        <f t="shared" si="6"/>
        <v>450</v>
      </c>
      <c r="F24" s="133"/>
      <c r="G24" s="110">
        <f t="shared" si="4"/>
        <v>2050</v>
      </c>
      <c r="H24" s="135">
        <f>+'Manpower Histogram'!EV22</f>
        <v>38</v>
      </c>
      <c r="I24" s="133">
        <f t="shared" si="5"/>
        <v>77900</v>
      </c>
    </row>
    <row r="25" spans="1:9" ht="28.5" customHeight="1">
      <c r="A25" s="109" t="str">
        <f>+'Manpower Histogram'!C23</f>
        <v>Technical Office Chief</v>
      </c>
      <c r="B25" s="133">
        <v>2000</v>
      </c>
      <c r="C25" s="109"/>
      <c r="D25" s="133">
        <v>100</v>
      </c>
      <c r="E25" s="133">
        <f t="shared" si="6"/>
        <v>600</v>
      </c>
      <c r="F25" s="133"/>
      <c r="G25" s="110">
        <f t="shared" si="4"/>
        <v>2700</v>
      </c>
      <c r="H25" s="135">
        <f>+'Manpower Histogram'!EV23</f>
        <v>19</v>
      </c>
      <c r="I25" s="133">
        <f t="shared" si="5"/>
        <v>51300</v>
      </c>
    </row>
    <row r="26" spans="1:9" ht="28.5" customHeight="1">
      <c r="A26" s="109" t="str">
        <f>+'Manpower Histogram'!C24</f>
        <v>Finance &amp; Admin. Chief</v>
      </c>
      <c r="B26" s="133">
        <v>1500</v>
      </c>
      <c r="C26" s="109"/>
      <c r="D26" s="133">
        <v>100</v>
      </c>
      <c r="E26" s="133">
        <f t="shared" si="6"/>
        <v>450</v>
      </c>
      <c r="F26" s="133"/>
      <c r="G26" s="110">
        <f t="shared" si="4"/>
        <v>2050</v>
      </c>
      <c r="H26" s="135">
        <f>+'Manpower Histogram'!EV24</f>
        <v>19</v>
      </c>
      <c r="I26" s="133">
        <f t="shared" si="5"/>
        <v>38950</v>
      </c>
    </row>
    <row r="27" spans="1:9" ht="28.5" customHeight="1">
      <c r="A27" s="109" t="str">
        <f>+'Manpower Histogram'!C25</f>
        <v xml:space="preserve">Procurement </v>
      </c>
      <c r="B27" s="133">
        <v>1250</v>
      </c>
      <c r="C27" s="109"/>
      <c r="D27" s="133">
        <v>100</v>
      </c>
      <c r="E27" s="133">
        <f t="shared" si="6"/>
        <v>375</v>
      </c>
      <c r="F27" s="133"/>
      <c r="G27" s="110">
        <f t="shared" si="4"/>
        <v>1725</v>
      </c>
      <c r="H27" s="135">
        <f>+'Manpower Histogram'!EV25</f>
        <v>19</v>
      </c>
      <c r="I27" s="133">
        <f t="shared" si="5"/>
        <v>32775</v>
      </c>
    </row>
    <row r="28" spans="1:9" ht="28.5" customHeight="1">
      <c r="A28" s="109" t="str">
        <f>+'Manpower Histogram'!C26</f>
        <v>QHSE Manager</v>
      </c>
      <c r="B28" s="133">
        <v>1500</v>
      </c>
      <c r="C28" s="109"/>
      <c r="D28" s="133">
        <v>100</v>
      </c>
      <c r="E28" s="133">
        <f t="shared" si="6"/>
        <v>450</v>
      </c>
      <c r="F28" s="133"/>
      <c r="G28" s="110">
        <f t="shared" si="4"/>
        <v>2050</v>
      </c>
      <c r="H28" s="135">
        <f>+'Manpower Histogram'!EV26</f>
        <v>19</v>
      </c>
      <c r="I28" s="133">
        <f t="shared" si="5"/>
        <v>38950</v>
      </c>
    </row>
    <row r="29" spans="1:9" ht="28.5" customHeight="1">
      <c r="A29" s="109" t="str">
        <f>+'Manpower Histogram'!C27</f>
        <v>Driver</v>
      </c>
      <c r="B29" s="133">
        <v>800</v>
      </c>
      <c r="C29" s="109"/>
      <c r="D29" s="133">
        <v>100</v>
      </c>
      <c r="E29" s="133">
        <f t="shared" ref="E29" si="7">+B29*0.5</f>
        <v>400</v>
      </c>
      <c r="F29" s="133"/>
      <c r="G29" s="110">
        <f t="shared" si="4"/>
        <v>1300</v>
      </c>
      <c r="H29" s="135">
        <f>+'Manpower Histogram'!EV27</f>
        <v>114</v>
      </c>
      <c r="I29" s="133">
        <f t="shared" si="5"/>
        <v>148200</v>
      </c>
    </row>
    <row r="30" spans="1:9" ht="28.5" customHeight="1">
      <c r="A30" s="109" t="str">
        <f>+'Manpower Histogram'!C28</f>
        <v>Unskilled Labor (Office Boy, cleaner, tea-man etc.)</v>
      </c>
      <c r="B30" s="133">
        <v>600</v>
      </c>
      <c r="C30" s="109"/>
      <c r="D30" s="133">
        <v>100</v>
      </c>
      <c r="E30" s="133">
        <f>+B30*0.3</f>
        <v>180</v>
      </c>
      <c r="F30" s="133"/>
      <c r="G30" s="110">
        <f t="shared" si="4"/>
        <v>880</v>
      </c>
      <c r="H30" s="135">
        <f>+'Manpower Histogram'!EV28</f>
        <v>38</v>
      </c>
      <c r="I30" s="133">
        <f t="shared" si="5"/>
        <v>33440</v>
      </c>
    </row>
    <row r="31" spans="1:9" ht="28.5" customHeight="1">
      <c r="A31" s="109" t="str">
        <f>+'Manpower Histogram'!C29</f>
        <v>Workshop Staff</v>
      </c>
      <c r="B31" s="133">
        <v>800</v>
      </c>
      <c r="C31" s="109"/>
      <c r="D31" s="133">
        <v>100</v>
      </c>
      <c r="E31" s="133">
        <f>+B31*0.3</f>
        <v>240</v>
      </c>
      <c r="F31" s="133"/>
      <c r="G31" s="110">
        <f t="shared" si="4"/>
        <v>1140</v>
      </c>
      <c r="H31" s="135">
        <f>+'Manpower Histogram'!EV29</f>
        <v>76</v>
      </c>
      <c r="I31" s="133">
        <f t="shared" si="5"/>
        <v>86640</v>
      </c>
    </row>
    <row r="32" spans="1:9" ht="28.5" customHeight="1">
      <c r="A32" s="109" t="str">
        <f>+'Manpower Histogram'!C30</f>
        <v>Technical Office Engineer</v>
      </c>
      <c r="B32" s="133">
        <v>1500</v>
      </c>
      <c r="C32" s="109"/>
      <c r="D32" s="133">
        <v>100</v>
      </c>
      <c r="E32" s="133">
        <f>+B32*0.3</f>
        <v>450</v>
      </c>
      <c r="F32" s="133"/>
      <c r="G32" s="110">
        <f t="shared" si="4"/>
        <v>2050</v>
      </c>
      <c r="H32" s="135">
        <f>+'Manpower Histogram'!EV30</f>
        <v>19</v>
      </c>
      <c r="I32" s="133">
        <f t="shared" si="5"/>
        <v>38950</v>
      </c>
    </row>
    <row r="33" spans="1:9" ht="28.5" customHeight="1">
      <c r="A33" s="109" t="str">
        <f>+'Manpower Histogram'!C31</f>
        <v>Vardiya Amiri</v>
      </c>
      <c r="B33" s="133">
        <v>1500</v>
      </c>
      <c r="C33" s="109"/>
      <c r="D33" s="133">
        <v>100</v>
      </c>
      <c r="E33" s="133">
        <f>+B33*0.3</f>
        <v>450</v>
      </c>
      <c r="F33" s="133"/>
      <c r="G33" s="110">
        <f t="shared" si="4"/>
        <v>2050</v>
      </c>
      <c r="H33" s="135">
        <f>+'Manpower Histogram'!EV31</f>
        <v>38</v>
      </c>
      <c r="I33" s="133">
        <f t="shared" ref="I33" si="8">+G33*H33</f>
        <v>77900</v>
      </c>
    </row>
    <row r="34" spans="1:9" ht="28.5" customHeight="1">
      <c r="A34" s="109"/>
      <c r="B34" s="133"/>
      <c r="C34" s="109"/>
      <c r="D34" s="133"/>
      <c r="E34" s="133"/>
      <c r="F34" s="133"/>
      <c r="G34" s="110"/>
      <c r="H34" s="135"/>
      <c r="I34" s="133"/>
    </row>
    <row r="35" spans="1:9" ht="28.5" customHeight="1">
      <c r="A35" s="109"/>
      <c r="B35" s="133"/>
      <c r="C35" s="109"/>
      <c r="D35" s="133"/>
      <c r="E35" s="133"/>
      <c r="F35" s="133"/>
      <c r="G35" s="110"/>
      <c r="H35" s="135"/>
      <c r="I35" s="133"/>
    </row>
    <row r="36" spans="1:9" ht="28.5" customHeight="1">
      <c r="A36" s="109"/>
      <c r="B36" s="133"/>
      <c r="C36" s="109"/>
      <c r="D36" s="133"/>
      <c r="E36" s="133"/>
      <c r="F36" s="133"/>
      <c r="G36" s="110"/>
      <c r="H36" s="135"/>
      <c r="I36" s="133"/>
    </row>
    <row r="37" spans="1:9" s="139" customFormat="1" ht="28.5" customHeight="1">
      <c r="A37" s="137" t="s">
        <v>77</v>
      </c>
      <c r="B37" s="137"/>
      <c r="C37" s="137"/>
      <c r="D37" s="137"/>
      <c r="E37" s="137"/>
      <c r="F37" s="137"/>
      <c r="G37" s="138">
        <f>SUM(G20:G34)</f>
        <v>29445</v>
      </c>
      <c r="H37" s="138">
        <f>SUM(H20:H34)</f>
        <v>532</v>
      </c>
      <c r="I37" s="138">
        <f>SUM(I20:I34)</f>
        <v>922355</v>
      </c>
    </row>
    <row r="38" spans="1:9" s="142" customFormat="1" ht="28.5" customHeight="1">
      <c r="A38" s="103" t="s">
        <v>78</v>
      </c>
      <c r="B38" s="140"/>
      <c r="C38" s="140"/>
      <c r="D38" s="140"/>
      <c r="E38" s="137"/>
      <c r="F38" s="137"/>
      <c r="G38" s="140"/>
      <c r="H38" s="141">
        <f>+H18+H37</f>
        <v>3135</v>
      </c>
      <c r="I38" s="137">
        <f>+(I18+I37)</f>
        <v>5546005</v>
      </c>
    </row>
    <row r="39" spans="1:9" ht="22.5" customHeight="1">
      <c r="H39" s="143">
        <v>98.5</v>
      </c>
      <c r="I39" s="136"/>
    </row>
    <row r="41" spans="1:9" ht="22.5" customHeight="1">
      <c r="G41" s="102" t="s">
        <v>79</v>
      </c>
      <c r="H41" s="144">
        <f>+H38/16</f>
        <v>195.9375</v>
      </c>
      <c r="I41" s="102" t="s">
        <v>80</v>
      </c>
    </row>
    <row r="42" spans="1:9" ht="22.5" customHeight="1">
      <c r="G42" s="102" t="s">
        <v>81</v>
      </c>
      <c r="H42" s="136">
        <f>+I38/H38</f>
        <v>1769.060606060606</v>
      </c>
      <c r="I42" s="102" t="s">
        <v>82</v>
      </c>
    </row>
    <row r="44" spans="1:9" ht="22.5" customHeight="1">
      <c r="B44" s="144"/>
    </row>
    <row r="45" spans="1:9" ht="22.5" customHeight="1">
      <c r="B45" s="144"/>
    </row>
    <row r="46" spans="1:9" ht="22.5" customHeight="1">
      <c r="B46" s="145"/>
    </row>
    <row r="50" spans="2:3" ht="22.5" customHeight="1">
      <c r="B50" s="144"/>
      <c r="C50" s="146"/>
    </row>
    <row r="51" spans="2:3" ht="22.5" customHeight="1">
      <c r="B51" s="144"/>
      <c r="C51" s="146"/>
    </row>
    <row r="52" spans="2:3" ht="22.5" customHeight="1">
      <c r="B52" s="144"/>
      <c r="C52" s="146"/>
    </row>
    <row r="53" spans="2:3" ht="22.5" customHeight="1">
      <c r="B53" s="144"/>
      <c r="C53" s="144"/>
    </row>
  </sheetData>
  <mergeCells count="2">
    <mergeCell ref="A1:I1"/>
    <mergeCell ref="A2:I2"/>
  </mergeCells>
  <pageMargins left="0.7" right="0.7" top="0.75" bottom="0.75" header="0.3" footer="0.3"/>
  <pageSetup paperSize="9" scale="46" orientation="portrait" r:id="rId1"/>
  <headerFooter>
    <oddHeader xml:space="preserve">&amp;LDoc. No: FR.SAT.07-C  Date of Issue : 01.03.2010   Rev. Date : ..  Rev. No : 00  </oddHeader>
    <oddFooter>&amp;LREV: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0"/>
  <sheetViews>
    <sheetView view="pageBreakPreview" zoomScale="85" zoomScaleNormal="100" zoomScaleSheetLayoutView="85" workbookViewId="0">
      <selection activeCell="F21" sqref="F21"/>
    </sheetView>
  </sheetViews>
  <sheetFormatPr defaultColWidth="9.109375" defaultRowHeight="24" customHeight="1"/>
  <cols>
    <col min="1" max="1" width="4.88671875" style="149" customWidth="1"/>
    <col min="2" max="2" width="58.88671875" style="149" customWidth="1"/>
    <col min="3" max="5" width="14.44140625" style="149" customWidth="1"/>
    <col min="6" max="6" width="19.33203125" style="149" customWidth="1"/>
    <col min="7" max="7" width="3.33203125" style="149" customWidth="1"/>
    <col min="8" max="8" width="16.109375" style="149" customWidth="1"/>
    <col min="9" max="9" width="18.109375" style="149" customWidth="1"/>
    <col min="10" max="10" width="15.44140625" style="149" customWidth="1"/>
    <col min="11" max="11" width="17.88671875" style="149" customWidth="1"/>
    <col min="12" max="13" width="15.109375" style="149" customWidth="1"/>
    <col min="14" max="15" width="13.6640625" style="149" customWidth="1"/>
    <col min="16" max="16" width="14.88671875" style="149" customWidth="1"/>
    <col min="17" max="16384" width="9.109375" style="149"/>
  </cols>
  <sheetData>
    <row r="1" spans="2:16" s="147" customFormat="1" ht="24" customHeight="1">
      <c r="B1" s="479" t="str">
        <f>+schedule_ARAS!D2</f>
        <v>FİLYOS LİMANI TAHKİMAT İŞİ</v>
      </c>
      <c r="C1" s="479"/>
      <c r="D1" s="479"/>
      <c r="E1" s="479"/>
      <c r="F1" s="479"/>
    </row>
    <row r="2" spans="2:16" s="148" customFormat="1" ht="24" customHeight="1">
      <c r="B2" s="479" t="s">
        <v>83</v>
      </c>
      <c r="C2" s="479"/>
      <c r="D2" s="479"/>
      <c r="E2" s="479"/>
      <c r="F2" s="479"/>
    </row>
    <row r="3" spans="2:16" ht="15.75" customHeight="1"/>
    <row r="4" spans="2:16" s="152" customFormat="1" ht="39.75" customHeight="1">
      <c r="B4" s="150" t="s">
        <v>84</v>
      </c>
      <c r="C4" s="150" t="s">
        <v>85</v>
      </c>
      <c r="D4" s="150" t="s">
        <v>86</v>
      </c>
      <c r="E4" s="150" t="s">
        <v>87</v>
      </c>
      <c r="F4" s="151" t="s">
        <v>88</v>
      </c>
    </row>
    <row r="5" spans="2:16" s="156" customFormat="1" ht="31.5" customHeight="1">
      <c r="B5" s="153" t="s">
        <v>89</v>
      </c>
      <c r="C5" s="153"/>
      <c r="D5" s="153"/>
      <c r="E5" s="154"/>
      <c r="F5" s="155"/>
      <c r="L5" s="156" t="s">
        <v>205</v>
      </c>
      <c r="M5" s="156" t="s">
        <v>206</v>
      </c>
      <c r="N5" s="156" t="s">
        <v>207</v>
      </c>
      <c r="O5" s="156" t="s">
        <v>208</v>
      </c>
      <c r="P5" s="156" t="s">
        <v>209</v>
      </c>
    </row>
    <row r="6" spans="2:16" ht="31.5" customHeight="1">
      <c r="B6" s="325" t="s">
        <v>265</v>
      </c>
      <c r="C6" s="157" t="s">
        <v>275</v>
      </c>
      <c r="D6" s="326">
        <v>4524878</v>
      </c>
      <c r="E6" s="498">
        <v>3.75</v>
      </c>
      <c r="F6" s="326">
        <f>+D6*E6</f>
        <v>16968292.5</v>
      </c>
      <c r="H6" s="158"/>
      <c r="I6" s="158"/>
    </row>
    <row r="7" spans="2:16" ht="31.5" customHeight="1">
      <c r="B7" s="325" t="s">
        <v>266</v>
      </c>
      <c r="C7" s="157" t="s">
        <v>275</v>
      </c>
      <c r="D7" s="326">
        <v>3187300</v>
      </c>
      <c r="E7" s="498">
        <v>3.75</v>
      </c>
      <c r="F7" s="326">
        <f>+D7*E7</f>
        <v>11952375</v>
      </c>
      <c r="H7" s="158"/>
      <c r="I7" s="158"/>
    </row>
    <row r="8" spans="2:16" ht="31.5" customHeight="1">
      <c r="B8" s="434" t="s">
        <v>267</v>
      </c>
      <c r="C8" s="157" t="s">
        <v>275</v>
      </c>
      <c r="D8" s="435">
        <v>1591727</v>
      </c>
      <c r="E8" s="499">
        <v>4.8499999999999996</v>
      </c>
      <c r="F8" s="326">
        <f t="shared" ref="F8:F15" si="0">+D8*E8</f>
        <v>7719875.9499999993</v>
      </c>
      <c r="K8" s="149">
        <f>1280/1.18</f>
        <v>1084.7457627118645</v>
      </c>
    </row>
    <row r="9" spans="2:16" ht="31.5" customHeight="1">
      <c r="B9" s="325" t="s">
        <v>268</v>
      </c>
      <c r="C9" s="157" t="s">
        <v>275</v>
      </c>
      <c r="D9" s="326">
        <v>943619</v>
      </c>
      <c r="E9" s="498">
        <v>5.6</v>
      </c>
      <c r="F9" s="326">
        <f t="shared" si="0"/>
        <v>5284266.3999999994</v>
      </c>
      <c r="K9" s="149">
        <f>+K8/3</f>
        <v>361.58192090395482</v>
      </c>
    </row>
    <row r="10" spans="2:16" ht="31.5" customHeight="1">
      <c r="B10" s="325" t="s">
        <v>269</v>
      </c>
      <c r="C10" s="157" t="s">
        <v>275</v>
      </c>
      <c r="D10" s="326">
        <v>694890</v>
      </c>
      <c r="E10" s="498">
        <v>6.25</v>
      </c>
      <c r="F10" s="326">
        <f t="shared" si="0"/>
        <v>4343062.5</v>
      </c>
      <c r="H10" s="149">
        <f>+F10*3</f>
        <v>13029187.5</v>
      </c>
    </row>
    <row r="11" spans="2:16" ht="31.5" customHeight="1">
      <c r="B11" s="325" t="s">
        <v>270</v>
      </c>
      <c r="C11" s="157" t="s">
        <v>275</v>
      </c>
      <c r="D11" s="326">
        <v>313492</v>
      </c>
      <c r="E11" s="498">
        <v>7.15</v>
      </c>
      <c r="F11" s="326">
        <f t="shared" si="0"/>
        <v>2241467.8000000003</v>
      </c>
      <c r="H11" s="149">
        <f>+H10*1.31</f>
        <v>17068235.625</v>
      </c>
    </row>
    <row r="12" spans="2:16" s="160" customFormat="1" ht="31.5" customHeight="1">
      <c r="B12" s="325" t="s">
        <v>271</v>
      </c>
      <c r="C12" s="157" t="s">
        <v>275</v>
      </c>
      <c r="D12" s="326">
        <v>23026</v>
      </c>
      <c r="E12" s="498">
        <v>7.6</v>
      </c>
      <c r="F12" s="326">
        <f t="shared" si="0"/>
        <v>174997.6</v>
      </c>
      <c r="H12" s="161"/>
      <c r="I12" s="161"/>
    </row>
    <row r="13" spans="2:16" s="156" customFormat="1" ht="31.5" customHeight="1">
      <c r="B13" s="134" t="s">
        <v>272</v>
      </c>
      <c r="C13" s="157" t="s">
        <v>275</v>
      </c>
      <c r="D13" s="326">
        <v>54396</v>
      </c>
      <c r="E13" s="498">
        <v>8.25</v>
      </c>
      <c r="F13" s="326">
        <f t="shared" si="0"/>
        <v>448767</v>
      </c>
    </row>
    <row r="14" spans="2:16" ht="31.5" customHeight="1">
      <c r="B14" s="325" t="s">
        <v>273</v>
      </c>
      <c r="C14" s="157" t="s">
        <v>275</v>
      </c>
      <c r="D14" s="326">
        <v>140408</v>
      </c>
      <c r="E14" s="498">
        <v>8.9</v>
      </c>
      <c r="F14" s="326">
        <f t="shared" si="0"/>
        <v>1249631.2</v>
      </c>
    </row>
    <row r="15" spans="2:16" ht="31.5" customHeight="1">
      <c r="B15" s="134" t="s">
        <v>274</v>
      </c>
      <c r="C15" s="157" t="s">
        <v>275</v>
      </c>
      <c r="D15" s="326">
        <v>808696</v>
      </c>
      <c r="E15" s="498">
        <v>3.45</v>
      </c>
      <c r="F15" s="326">
        <f t="shared" si="0"/>
        <v>2790001.2</v>
      </c>
    </row>
    <row r="16" spans="2:16" ht="31.5" customHeight="1">
      <c r="B16" s="134"/>
      <c r="C16" s="157"/>
      <c r="D16" s="162"/>
      <c r="E16" s="326"/>
      <c r="F16" s="326"/>
    </row>
    <row r="17" spans="2:6" ht="31.5" customHeight="1">
      <c r="B17" s="134"/>
      <c r="C17" s="157"/>
      <c r="D17" s="162"/>
      <c r="E17" s="326"/>
      <c r="F17" s="326"/>
    </row>
    <row r="18" spans="2:6" ht="31.5" customHeight="1">
      <c r="B18" s="134"/>
      <c r="C18" s="157"/>
      <c r="D18" s="162"/>
      <c r="E18" s="326"/>
      <c r="F18" s="326"/>
    </row>
    <row r="19" spans="2:6" s="156" customFormat="1" ht="31.5" customHeight="1">
      <c r="B19" s="480"/>
      <c r="C19" s="481"/>
      <c r="D19" s="481"/>
      <c r="E19" s="482"/>
      <c r="F19" s="163"/>
    </row>
    <row r="20" spans="2:6" s="156" customFormat="1" ht="31.5" customHeight="1">
      <c r="B20" s="480" t="s">
        <v>90</v>
      </c>
      <c r="C20" s="481"/>
      <c r="D20" s="481"/>
      <c r="E20" s="482"/>
      <c r="F20" s="163">
        <f>SUM(F6:F16)</f>
        <v>53172737.150000006</v>
      </c>
    </row>
  </sheetData>
  <mergeCells count="4">
    <mergeCell ref="B1:F1"/>
    <mergeCell ref="B2:F2"/>
    <mergeCell ref="B19:E19"/>
    <mergeCell ref="B20:E20"/>
  </mergeCells>
  <pageMargins left="0.7" right="0.7" top="0.75" bottom="0.75" header="0.3" footer="0.3"/>
  <pageSetup paperSize="9" scale="69" fitToHeight="0" orientation="portrait" r:id="rId1"/>
  <headerFooter>
    <oddHeader xml:space="preserve">&amp;LDoc. No: FR.SAT.07-E  Date of Issue : 01.03.2010   Rev. Date : ..  Rev. No : 00  </oddHeader>
    <oddFooter>&amp;LREV: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view="pageBreakPreview" zoomScaleNormal="100" zoomScaleSheetLayoutView="100" workbookViewId="0">
      <selection activeCell="B5" sqref="B5"/>
    </sheetView>
  </sheetViews>
  <sheetFormatPr defaultColWidth="9.109375" defaultRowHeight="24" customHeight="1"/>
  <cols>
    <col min="1" max="1" width="4.88671875" style="102" customWidth="1"/>
    <col min="2" max="2" width="37" style="102" customWidth="1"/>
    <col min="3" max="5" width="14.44140625" style="102" customWidth="1"/>
    <col min="6" max="6" width="19.33203125" style="102" customWidth="1"/>
    <col min="7" max="7" width="3.33203125" style="102" customWidth="1"/>
    <col min="8" max="8" width="16.109375" style="102" customWidth="1"/>
    <col min="9" max="9" width="18.109375" style="102" customWidth="1"/>
    <col min="10" max="10" width="15.44140625" style="102" customWidth="1"/>
    <col min="11" max="11" width="17.88671875" style="102" customWidth="1"/>
    <col min="12" max="13" width="15.109375" style="102" customWidth="1"/>
    <col min="14" max="15" width="13.6640625" style="102" customWidth="1"/>
    <col min="16" max="16" width="14.88671875" style="102" customWidth="1"/>
    <col min="17" max="16384" width="9.109375" style="102"/>
  </cols>
  <sheetData>
    <row r="1" spans="2:10" s="100" customFormat="1" ht="24" customHeight="1">
      <c r="B1" s="477" t="str">
        <f>+schedule_ARAS!D2</f>
        <v>FİLYOS LİMANI TAHKİMAT İŞİ</v>
      </c>
      <c r="C1" s="477"/>
      <c r="D1" s="477"/>
      <c r="E1" s="477"/>
      <c r="F1" s="477"/>
    </row>
    <row r="2" spans="2:10" s="101" customFormat="1" ht="24" customHeight="1">
      <c r="B2" s="477" t="s">
        <v>91</v>
      </c>
      <c r="C2" s="477"/>
      <c r="D2" s="477"/>
      <c r="E2" s="477"/>
      <c r="F2" s="477"/>
    </row>
    <row r="3" spans="2:10" ht="15.75" customHeight="1"/>
    <row r="4" spans="2:10" s="132" customFormat="1" ht="39.75" customHeight="1">
      <c r="B4" s="130" t="s">
        <v>84</v>
      </c>
      <c r="C4" s="130" t="s">
        <v>85</v>
      </c>
      <c r="D4" s="130" t="s">
        <v>86</v>
      </c>
      <c r="E4" s="130" t="s">
        <v>87</v>
      </c>
      <c r="F4" s="164" t="s">
        <v>88</v>
      </c>
    </row>
    <row r="5" spans="2:10" ht="31.5" customHeight="1">
      <c r="B5" s="166"/>
      <c r="C5" s="165"/>
      <c r="D5" s="327"/>
      <c r="E5" s="328"/>
      <c r="F5" s="169"/>
      <c r="H5" s="136"/>
      <c r="I5" s="136"/>
    </row>
    <row r="6" spans="2:10" ht="31.5" customHeight="1">
      <c r="B6" s="109"/>
      <c r="C6" s="159"/>
      <c r="D6" s="167"/>
      <c r="E6" s="169"/>
      <c r="F6" s="169"/>
      <c r="H6" s="136"/>
      <c r="I6" s="136"/>
    </row>
    <row r="7" spans="2:10" ht="31.5" customHeight="1">
      <c r="B7" s="109"/>
      <c r="C7" s="109"/>
      <c r="D7" s="167"/>
      <c r="E7" s="169"/>
      <c r="F7" s="169"/>
      <c r="H7" s="136"/>
      <c r="I7" s="136"/>
      <c r="J7" s="102">
        <f>+D5/12</f>
        <v>0</v>
      </c>
    </row>
    <row r="8" spans="2:10" ht="31.5" customHeight="1">
      <c r="B8" s="109"/>
      <c r="C8" s="109"/>
      <c r="D8" s="167"/>
      <c r="E8" s="169"/>
      <c r="F8" s="169"/>
      <c r="H8" s="136"/>
      <c r="I8" s="136"/>
      <c r="J8" s="102">
        <v>1200</v>
      </c>
    </row>
    <row r="9" spans="2:10" ht="31.5" customHeight="1">
      <c r="B9" s="166"/>
      <c r="C9" s="165"/>
      <c r="D9" s="327"/>
      <c r="E9" s="169"/>
      <c r="F9" s="169"/>
      <c r="H9" s="136"/>
      <c r="I9" s="136"/>
      <c r="J9" s="102">
        <f>+J7*J8</f>
        <v>0</v>
      </c>
    </row>
    <row r="10" spans="2:10" ht="31.5" customHeight="1">
      <c r="B10" s="109"/>
      <c r="C10" s="159"/>
      <c r="D10" s="167"/>
      <c r="E10" s="169"/>
      <c r="F10" s="169"/>
      <c r="H10" s="136"/>
      <c r="I10" s="136"/>
      <c r="J10" s="102" t="e">
        <f>+J9/D5</f>
        <v>#DIV/0!</v>
      </c>
    </row>
    <row r="11" spans="2:10" ht="31.5" customHeight="1">
      <c r="B11" s="109"/>
      <c r="C11" s="159"/>
      <c r="D11" s="373"/>
      <c r="E11" s="328"/>
      <c r="F11" s="169"/>
    </row>
    <row r="12" spans="2:10" ht="31.5" customHeight="1">
      <c r="B12" s="109"/>
      <c r="C12" s="109"/>
      <c r="D12" s="167"/>
      <c r="E12" s="169"/>
      <c r="F12" s="169"/>
    </row>
    <row r="13" spans="2:10" ht="31.5" customHeight="1">
      <c r="B13" s="109"/>
      <c r="C13" s="109"/>
      <c r="D13" s="167"/>
      <c r="E13" s="169"/>
      <c r="F13" s="169"/>
    </row>
    <row r="14" spans="2:10" ht="31.5" customHeight="1">
      <c r="B14" s="109"/>
      <c r="C14" s="167"/>
      <c r="D14" s="169"/>
      <c r="E14" s="169"/>
      <c r="F14" s="169"/>
    </row>
    <row r="15" spans="2:10" s="142" customFormat="1" ht="31.5" customHeight="1">
      <c r="B15" s="483" t="s">
        <v>64</v>
      </c>
      <c r="C15" s="484"/>
      <c r="D15" s="484"/>
      <c r="E15" s="485"/>
      <c r="F15" s="137">
        <f>SUM(F5:F14)</f>
        <v>0</v>
      </c>
    </row>
  </sheetData>
  <mergeCells count="3">
    <mergeCell ref="B1:F1"/>
    <mergeCell ref="B2:F2"/>
    <mergeCell ref="B15:E15"/>
  </mergeCells>
  <pageMargins left="0.7" right="0.7" top="0.75" bottom="0.75" header="0.3" footer="0.3"/>
  <pageSetup paperSize="9" scale="82" orientation="portrait" horizontalDpi="300" verticalDpi="300" r:id="rId1"/>
  <headerFooter>
    <oddHeader xml:space="preserve">&amp;LDoc. No: FR.SAT.07-E  Date of Issue : 01.03.2010   Rev. Date : ..  Rev. No : 00  </oddHeader>
    <oddFooter>&amp;LREV: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view="pageBreakPreview" zoomScaleNormal="100" zoomScaleSheetLayoutView="100" workbookViewId="0">
      <selection activeCell="E14" sqref="E14"/>
    </sheetView>
  </sheetViews>
  <sheetFormatPr defaultColWidth="9.109375" defaultRowHeight="29.25" customHeight="1"/>
  <cols>
    <col min="1" max="1" width="3.88671875" style="102" customWidth="1"/>
    <col min="2" max="2" width="37.109375" style="102" customWidth="1"/>
    <col min="3" max="4" width="18.5546875" style="102" customWidth="1"/>
    <col min="5" max="6" width="21" style="102" customWidth="1"/>
    <col min="7" max="7" width="15.44140625" style="102" customWidth="1"/>
    <col min="8" max="8" width="18.109375" style="102" customWidth="1"/>
    <col min="9" max="11" width="13.44140625" style="102" customWidth="1"/>
    <col min="12" max="16384" width="9.109375" style="102"/>
  </cols>
  <sheetData>
    <row r="1" spans="1:12" ht="29.25" customHeight="1">
      <c r="A1" s="486" t="str">
        <f>+schedule_ARAS!D2</f>
        <v>FİLYOS LİMANI TAHKİMAT İŞİ</v>
      </c>
      <c r="B1" s="486"/>
      <c r="C1" s="486"/>
      <c r="D1" s="486"/>
      <c r="E1" s="486"/>
      <c r="F1" s="486"/>
      <c r="G1" s="168"/>
    </row>
    <row r="2" spans="1:12" ht="29.25" customHeight="1">
      <c r="A2" s="486" t="s">
        <v>92</v>
      </c>
      <c r="B2" s="486"/>
      <c r="C2" s="486"/>
      <c r="D2" s="486"/>
      <c r="E2" s="486"/>
      <c r="F2" s="486"/>
      <c r="G2" s="168"/>
    </row>
    <row r="3" spans="1:12" ht="15" customHeight="1"/>
    <row r="4" spans="1:12" ht="24.75" customHeight="1">
      <c r="B4" s="100" t="s">
        <v>93</v>
      </c>
      <c r="C4" s="100">
        <v>36</v>
      </c>
      <c r="D4" s="100" t="s">
        <v>3</v>
      </c>
    </row>
    <row r="5" spans="1:12" ht="30.75" customHeight="1"/>
    <row r="6" spans="1:12" s="132" customFormat="1" ht="36" customHeight="1">
      <c r="B6" s="130" t="s">
        <v>94</v>
      </c>
      <c r="C6" s="130" t="s">
        <v>85</v>
      </c>
      <c r="D6" s="130" t="s">
        <v>95</v>
      </c>
      <c r="E6" s="130" t="s">
        <v>96</v>
      </c>
      <c r="F6" s="130" t="s">
        <v>97</v>
      </c>
      <c r="L6" s="132">
        <v>0</v>
      </c>
    </row>
    <row r="7" spans="1:12" ht="29.25" customHeight="1">
      <c r="B7" s="109" t="s">
        <v>98</v>
      </c>
      <c r="C7" s="169" t="s">
        <v>99</v>
      </c>
      <c r="D7" s="169">
        <f>+C4</f>
        <v>36</v>
      </c>
      <c r="E7" s="133">
        <v>0</v>
      </c>
      <c r="F7" s="133">
        <f>+D7*E7</f>
        <v>0</v>
      </c>
    </row>
    <row r="8" spans="1:12" ht="29.25" customHeight="1">
      <c r="B8" s="109" t="s">
        <v>100</v>
      </c>
      <c r="C8" s="169" t="s">
        <v>99</v>
      </c>
      <c r="D8" s="169">
        <v>60</v>
      </c>
      <c r="E8" s="133">
        <v>0</v>
      </c>
      <c r="F8" s="133">
        <f>+D8*E8</f>
        <v>0</v>
      </c>
    </row>
    <row r="9" spans="1:12" ht="29.25" customHeight="1">
      <c r="B9" s="109" t="s">
        <v>101</v>
      </c>
      <c r="C9" s="169" t="s">
        <v>99</v>
      </c>
      <c r="D9" s="169">
        <f>+$D$7</f>
        <v>36</v>
      </c>
      <c r="E9" s="133">
        <v>5000</v>
      </c>
      <c r="F9" s="133">
        <f>+D9*E9</f>
        <v>180000</v>
      </c>
    </row>
    <row r="10" spans="1:12" ht="29.25" customHeight="1">
      <c r="B10" s="109" t="s">
        <v>102</v>
      </c>
      <c r="C10" s="169" t="s">
        <v>99</v>
      </c>
      <c r="D10" s="169">
        <f>+$D$7</f>
        <v>36</v>
      </c>
      <c r="E10" s="133">
        <v>2000</v>
      </c>
      <c r="F10" s="133">
        <f>+D10*E10</f>
        <v>72000</v>
      </c>
    </row>
    <row r="11" spans="1:12" ht="29.25" customHeight="1">
      <c r="B11" s="109" t="s">
        <v>103</v>
      </c>
      <c r="C11" s="169" t="s">
        <v>99</v>
      </c>
      <c r="D11" s="169">
        <f>+$D$7</f>
        <v>36</v>
      </c>
      <c r="E11" s="133">
        <v>5000</v>
      </c>
      <c r="F11" s="133">
        <f t="shared" ref="F11:F17" si="0">+D11*E11</f>
        <v>180000</v>
      </c>
    </row>
    <row r="12" spans="1:12" ht="29.25" customHeight="1">
      <c r="B12" s="109" t="s">
        <v>104</v>
      </c>
      <c r="C12" s="169" t="s">
        <v>99</v>
      </c>
      <c r="D12" s="169">
        <f>+$D$7</f>
        <v>36</v>
      </c>
      <c r="E12" s="133">
        <v>1000</v>
      </c>
      <c r="F12" s="133">
        <f t="shared" si="0"/>
        <v>36000</v>
      </c>
    </row>
    <row r="13" spans="1:12" ht="29.25" customHeight="1">
      <c r="B13" s="109" t="s">
        <v>105</v>
      </c>
      <c r="C13" s="169" t="s">
        <v>106</v>
      </c>
      <c r="D13" s="169">
        <f>+('PERSONNEL COST'!H38+4)*30*C4</f>
        <v>3390120</v>
      </c>
      <c r="E13" s="133">
        <v>10</v>
      </c>
      <c r="F13" s="133">
        <f t="shared" si="0"/>
        <v>33901200</v>
      </c>
      <c r="I13" s="102">
        <f>+E13*3.84</f>
        <v>38.4</v>
      </c>
    </row>
    <row r="14" spans="1:12" ht="29.25" customHeight="1">
      <c r="B14" s="109" t="s">
        <v>107</v>
      </c>
      <c r="C14" s="169" t="s">
        <v>99</v>
      </c>
      <c r="D14" s="169">
        <f>+$D$7</f>
        <v>36</v>
      </c>
      <c r="E14" s="133">
        <v>500</v>
      </c>
      <c r="F14" s="133">
        <f t="shared" si="0"/>
        <v>18000</v>
      </c>
    </row>
    <row r="15" spans="1:12" ht="29.25" customHeight="1">
      <c r="B15" s="109" t="s">
        <v>179</v>
      </c>
      <c r="C15" s="169" t="s">
        <v>99</v>
      </c>
      <c r="D15" s="169">
        <f>+D14</f>
        <v>36</v>
      </c>
      <c r="E15" s="133">
        <v>0</v>
      </c>
      <c r="F15" s="133">
        <f t="shared" si="0"/>
        <v>0</v>
      </c>
      <c r="H15" s="136"/>
    </row>
    <row r="16" spans="1:12" ht="29.25" customHeight="1">
      <c r="B16" s="109" t="s">
        <v>108</v>
      </c>
      <c r="C16" s="169" t="s">
        <v>99</v>
      </c>
      <c r="D16" s="169">
        <f>+$D$7</f>
        <v>36</v>
      </c>
      <c r="E16" s="133">
        <v>1000</v>
      </c>
      <c r="F16" s="133">
        <f t="shared" si="0"/>
        <v>36000</v>
      </c>
      <c r="H16" s="402"/>
    </row>
    <row r="17" spans="2:8" ht="29.25" customHeight="1">
      <c r="B17" s="109" t="s">
        <v>224</v>
      </c>
      <c r="C17" s="169" t="s">
        <v>225</v>
      </c>
      <c r="D17" s="169">
        <v>1</v>
      </c>
      <c r="E17" s="133">
        <v>250000</v>
      </c>
      <c r="F17" s="133">
        <f t="shared" si="0"/>
        <v>250000</v>
      </c>
      <c r="H17" s="402"/>
    </row>
    <row r="18" spans="2:8" ht="29.25" customHeight="1">
      <c r="B18" s="487" t="s">
        <v>64</v>
      </c>
      <c r="C18" s="487"/>
      <c r="D18" s="487"/>
      <c r="E18" s="487"/>
      <c r="F18" s="170">
        <f>SUM(F7:F17)</f>
        <v>34673200</v>
      </c>
    </row>
    <row r="19" spans="2:8" ht="29.25" customHeight="1">
      <c r="F19" s="171"/>
    </row>
  </sheetData>
  <mergeCells count="3">
    <mergeCell ref="A1:F1"/>
    <mergeCell ref="A2:F2"/>
    <mergeCell ref="B18:E18"/>
  </mergeCells>
  <pageMargins left="0.7" right="0.7" top="0.75" bottom="0.75" header="0.3" footer="0.3"/>
  <pageSetup paperSize="9" scale="72" orientation="portrait" r:id="rId1"/>
  <headerFooter>
    <oddHeader xml:space="preserve">&amp;LDoc. No: FR.SAT.07-F Date of Issue : 01.03.2010   Rev. Date : ..  Rev. No : 00  </oddHeader>
    <oddFooter>&amp;LREV: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view="pageBreakPreview" zoomScaleNormal="100" zoomScaleSheetLayoutView="100" zoomScalePageLayoutView="115" workbookViewId="0">
      <selection activeCell="H24" sqref="H24"/>
    </sheetView>
  </sheetViews>
  <sheetFormatPr defaultColWidth="16.44140625" defaultRowHeight="13.2"/>
  <cols>
    <col min="1" max="1" width="26.88671875" style="178" customWidth="1"/>
    <col min="2" max="2" width="11.44140625" style="178" customWidth="1"/>
    <col min="3" max="4" width="16.5546875" style="178" customWidth="1"/>
    <col min="5" max="16384" width="16.44140625" style="178"/>
  </cols>
  <sheetData>
    <row r="1" spans="1:7" ht="16.2" thickTop="1" thickBot="1">
      <c r="A1" s="172" t="s">
        <v>109</v>
      </c>
      <c r="B1" s="173"/>
      <c r="C1" s="174" t="s">
        <v>110</v>
      </c>
      <c r="D1" s="174"/>
      <c r="E1" s="175"/>
      <c r="F1" s="176" t="s">
        <v>111</v>
      </c>
      <c r="G1" s="177"/>
    </row>
    <row r="2" spans="1:7" ht="13.8" thickTop="1">
      <c r="A2" s="179"/>
      <c r="B2" s="180"/>
      <c r="C2" s="181"/>
      <c r="D2" s="181"/>
      <c r="E2" s="180"/>
      <c r="F2" s="182"/>
      <c r="G2" s="337"/>
    </row>
    <row r="3" spans="1:7" ht="15">
      <c r="A3" s="346" t="s">
        <v>161</v>
      </c>
      <c r="B3" s="347"/>
      <c r="C3" s="356">
        <v>36</v>
      </c>
      <c r="D3" s="348"/>
      <c r="E3" s="349"/>
      <c r="F3" s="350"/>
      <c r="G3" s="337"/>
    </row>
    <row r="4" spans="1:7" ht="15">
      <c r="A4" s="183" t="s">
        <v>112</v>
      </c>
      <c r="B4" s="184"/>
      <c r="C4" s="338">
        <v>0</v>
      </c>
      <c r="D4" s="186"/>
      <c r="E4" s="357">
        <v>0</v>
      </c>
      <c r="F4" s="345">
        <f>+'COST SUMMARY'!$C$21*'On-cost Coefficient '!C4*E4</f>
        <v>0</v>
      </c>
      <c r="G4" s="337"/>
    </row>
    <row r="5" spans="1:7" ht="15">
      <c r="A5" s="183" t="s">
        <v>113</v>
      </c>
      <c r="B5" s="184"/>
      <c r="C5" s="338">
        <v>1.4999999999999999E-2</v>
      </c>
      <c r="D5" s="186"/>
      <c r="E5" s="357">
        <v>0</v>
      </c>
      <c r="F5" s="187">
        <f>+'COST SUMMARY'!$C$21*'On-cost Coefficient '!C5*E5*(C3/12)</f>
        <v>0</v>
      </c>
      <c r="G5" s="177"/>
    </row>
    <row r="6" spans="1:7" ht="15">
      <c r="A6" s="183" t="s">
        <v>114</v>
      </c>
      <c r="B6" s="184"/>
      <c r="C6" s="338">
        <v>1.4999999999999999E-2</v>
      </c>
      <c r="D6" s="186"/>
      <c r="E6" s="357">
        <v>0</v>
      </c>
      <c r="F6" s="187">
        <f>+'COST SUMMARY'!$C$21*'On-cost Coefficient '!C6*E6</f>
        <v>0</v>
      </c>
      <c r="G6" s="177"/>
    </row>
    <row r="7" spans="1:7" ht="15">
      <c r="A7" s="188" t="s">
        <v>159</v>
      </c>
      <c r="B7" s="189"/>
      <c r="C7" s="338">
        <v>0.2</v>
      </c>
      <c r="D7" s="186"/>
      <c r="E7" s="185"/>
      <c r="F7" s="187">
        <f>('COST SUMMARY'!C21)*'On-cost Coefficient '!C7*F22</f>
        <v>9412116.4723040015</v>
      </c>
      <c r="G7" s="177"/>
    </row>
    <row r="8" spans="1:7" ht="15">
      <c r="A8" s="188" t="s">
        <v>115</v>
      </c>
      <c r="B8" s="189"/>
      <c r="C8" s="338"/>
      <c r="D8" s="186"/>
      <c r="E8" s="185"/>
      <c r="F8" s="187"/>
      <c r="G8" s="177"/>
    </row>
    <row r="9" spans="1:7" ht="15">
      <c r="A9" s="188" t="s">
        <v>116</v>
      </c>
      <c r="B9" s="189"/>
      <c r="C9" s="338">
        <v>0</v>
      </c>
      <c r="D9" s="186"/>
      <c r="E9" s="185"/>
      <c r="F9" s="187">
        <f>+'COST SUMMARY'!C21*'On-cost Coefficient '!C9/100</f>
        <v>0</v>
      </c>
      <c r="G9" s="177"/>
    </row>
    <row r="10" spans="1:7" ht="15">
      <c r="A10" s="188" t="s">
        <v>117</v>
      </c>
      <c r="B10" s="190"/>
      <c r="C10" s="339">
        <v>0.02</v>
      </c>
      <c r="D10" s="186"/>
      <c r="E10" s="185"/>
      <c r="F10" s="187">
        <f>+C10*'COST SUMMARY'!C21*(C3/12)</f>
        <v>19396740.126759101</v>
      </c>
      <c r="G10" s="177"/>
    </row>
    <row r="11" spans="1:7" ht="15">
      <c r="A11" s="188" t="s">
        <v>118</v>
      </c>
      <c r="B11" s="190"/>
      <c r="C11" s="339">
        <v>0</v>
      </c>
      <c r="D11" s="186"/>
      <c r="E11" s="191"/>
      <c r="F11" s="187"/>
      <c r="G11" s="177"/>
    </row>
    <row r="12" spans="1:7" ht="15">
      <c r="A12" s="188" t="s">
        <v>119</v>
      </c>
      <c r="B12" s="190"/>
      <c r="C12" s="339">
        <v>0.03</v>
      </c>
      <c r="D12" s="186"/>
      <c r="E12" s="185"/>
      <c r="F12" s="187">
        <f>+C12*'COST SUMMARY'!C21</f>
        <v>9698370.0633795485</v>
      </c>
      <c r="G12" s="177"/>
    </row>
    <row r="13" spans="1:7" ht="15">
      <c r="A13" s="188" t="s">
        <v>120</v>
      </c>
      <c r="B13" s="190"/>
      <c r="C13" s="339"/>
      <c r="D13" s="186"/>
      <c r="E13" s="191"/>
      <c r="F13" s="187">
        <f>+C13*'COST SUMMARY'!C21</f>
        <v>0</v>
      </c>
      <c r="G13" s="177"/>
    </row>
    <row r="14" spans="1:7" ht="15">
      <c r="A14" s="188" t="s">
        <v>121</v>
      </c>
      <c r="B14" s="190"/>
      <c r="C14" s="339"/>
      <c r="D14" s="186"/>
      <c r="E14" s="191"/>
      <c r="F14" s="187">
        <f>+C14*'COST SUMMARY'!C21</f>
        <v>0</v>
      </c>
      <c r="G14" s="177"/>
    </row>
    <row r="15" spans="1:7" ht="15">
      <c r="A15" s="188" t="s">
        <v>156</v>
      </c>
      <c r="B15" s="190"/>
      <c r="C15" s="343">
        <v>7.45E-3</v>
      </c>
      <c r="D15" s="336"/>
      <c r="E15" s="191"/>
      <c r="F15" s="187">
        <f>+C15*'COST SUMMARY'!C21</f>
        <v>2408428.5657392549</v>
      </c>
      <c r="G15" s="177"/>
    </row>
    <row r="16" spans="1:7" ht="15">
      <c r="A16" s="188" t="s">
        <v>122</v>
      </c>
      <c r="B16" s="190"/>
      <c r="C16" s="339">
        <v>0</v>
      </c>
      <c r="D16" s="186"/>
      <c r="E16" s="191"/>
      <c r="F16" s="192">
        <f>+'COST SUMMARY'!C19*'On-cost Coefficient '!C16</f>
        <v>0</v>
      </c>
      <c r="G16" s="340"/>
    </row>
    <row r="17" spans="1:7" ht="15">
      <c r="A17" s="188" t="s">
        <v>123</v>
      </c>
      <c r="B17" s="190"/>
      <c r="C17" s="339">
        <v>0</v>
      </c>
      <c r="D17" s="186"/>
      <c r="E17" s="191"/>
      <c r="F17" s="192">
        <f>+'COST SUMMARY'!C19*'On-cost Coefficient '!C17</f>
        <v>0</v>
      </c>
      <c r="G17" s="177">
        <f>SUM(F4:F17)</f>
        <v>40915655.228181906</v>
      </c>
    </row>
    <row r="18" spans="1:7" ht="15">
      <c r="A18" s="188" t="s">
        <v>173</v>
      </c>
      <c r="B18" s="190"/>
      <c r="C18" s="339">
        <v>0.2</v>
      </c>
      <c r="D18" s="186"/>
      <c r="E18" s="191"/>
      <c r="F18" s="192">
        <f>+'COST SUMMARY'!C19*'On-cost Coefficient '!C18</f>
        <v>47060582.361520007</v>
      </c>
      <c r="G18" s="177"/>
    </row>
    <row r="19" spans="1:7" ht="15.6" thickBot="1">
      <c r="A19" s="193" t="s">
        <v>124</v>
      </c>
      <c r="B19" s="194"/>
      <c r="C19" s="344"/>
      <c r="D19" s="195"/>
      <c r="E19" s="196"/>
      <c r="F19" s="197"/>
      <c r="G19" s="177"/>
    </row>
    <row r="20" spans="1:7" ht="15">
      <c r="A20" s="198" t="s">
        <v>125</v>
      </c>
      <c r="B20" s="199"/>
      <c r="C20" s="341">
        <f>SUM(C4:C19)</f>
        <v>0.48745000000000005</v>
      </c>
      <c r="D20" s="200"/>
      <c r="E20" s="201"/>
      <c r="F20" s="202">
        <f>SUM(F4:F19)</f>
        <v>87976237.589701921</v>
      </c>
      <c r="G20" s="355">
        <f>+F20/'COST SUMMARY'!C19+1</f>
        <v>1.3738850357348633</v>
      </c>
    </row>
    <row r="21" spans="1:7" ht="15.6" thickBot="1">
      <c r="A21" s="203" t="s">
        <v>126</v>
      </c>
      <c r="B21" s="342" t="s">
        <v>160</v>
      </c>
      <c r="C21" s="204">
        <v>1.3738844097984939</v>
      </c>
      <c r="D21" s="204"/>
      <c r="E21" s="205"/>
      <c r="F21" s="353"/>
    </row>
    <row r="22" spans="1:7" ht="15.6" thickBot="1">
      <c r="A22" s="358" t="s">
        <v>162</v>
      </c>
      <c r="B22" s="351"/>
      <c r="C22" s="352"/>
      <c r="D22" s="352"/>
      <c r="E22" s="352"/>
      <c r="F22" s="354">
        <f>(F18+F16)/'COST SUMMARY'!C21</f>
        <v>0.14557265412840209</v>
      </c>
    </row>
    <row r="25" spans="1:7">
      <c r="A25" s="178" t="s">
        <v>157</v>
      </c>
      <c r="B25" s="178">
        <f>+'MACHINERY &amp; EQUIPMENT COST'!E5+'MACHINERY &amp; EQUIPMENT COST'!E6+'MACHINERY &amp; EQUIPMENT COST'!E11+'MACHINERY &amp; EQUIPMENT COST'!E12+'MACHINERY &amp; EQUIPMENT COST'!E16</f>
        <v>11250000</v>
      </c>
    </row>
    <row r="26" spans="1:7">
      <c r="A26" s="178" t="s">
        <v>158</v>
      </c>
      <c r="B26" s="178">
        <f>+'MACHINERY &amp; EQUIPMENT COST'!F34</f>
        <v>8764080</v>
      </c>
    </row>
    <row r="27" spans="1:7">
      <c r="A27" s="178" t="s">
        <v>127</v>
      </c>
      <c r="B27" s="178">
        <f>+F18+F16</f>
        <v>47060582.361520007</v>
      </c>
    </row>
    <row r="28" spans="1:7">
      <c r="A28" s="359" t="s">
        <v>163</v>
      </c>
      <c r="B28" s="359">
        <f>SUM(B25:B27)</f>
        <v>67074662.361520007</v>
      </c>
    </row>
    <row r="29" spans="1:7">
      <c r="B29" s="178">
        <f>+'COST SUMMARY'!C21</f>
        <v>323279002.11265165</v>
      </c>
    </row>
    <row r="30" spans="1:7">
      <c r="B30" s="379">
        <f>+B28/B29</f>
        <v>0.20748227358777477</v>
      </c>
    </row>
  </sheetData>
  <pageMargins left="0.7" right="0.7" top="0.75" bottom="0.75" header="0.3" footer="0.3"/>
  <pageSetup paperSize="9" scale="83" orientation="portrait" r:id="rId1"/>
  <headerFooter>
    <oddHeader xml:space="preserve">&amp;LDoc. No: FR.SAT.07-H  Date of Issue : 01.03.2010   Rev. Date : ..  Rev. No : 00  </oddHeader>
    <oddFooter>&amp;LREV: 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abSelected="1" view="pageBreakPreview" zoomScale="115" zoomScaleNormal="100" zoomScaleSheetLayoutView="115" workbookViewId="0">
      <selection activeCell="K16" sqref="K16"/>
    </sheetView>
  </sheetViews>
  <sheetFormatPr defaultColWidth="9.109375" defaultRowHeight="24" customHeight="1"/>
  <cols>
    <col min="1" max="1" width="5.33203125" style="206" customWidth="1"/>
    <col min="2" max="2" width="57.88671875" style="206" customWidth="1"/>
    <col min="3" max="3" width="24.88671875" style="206" customWidth="1"/>
    <col min="4" max="4" width="4.44140625" style="206" customWidth="1"/>
    <col min="5" max="5" width="13.109375" style="206" bestFit="1" customWidth="1"/>
    <col min="6" max="6" width="16.33203125" style="206" bestFit="1" customWidth="1"/>
    <col min="7" max="7" width="14.6640625" style="206" bestFit="1" customWidth="1"/>
    <col min="8" max="8" width="16.88671875" style="206" bestFit="1" customWidth="1"/>
    <col min="9" max="9" width="17.5546875" style="206" bestFit="1" customWidth="1"/>
    <col min="10" max="10" width="18.6640625" style="206" bestFit="1" customWidth="1"/>
    <col min="11" max="11" width="17.88671875" style="206" bestFit="1" customWidth="1"/>
    <col min="12" max="16384" width="9.109375" style="206"/>
  </cols>
  <sheetData>
    <row r="1" spans="1:11" ht="24" customHeight="1">
      <c r="A1" s="490" t="str">
        <f>+schedule_ARAS!D2</f>
        <v>FİLYOS LİMANI TAHKİMAT İŞİ</v>
      </c>
      <c r="B1" s="490"/>
      <c r="C1" s="490"/>
      <c r="D1" s="490"/>
    </row>
    <row r="2" spans="1:11" ht="24" customHeight="1">
      <c r="B2" s="488" t="s">
        <v>128</v>
      </c>
      <c r="C2" s="488"/>
    </row>
    <row r="3" spans="1:11" ht="12" customHeight="1"/>
    <row r="4" spans="1:11" s="210" customFormat="1" ht="24" customHeight="1">
      <c r="B4" s="207" t="s">
        <v>129</v>
      </c>
      <c r="C4" s="208" t="s">
        <v>130</v>
      </c>
      <c r="D4" s="209"/>
    </row>
    <row r="5" spans="1:11" ht="24" customHeight="1">
      <c r="B5" s="211" t="s">
        <v>131</v>
      </c>
      <c r="C5" s="212">
        <f>+Mobilization!D32</f>
        <v>4600000</v>
      </c>
      <c r="D5" s="209"/>
    </row>
    <row r="6" spans="1:11" ht="24" customHeight="1">
      <c r="B6" s="211" t="s">
        <v>132</v>
      </c>
      <c r="C6" s="213"/>
      <c r="G6" s="210"/>
      <c r="H6" s="210"/>
      <c r="I6" s="210"/>
    </row>
    <row r="7" spans="1:11" ht="24" customHeight="1">
      <c r="B7" s="213" t="s">
        <v>133</v>
      </c>
      <c r="C7" s="214">
        <f>+'MACHINERY &amp; EQUIPMENT COST'!E34</f>
        <v>43820400</v>
      </c>
      <c r="F7" s="213"/>
      <c r="G7" s="424" t="s">
        <v>85</v>
      </c>
      <c r="H7" s="425" t="s">
        <v>211</v>
      </c>
      <c r="I7" s="425" t="s">
        <v>214</v>
      </c>
      <c r="J7" s="425" t="s">
        <v>212</v>
      </c>
    </row>
    <row r="8" spans="1:11" ht="24" customHeight="1">
      <c r="B8" s="213" t="s">
        <v>134</v>
      </c>
      <c r="C8" s="214">
        <f>+'MACHINERY &amp; EQUIPMENT COST'!F34</f>
        <v>8764080</v>
      </c>
      <c r="F8" s="213" t="s">
        <v>210</v>
      </c>
      <c r="G8" s="426">
        <v>1</v>
      </c>
      <c r="H8" s="427">
        <v>1</v>
      </c>
      <c r="I8" s="430">
        <f>+C5*1.3757</f>
        <v>6328220</v>
      </c>
      <c r="J8" s="430">
        <f>+H8*I8</f>
        <v>6328220</v>
      </c>
    </row>
    <row r="9" spans="1:11" ht="24" customHeight="1">
      <c r="B9" s="215" t="s">
        <v>135</v>
      </c>
      <c r="C9" s="216">
        <f>+'MACHINERY &amp; EQUIPMENT COST'!L34</f>
        <v>84726489.657600015</v>
      </c>
      <c r="F9" s="213" t="s">
        <v>215</v>
      </c>
      <c r="G9" s="426" t="s">
        <v>213</v>
      </c>
      <c r="H9" s="428">
        <v>50000</v>
      </c>
      <c r="I9" s="430">
        <f>+K9/H9</f>
        <v>6339.0156422530326</v>
      </c>
      <c r="J9" s="430">
        <f>+H9*I9</f>
        <v>316950782.11265165</v>
      </c>
      <c r="K9" s="429">
        <f>+C21-J8</f>
        <v>316950782.11265165</v>
      </c>
    </row>
    <row r="10" spans="1:11" ht="24" customHeight="1">
      <c r="B10" s="217" t="s">
        <v>64</v>
      </c>
      <c r="C10" s="218">
        <f>SUM(C7:C9)</f>
        <v>137310969.65760002</v>
      </c>
      <c r="D10" s="209"/>
      <c r="E10" s="219"/>
      <c r="F10" s="213" t="s">
        <v>53</v>
      </c>
      <c r="G10" s="424"/>
      <c r="H10" s="425"/>
      <c r="I10" s="425"/>
      <c r="J10" s="425">
        <f>SUM(J8:J9)</f>
        <v>323279002.11265165</v>
      </c>
    </row>
    <row r="11" spans="1:11" ht="24" customHeight="1">
      <c r="B11" s="213"/>
      <c r="C11" s="213"/>
      <c r="G11" s="377"/>
      <c r="H11" s="378"/>
      <c r="I11" s="378"/>
    </row>
    <row r="12" spans="1:11" ht="24" customHeight="1">
      <c r="B12" s="211" t="s">
        <v>136</v>
      </c>
      <c r="C12" s="212">
        <f>+'PERSONNEL COST'!I38</f>
        <v>5546005</v>
      </c>
      <c r="D12" s="209"/>
      <c r="G12" s="377"/>
      <c r="H12" s="378"/>
      <c r="I12" s="378"/>
    </row>
    <row r="13" spans="1:11" ht="24" hidden="1" customHeight="1">
      <c r="B13" s="211" t="s">
        <v>137</v>
      </c>
      <c r="C13" s="212" t="e">
        <f>+#REF!</f>
        <v>#REF!</v>
      </c>
      <c r="D13" s="209"/>
      <c r="G13" s="377"/>
      <c r="H13" s="378"/>
      <c r="I13" s="378"/>
    </row>
    <row r="14" spans="1:11" ht="24" hidden="1" customHeight="1">
      <c r="B14" s="211" t="s">
        <v>138</v>
      </c>
      <c r="C14" s="212" t="e">
        <f>+#REF!</f>
        <v>#REF!</v>
      </c>
      <c r="D14" s="209"/>
      <c r="G14" s="377"/>
      <c r="H14" s="378"/>
      <c r="I14" s="378"/>
    </row>
    <row r="15" spans="1:11" ht="24" customHeight="1">
      <c r="B15" s="211" t="s">
        <v>138</v>
      </c>
      <c r="C15" s="212">
        <f>+MATERIAL_ARAS!F20</f>
        <v>53172737.150000006</v>
      </c>
      <c r="D15" s="209"/>
      <c r="F15" s="213"/>
      <c r="G15" s="424" t="s">
        <v>85</v>
      </c>
      <c r="H15" s="425" t="s">
        <v>211</v>
      </c>
      <c r="I15" s="425" t="s">
        <v>214</v>
      </c>
      <c r="J15" s="425" t="s">
        <v>212</v>
      </c>
    </row>
    <row r="16" spans="1:11" ht="24" customHeight="1">
      <c r="B16" s="211" t="s">
        <v>137</v>
      </c>
      <c r="C16" s="212">
        <f>+SUBCONTRACTOR_ARAS!F15</f>
        <v>0</v>
      </c>
      <c r="D16" s="209"/>
      <c r="F16" s="213" t="s">
        <v>210</v>
      </c>
      <c r="G16" s="426">
        <v>1</v>
      </c>
      <c r="H16" s="427">
        <v>1</v>
      </c>
      <c r="I16" s="431">
        <f>+I8*2.7</f>
        <v>17086194</v>
      </c>
      <c r="J16" s="431">
        <f>+H16*I16</f>
        <v>17086194</v>
      </c>
      <c r="K16" s="423"/>
    </row>
    <row r="17" spans="2:11" ht="24" customHeight="1">
      <c r="B17" s="211" t="s">
        <v>139</v>
      </c>
      <c r="C17" s="212">
        <f>+'INDIRECT COST'!F18</f>
        <v>34673200</v>
      </c>
      <c r="D17" s="209"/>
      <c r="F17" s="213" t="s">
        <v>215</v>
      </c>
      <c r="G17" s="426" t="s">
        <v>213</v>
      </c>
      <c r="H17" s="428">
        <v>50000</v>
      </c>
      <c r="I17" s="431">
        <f>+I9*2.7</f>
        <v>17115.342234083189</v>
      </c>
      <c r="J17" s="431">
        <f>+H17*I17</f>
        <v>855767111.7041595</v>
      </c>
      <c r="K17" s="423"/>
    </row>
    <row r="18" spans="2:11" ht="15" customHeight="1">
      <c r="B18" s="489"/>
      <c r="C18" s="489"/>
      <c r="F18" s="213" t="s">
        <v>53</v>
      </c>
      <c r="G18" s="424"/>
      <c r="H18" s="425"/>
      <c r="I18" s="431"/>
      <c r="J18" s="431">
        <f>SUM(J16:J17)</f>
        <v>872853305.7041595</v>
      </c>
      <c r="K18" s="423"/>
    </row>
    <row r="19" spans="2:11" ht="24" customHeight="1">
      <c r="B19" s="217" t="s">
        <v>140</v>
      </c>
      <c r="C19" s="220">
        <f>SUM(C5,C10,C12,C15,C16,C17)</f>
        <v>235302911.80760002</v>
      </c>
      <c r="D19" s="209"/>
      <c r="E19" s="219"/>
      <c r="G19" s="377"/>
      <c r="H19" s="378"/>
      <c r="I19" s="378"/>
    </row>
    <row r="20" spans="2:11" ht="24" customHeight="1">
      <c r="B20" s="217" t="s">
        <v>141</v>
      </c>
      <c r="C20" s="221">
        <f>'On-cost Coefficient '!C21</f>
        <v>1.3738844097984939</v>
      </c>
      <c r="D20" s="209"/>
      <c r="E20" s="219"/>
      <c r="F20" s="491"/>
      <c r="G20" s="491"/>
      <c r="H20" s="491"/>
    </row>
    <row r="21" spans="2:11" ht="24" customHeight="1">
      <c r="B21" s="217" t="s">
        <v>142</v>
      </c>
      <c r="C21" s="220">
        <f>+C20*C19</f>
        <v>323279002.11265165</v>
      </c>
      <c r="D21" s="209"/>
      <c r="E21" s="222"/>
      <c r="F21" s="377"/>
      <c r="G21" s="380"/>
      <c r="H21" s="219"/>
    </row>
    <row r="22" spans="2:11" ht="13.8">
      <c r="B22" s="217"/>
      <c r="C22" s="220"/>
      <c r="D22" s="209"/>
      <c r="E22" s="219"/>
      <c r="H22" s="219"/>
    </row>
    <row r="23" spans="2:11" ht="24" customHeight="1">
      <c r="B23" s="206" t="s">
        <v>143</v>
      </c>
      <c r="E23" s="219"/>
    </row>
    <row r="24" spans="2:11" ht="24" customHeight="1">
      <c r="B24" s="206" t="s">
        <v>144</v>
      </c>
      <c r="F24" s="404"/>
    </row>
    <row r="25" spans="2:11" ht="24" customHeight="1">
      <c r="C25" s="223"/>
    </row>
    <row r="26" spans="2:11" ht="24" customHeight="1">
      <c r="C26" s="403"/>
    </row>
    <row r="27" spans="2:11" ht="24" customHeight="1">
      <c r="C27" s="405"/>
    </row>
  </sheetData>
  <mergeCells count="4">
    <mergeCell ref="B2:C2"/>
    <mergeCell ref="B18:C18"/>
    <mergeCell ref="A1:D1"/>
    <mergeCell ref="F20:H20"/>
  </mergeCells>
  <pageMargins left="0.7" right="0.7" top="0.75" bottom="0.75" header="0.3" footer="0.3"/>
  <pageSetup paperSize="9" scale="94" fitToHeight="0" orientation="portrait" r:id="rId1"/>
  <headerFooter>
    <oddHeader xml:space="preserve">&amp;LDoc. No: FR.SAT.07-G  Date of Issue : 01.03.2010   Rev. Date : ..  Rev. No : 00  </oddHeader>
    <oddFooter>&amp;LREV: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11</vt:i4>
      </vt:variant>
      <vt:variant>
        <vt:lpstr>Adlandırılmış Aralıklar</vt:lpstr>
      </vt:variant>
      <vt:variant>
        <vt:i4>11</vt:i4>
      </vt:variant>
    </vt:vector>
  </HeadingPairs>
  <TitlesOfParts>
    <vt:vector size="22" baseType="lpstr">
      <vt:lpstr>schedule_ARAS</vt:lpstr>
      <vt:lpstr>Machinery Deployment Chart</vt:lpstr>
      <vt:lpstr>Manpower Histogram</vt:lpstr>
      <vt:lpstr>Mobilization</vt:lpstr>
      <vt:lpstr>MACHINERY &amp; EQUIPMENT COST</vt:lpstr>
      <vt:lpstr>PERSONNEL COST</vt:lpstr>
      <vt:lpstr>MATERIAL_ARAS</vt:lpstr>
      <vt:lpstr>SUBCONTRACTOR_ARAS</vt:lpstr>
      <vt:lpstr>INDIRECT COST</vt:lpstr>
      <vt:lpstr>On-cost Coefficient </vt:lpstr>
      <vt:lpstr>COST SUMMARY</vt:lpstr>
      <vt:lpstr>'COST SUMMARY'!Yazdırma_Alanı</vt:lpstr>
      <vt:lpstr>'INDIRECT COST'!Yazdırma_Alanı</vt:lpstr>
      <vt:lpstr>'MACHINERY &amp; EQUIPMENT COST'!Yazdırma_Alanı</vt:lpstr>
      <vt:lpstr>'Machinery Deployment Chart'!Yazdırma_Alanı</vt:lpstr>
      <vt:lpstr>'Manpower Histogram'!Yazdırma_Alanı</vt:lpstr>
      <vt:lpstr>MATERIAL_ARAS!Yazdırma_Alanı</vt:lpstr>
      <vt:lpstr>Mobilization!Yazdırma_Alanı</vt:lpstr>
      <vt:lpstr>'On-cost Coefficient '!Yazdırma_Alanı</vt:lpstr>
      <vt:lpstr>'PERSONNEL COST'!Yazdırma_Alanı</vt:lpstr>
      <vt:lpstr>schedule_ARAS!Yazdırma_Alanı</vt:lpstr>
      <vt:lpstr>SUBCONTRACTOR_ARAS!Yazdırma_Alanı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İlkin Egemen</dc:creator>
  <cp:lastModifiedBy>Mert Gezgin</cp:lastModifiedBy>
  <cp:lastPrinted>2016-01-25T08:39:09Z</cp:lastPrinted>
  <dcterms:created xsi:type="dcterms:W3CDTF">2014-06-07T07:36:00Z</dcterms:created>
  <dcterms:modified xsi:type="dcterms:W3CDTF">2016-12-05T16:03:14Z</dcterms:modified>
</cp:coreProperties>
</file>