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ygunsanci\Desktop\ÇALIŞMA\GANA PROJECT\"/>
    </mc:Choice>
  </mc:AlternateContent>
  <xr:revisionPtr revIDLastSave="0" documentId="13_ncr:1_{18DD08E6-E54D-4949-92A1-8774BD9B4856}" xr6:coauthVersionLast="37" xr6:coauthVersionMax="37" xr10:uidLastSave="{00000000-0000-0000-0000-000000000000}"/>
  <bookViews>
    <workbookView xWindow="0" yWindow="0" windowWidth="28800" windowHeight="11910" tabRatio="845" activeTab="2" xr2:uid="{00000000-000D-0000-FFFF-FFFF00000000}"/>
  </bookViews>
  <sheets>
    <sheet name="Organisation" sheetId="26" r:id="rId1"/>
    <sheet name="1.Cover" sheetId="15" r:id="rId2"/>
    <sheet name="2.Subcontract Price Summary O1" sheetId="5" r:id="rId3"/>
    <sheet name="2.BOQ" sheetId="30" r:id="rId4"/>
    <sheet name="Schedule" sheetId="31" r:id="rId5"/>
    <sheet name="5.Manpower" sheetId="16" r:id="rId6"/>
    <sheet name="6.Equipment " sheetId="23" r:id="rId7"/>
    <sheet name="7.Subcontractor" sheetId="28" r:id="rId8"/>
    <sheet name="8. Material" sheetId="27" r:id="rId9"/>
    <sheet name="9. Mob-Demob Masrafları" sheetId="29" r:id="rId10"/>
  </sheets>
  <definedNames>
    <definedName name="_xlnm.Print_Area" localSheetId="1">'1.Cover'!$A$1:$J$44</definedName>
    <definedName name="_xlnm.Print_Area" localSheetId="3">'2.BOQ'!$A$1:$K$28</definedName>
    <definedName name="_xlnm.Print_Area" localSheetId="2">'2.Subcontract Price Summary O1'!$A$2:$F$38</definedName>
    <definedName name="_xlnm.Print_Area" localSheetId="5">'5.Manpower'!$A$1:$T$38</definedName>
    <definedName name="_xlnm.Print_Area" localSheetId="6">'6.Equipment '!$A$1:$R$19</definedName>
    <definedName name="_xlnm.Print_Area" localSheetId="7">'7.Subcontractor'!$A$1:$G$11</definedName>
    <definedName name="_xlnm.Print_Area" localSheetId="8">'8. Material'!$A$1:$G$15</definedName>
    <definedName name="_xlnm.Print_Area" localSheetId="9">'9. Mob-Demob Masrafları'!$A$1:$G$28</definedName>
    <definedName name="_xlnm.Print_Area" localSheetId="0">Organisation!$A$1:$AC$33</definedName>
    <definedName name="_xlnm.Print_Area" localSheetId="4">Schedule!$A$1:$AL$13</definedName>
    <definedName name="_xlnm.Print_Titles" localSheetId="3">'2.BOQ'!$4:$5</definedName>
  </definedNames>
  <calcPr calcId="162913"/>
  <fileRecoveryPr autoRecover="0"/>
</workbook>
</file>

<file path=xl/calcChain.xml><?xml version="1.0" encoding="utf-8"?>
<calcChain xmlns="http://schemas.openxmlformats.org/spreadsheetml/2006/main">
  <c r="D9" i="5" l="1"/>
  <c r="L26" i="5"/>
  <c r="D37" i="5"/>
  <c r="D25" i="5"/>
  <c r="D7" i="5"/>
  <c r="D12" i="5"/>
  <c r="D11" i="5"/>
  <c r="D10" i="5"/>
  <c r="P11" i="16"/>
  <c r="R11" i="16" s="1"/>
  <c r="AA11" i="16"/>
  <c r="AB11" i="16" s="1"/>
  <c r="AC11" i="16"/>
  <c r="U11" i="16" l="1"/>
  <c r="H8" i="30"/>
  <c r="H7" i="30"/>
  <c r="X11" i="16" l="1"/>
  <c r="Y11" i="16"/>
  <c r="B7" i="31"/>
  <c r="I16" i="30"/>
  <c r="I15" i="30"/>
  <c r="I12" i="30"/>
  <c r="I11" i="30"/>
  <c r="I8" i="30"/>
  <c r="I7" i="30"/>
  <c r="AC7" i="16" l="1"/>
  <c r="AC9" i="16"/>
  <c r="AC10" i="16"/>
  <c r="AC12" i="16"/>
  <c r="AC13" i="16"/>
  <c r="AC14" i="16"/>
  <c r="AC15" i="16"/>
  <c r="AC16" i="16"/>
  <c r="AC17" i="16"/>
  <c r="AC8" i="16"/>
  <c r="AA9" i="16" l="1"/>
  <c r="AB9" i="16" s="1"/>
  <c r="AA10" i="16"/>
  <c r="AB10" i="16" s="1"/>
  <c r="AA14" i="16"/>
  <c r="AB14" i="16" s="1"/>
  <c r="AA15" i="16"/>
  <c r="AB15" i="16" s="1"/>
  <c r="AA8" i="16"/>
  <c r="AB8" i="16" s="1"/>
  <c r="P10" i="16"/>
  <c r="U10" i="16" s="1"/>
  <c r="P8" i="16"/>
  <c r="P9" i="16"/>
  <c r="P14" i="16"/>
  <c r="P15" i="16"/>
  <c r="P16" i="16"/>
  <c r="P17" i="16"/>
  <c r="Y10" i="16" l="1"/>
  <c r="X10" i="16"/>
  <c r="R10" i="16"/>
  <c r="AA17" i="16" l="1"/>
  <c r="AB17" i="16" s="1"/>
  <c r="U11" i="23"/>
  <c r="Y11" i="23" s="1"/>
  <c r="U10" i="23"/>
  <c r="U9" i="23"/>
  <c r="Y9" i="23" s="1"/>
  <c r="Y10" i="23"/>
  <c r="AA16" i="16" l="1"/>
  <c r="AB16" i="16" s="1"/>
  <c r="F27" i="29"/>
  <c r="F6" i="29"/>
  <c r="F15" i="29"/>
  <c r="F16" i="29"/>
  <c r="F17" i="29"/>
  <c r="F18" i="29"/>
  <c r="F19" i="29"/>
  <c r="F20" i="29"/>
  <c r="F21" i="29"/>
  <c r="F22" i="29"/>
  <c r="F23" i="29"/>
  <c r="F14" i="29"/>
  <c r="N10" i="23" l="1"/>
  <c r="P10" i="23" s="1"/>
  <c r="N11" i="23"/>
  <c r="P11" i="23" s="1"/>
  <c r="N9" i="23"/>
  <c r="P9" i="23" s="1"/>
  <c r="R16" i="16"/>
  <c r="N28" i="30"/>
  <c r="P28" i="30" s="1"/>
  <c r="N27" i="30"/>
  <c r="P27" i="30" s="1"/>
  <c r="S25" i="30"/>
  <c r="N24" i="30"/>
  <c r="M24" i="30"/>
  <c r="I17" i="30"/>
  <c r="I14" i="30"/>
  <c r="W12" i="30"/>
  <c r="I10" i="30"/>
  <c r="I9" i="30"/>
  <c r="I18" i="30" s="1"/>
  <c r="Q27" i="30" l="1"/>
  <c r="S27" i="30" s="1"/>
  <c r="S24" i="30"/>
  <c r="S26" i="30" s="1"/>
  <c r="D35" i="5"/>
  <c r="E37" i="5" s="1"/>
  <c r="I34" i="5"/>
  <c r="I33" i="5"/>
  <c r="I31" i="5"/>
  <c r="G29" i="5"/>
  <c r="U16" i="16" l="1"/>
  <c r="R17" i="16"/>
  <c r="U17" i="16" l="1"/>
  <c r="X16" i="16"/>
  <c r="Y16" i="16"/>
  <c r="X17" i="16" l="1"/>
  <c r="Y17" i="16"/>
  <c r="R8" i="16" l="1"/>
  <c r="U8" i="16"/>
  <c r="U9" i="16"/>
  <c r="R9" i="16"/>
  <c r="U14" i="16"/>
  <c r="R14" i="16"/>
  <c r="U15" i="16"/>
  <c r="R15" i="16"/>
  <c r="Y9" i="16" l="1"/>
  <c r="X9" i="16"/>
  <c r="Y8" i="16"/>
  <c r="X8" i="16"/>
  <c r="X14" i="16"/>
  <c r="Y14" i="16"/>
  <c r="R37" i="16"/>
  <c r="X15" i="16"/>
  <c r="Y15" i="16"/>
  <c r="X37" i="16" l="1"/>
  <c r="L23" i="5"/>
  <c r="K23" i="5"/>
  <c r="J23" i="5"/>
  <c r="I23" i="5"/>
  <c r="F28" i="29" l="1"/>
  <c r="F10" i="28" l="1"/>
  <c r="S11" i="23" l="1"/>
  <c r="Z11" i="23" s="1"/>
  <c r="S10" i="23"/>
  <c r="Z10" i="23" s="1"/>
  <c r="S9" i="23"/>
  <c r="Z9" i="23" s="1"/>
  <c r="Z18" i="23" l="1"/>
  <c r="P18" i="23" l="1"/>
  <c r="D27" i="5" s="1"/>
  <c r="I25" i="5" l="1"/>
  <c r="J21" i="5"/>
  <c r="J25" i="5" s="1"/>
  <c r="K21" i="5" l="1"/>
  <c r="L21" i="5" s="1"/>
  <c r="L25" i="5" s="1"/>
  <c r="K25" i="5" l="1"/>
  <c r="Y37" i="16" l="1"/>
  <c r="D30" i="5" l="1"/>
  <c r="D36" i="5" s="1"/>
  <c r="E36" i="5" s="1"/>
  <c r="I29" i="5" l="1"/>
</calcChain>
</file>

<file path=xl/sharedStrings.xml><?xml version="1.0" encoding="utf-8"?>
<sst xmlns="http://schemas.openxmlformats.org/spreadsheetml/2006/main" count="299" uniqueCount="203">
  <si>
    <t>Amount</t>
  </si>
  <si>
    <t>Description</t>
  </si>
  <si>
    <t>Amount</t>
    <phoneticPr fontId="3" type="noConversion"/>
  </si>
  <si>
    <t>Item No.</t>
    <phoneticPr fontId="2" type="noConversion"/>
  </si>
  <si>
    <t>Rate</t>
  </si>
  <si>
    <t>Remarks</t>
    <phoneticPr fontId="3" type="noConversion"/>
  </si>
  <si>
    <t>TOTAL</t>
    <phoneticPr fontId="3" type="noConversion"/>
  </si>
  <si>
    <t xml:space="preserve"> </t>
    <phoneticPr fontId="3" type="noConversion"/>
  </si>
  <si>
    <t>TOTAL</t>
    <phoneticPr fontId="3" type="noConversion"/>
  </si>
  <si>
    <t>1.</t>
    <phoneticPr fontId="3" type="noConversion"/>
  </si>
  <si>
    <t>2.</t>
    <phoneticPr fontId="3" type="noConversion"/>
  </si>
  <si>
    <t>INDIRECT LABOR</t>
    <phoneticPr fontId="3" type="noConversion"/>
  </si>
  <si>
    <t>TOTAL</t>
    <phoneticPr fontId="3" type="noConversion"/>
  </si>
  <si>
    <t>Direct Manpower Mobilization Plan</t>
    <phoneticPr fontId="2" type="noConversion"/>
  </si>
  <si>
    <t>Capacity/Spec</t>
    <phoneticPr fontId="2" type="noConversion"/>
  </si>
  <si>
    <t>Qwn or Rental</t>
    <phoneticPr fontId="2" type="noConversion"/>
  </si>
  <si>
    <t>No.</t>
    <phoneticPr fontId="3" type="noConversion"/>
  </si>
  <si>
    <t>Equipment Name</t>
    <phoneticPr fontId="3" type="noConversion"/>
  </si>
  <si>
    <t>Amount</t>
    <phoneticPr fontId="3" type="noConversion"/>
  </si>
  <si>
    <t>Rate</t>
    <phoneticPr fontId="3" type="noConversion"/>
  </si>
  <si>
    <t>Equipment</t>
    <phoneticPr fontId="3" type="noConversion"/>
  </si>
  <si>
    <t>Set-Month</t>
    <phoneticPr fontId="3" type="noConversion"/>
  </si>
  <si>
    <t>Remarks</t>
    <phoneticPr fontId="3" type="noConversion"/>
  </si>
  <si>
    <t>Craft or Employee</t>
    <phoneticPr fontId="2" type="noConversion"/>
  </si>
  <si>
    <t>Mobilization Plan by Month</t>
    <phoneticPr fontId="3" type="noConversion"/>
  </si>
  <si>
    <t>Construction Equipment Mobilization Plan</t>
    <phoneticPr fontId="2" type="noConversion"/>
  </si>
  <si>
    <t>■ Terms and Conditions</t>
    <phoneticPr fontId="3" type="noConversion"/>
  </si>
  <si>
    <t>Men-Month</t>
    <phoneticPr fontId="3" type="noConversion"/>
  </si>
  <si>
    <t>Demobilisation</t>
  </si>
  <si>
    <t>1</t>
  </si>
  <si>
    <t>Labor</t>
  </si>
  <si>
    <t>Accomodation</t>
  </si>
  <si>
    <t>Food</t>
  </si>
  <si>
    <t>Ton</t>
  </si>
  <si>
    <t>1.</t>
  </si>
  <si>
    <t>Direct</t>
  </si>
  <si>
    <t>Direct Material</t>
  </si>
  <si>
    <t>Direct Labor</t>
  </si>
  <si>
    <t>Direct Consumables</t>
  </si>
  <si>
    <t>2.</t>
  </si>
  <si>
    <t>Indirect</t>
  </si>
  <si>
    <t>Site Management&amp;Staff</t>
  </si>
  <si>
    <t>Temporary Facilities</t>
  </si>
  <si>
    <t>Indirect Consumables</t>
  </si>
  <si>
    <t>3.</t>
  </si>
  <si>
    <t>Environmental Monitoring</t>
  </si>
  <si>
    <t>4.</t>
  </si>
  <si>
    <t>Permit process</t>
  </si>
  <si>
    <t>Consulting for permission</t>
  </si>
  <si>
    <t xml:space="preserve">Any extra charge for permit </t>
  </si>
  <si>
    <t>Overheads and Profits</t>
  </si>
  <si>
    <t>5</t>
  </si>
  <si>
    <t>Consumption</t>
  </si>
  <si>
    <t>TOTAL WORK</t>
  </si>
  <si>
    <t>TOTAL</t>
  </si>
  <si>
    <t>Mobilisation</t>
  </si>
  <si>
    <t>0.</t>
  </si>
  <si>
    <t>'0</t>
  </si>
  <si>
    <t>ARAS</t>
  </si>
  <si>
    <t>TAŞARON</t>
  </si>
  <si>
    <t>YAKIT</t>
  </si>
  <si>
    <t>MALZEME</t>
  </si>
  <si>
    <t>Genel Gider ve Merkez Payı</t>
  </si>
  <si>
    <t>Teminatlar</t>
  </si>
  <si>
    <t>Finasman</t>
  </si>
  <si>
    <t>Enflasyon</t>
  </si>
  <si>
    <t>SSK</t>
  </si>
  <si>
    <t>Risk/Fire</t>
  </si>
  <si>
    <t>Kar/Zarar</t>
  </si>
  <si>
    <t>Sigorta</t>
  </si>
  <si>
    <t>Damga Vergisi ve Noter</t>
  </si>
  <si>
    <t>TOPLAM</t>
  </si>
  <si>
    <t>Markup-Çarpanı</t>
  </si>
  <si>
    <t>5.</t>
  </si>
  <si>
    <t xml:space="preserve">PROJECT : </t>
  </si>
  <si>
    <t>FOR  Project</t>
  </si>
  <si>
    <t>Price Breakdown</t>
  </si>
  <si>
    <t>ARAS DENİZ İNŞAAT A.Ş.</t>
  </si>
  <si>
    <t>QUOTATION TO TENDER</t>
  </si>
  <si>
    <t xml:space="preserve">■ Project : </t>
  </si>
  <si>
    <t xml:space="preserve">Price Summary </t>
  </si>
  <si>
    <t>[Currency :USD/EURO]</t>
  </si>
  <si>
    <t>Total</t>
  </si>
  <si>
    <t>Mark Up</t>
  </si>
  <si>
    <t>Material  Cost Summary</t>
  </si>
  <si>
    <t>Material Description</t>
  </si>
  <si>
    <t>Unit</t>
  </si>
  <si>
    <t>Qty.</t>
  </si>
  <si>
    <t>Unit Price (Euro)</t>
  </si>
  <si>
    <t>Total (Euro)</t>
  </si>
  <si>
    <t>Construction Material</t>
  </si>
  <si>
    <t>TOTAL:</t>
  </si>
  <si>
    <t>Indirect Material</t>
  </si>
  <si>
    <t>GRAND TOTAL:</t>
  </si>
  <si>
    <t>Subcontractor Cost Summary</t>
  </si>
  <si>
    <t>Work Description</t>
  </si>
  <si>
    <t xml:space="preserve">Doc. No: FR.SAT.07-A  Date of Issue : 30.10.2017   Rev. Date : ..  Rev. No : 01  </t>
  </si>
  <si>
    <t>Maintenance</t>
  </si>
  <si>
    <t>Insurance</t>
  </si>
  <si>
    <t>QHSE Cost</t>
  </si>
  <si>
    <t>Gelir Vergisi</t>
  </si>
  <si>
    <t>Stopaj</t>
  </si>
  <si>
    <t>Bez Sapan Vs…</t>
  </si>
  <si>
    <t>Oksijen</t>
  </si>
  <si>
    <t>Kaynak vs…</t>
  </si>
  <si>
    <t>Mob-Demob  Cost Summary</t>
  </si>
  <si>
    <t>Mob-Demob Costs</t>
  </si>
  <si>
    <t>Temporary Facilities Cost</t>
  </si>
  <si>
    <t>Site Office</t>
  </si>
  <si>
    <t>Diesel</t>
  </si>
  <si>
    <t>Section 9*(2/3)</t>
  </si>
  <si>
    <t>Section 9*(1/3)</t>
  </si>
  <si>
    <t>Running Cost</t>
  </si>
  <si>
    <t>Construction Materials</t>
  </si>
  <si>
    <t>Site Office, Accomodation ect</t>
  </si>
  <si>
    <t xml:space="preserve">Doc. No: FR.SAT.07-F  Date of Issue : 30.10.2017   Rev. Date : ..  Rev. No : 01  </t>
  </si>
  <si>
    <t xml:space="preserve">Doc. No: FR.SAT.07-G  Date of Issue : 30.10.2017   Rev. Date : ..  Rev. No : 01  </t>
  </si>
  <si>
    <t xml:space="preserve">Doc. No: FR.SAT.07-H  Date of Issue : 30.10.2017   Rev. Date : ..  Rev. No : 01  </t>
  </si>
  <si>
    <t>Direct Equipment</t>
  </si>
  <si>
    <t>Construction Equipment</t>
  </si>
  <si>
    <t>Diesel, Lube and water</t>
  </si>
  <si>
    <t>Site Engineer</t>
  </si>
  <si>
    <t>Own</t>
  </si>
  <si>
    <t>Lube</t>
  </si>
  <si>
    <t>Technical Office Chief</t>
  </si>
  <si>
    <t>Approximately*1,289</t>
  </si>
  <si>
    <t>Rate*1</t>
  </si>
  <si>
    <t>Engineer ect*1</t>
  </si>
  <si>
    <t>No.</t>
    <phoneticPr fontId="7" type="noConversion"/>
  </si>
  <si>
    <t xml:space="preserve">Description </t>
    <phoneticPr fontId="7" type="noConversion"/>
  </si>
  <si>
    <t>Spec</t>
    <phoneticPr fontId="7" type="noConversion"/>
  </si>
  <si>
    <t xml:space="preserve">Unit </t>
    <phoneticPr fontId="7" type="noConversion"/>
  </si>
  <si>
    <t>Qty</t>
    <phoneticPr fontId="7" type="noConversion"/>
  </si>
  <si>
    <t>Subcontractor</t>
    <phoneticPr fontId="7" type="noConversion"/>
  </si>
  <si>
    <t>Remarks</t>
    <phoneticPr fontId="7" type="noConversion"/>
  </si>
  <si>
    <t>1.A.</t>
    <phoneticPr fontId="5" type="noConversion"/>
  </si>
  <si>
    <t>Mobilization/Demobilization</t>
    <phoneticPr fontId="5" type="noConversion"/>
  </si>
  <si>
    <t>Mobilization</t>
    <phoneticPr fontId="5" type="noConversion"/>
  </si>
  <si>
    <t>LS</t>
    <phoneticPr fontId="5" type="noConversion"/>
  </si>
  <si>
    <t>Demobilization</t>
    <phoneticPr fontId="5" type="noConversion"/>
  </si>
  <si>
    <t>Ply</t>
    <phoneticPr fontId="5" type="noConversion"/>
  </si>
  <si>
    <t>1.B.1.1.</t>
    <phoneticPr fontId="5" type="noConversion"/>
  </si>
  <si>
    <t>Zone2</t>
    <phoneticPr fontId="5" type="noConversion"/>
  </si>
  <si>
    <t>1.B.1.2</t>
    <phoneticPr fontId="5" type="noConversion"/>
  </si>
  <si>
    <t>Total Amount</t>
    <phoneticPr fontId="5" type="noConversion"/>
  </si>
  <si>
    <t>Note)</t>
    <phoneticPr fontId="5" type="noConversion"/>
  </si>
  <si>
    <t xml:space="preserve">1. All items on above BOQ is subject to change in accordance with Contractor's requirement. </t>
    <phoneticPr fontId="5" type="noConversion"/>
  </si>
  <si>
    <t xml:space="preserve">2. Unit Price of All Equipment fuel shall be defined explicitly </t>
    <phoneticPr fontId="5" type="noConversion"/>
  </si>
  <si>
    <t xml:space="preserve">   1) Liter of Diesel </t>
    <phoneticPr fontId="5" type="noConversion"/>
  </si>
  <si>
    <r>
      <t>E</t>
    </r>
    <r>
      <rPr>
        <sz val="11"/>
        <color theme="1"/>
        <rFont val="Calibri"/>
        <family val="2"/>
        <charset val="129"/>
        <scheme val="minor"/>
      </rPr>
      <t>UR/Liter</t>
    </r>
  </si>
  <si>
    <t xml:space="preserve">   2) Liter of Marine Diesel</t>
    <phoneticPr fontId="5" type="noConversion"/>
  </si>
  <si>
    <t>전체</t>
    <phoneticPr fontId="5" type="noConversion"/>
  </si>
  <si>
    <t>3. Subcontractor shall quote the unit price and quantity at above BOQ format.</t>
    <phoneticPr fontId="5" type="noConversion"/>
  </si>
  <si>
    <t>Zone1</t>
    <phoneticPr fontId="5" type="noConversion"/>
  </si>
  <si>
    <t xml:space="preserve">4. In case of discrepancy in Tender Document, Quantity in the BOQ shall prevail. </t>
    <phoneticPr fontId="5" type="noConversion"/>
  </si>
  <si>
    <t>Zone3</t>
    <phoneticPr fontId="5" type="noConversion"/>
  </si>
  <si>
    <t>DP1 Deck Cargo Ship</t>
  </si>
  <si>
    <t>Sennebogen Material Handler</t>
  </si>
  <si>
    <t>Sennebogen Crawler Crane</t>
  </si>
  <si>
    <t>Split Hopper Barge-1</t>
  </si>
  <si>
    <t>Split Hopper Barge-2</t>
  </si>
  <si>
    <t>Survey Boat</t>
  </si>
  <si>
    <t>Service Boat</t>
  </si>
  <si>
    <t>Underwater Leveling Equipment</t>
  </si>
  <si>
    <t xml:space="preserve">Floating Crane </t>
  </si>
  <si>
    <t>Tug Boat</t>
  </si>
  <si>
    <t>300Hp</t>
  </si>
  <si>
    <t>Formen</t>
  </si>
  <si>
    <t>1st</t>
  </si>
  <si>
    <t>2nd</t>
  </si>
  <si>
    <t>3rd</t>
  </si>
  <si>
    <t>4th</t>
  </si>
  <si>
    <t>No.</t>
    <phoneticPr fontId="0" type="noConversion"/>
  </si>
  <si>
    <t>Description</t>
    <phoneticPr fontId="0" type="noConversion"/>
  </si>
  <si>
    <t>Qty</t>
    <phoneticPr fontId="0" type="noConversion"/>
  </si>
  <si>
    <t>Unit Price (Tl)    m3</t>
  </si>
  <si>
    <t>Unit Price (Tl)  ton</t>
  </si>
  <si>
    <t>Nos</t>
  </si>
  <si>
    <t>EUR</t>
  </si>
  <si>
    <t>Net Kar</t>
  </si>
  <si>
    <t>Amortisman</t>
  </si>
  <si>
    <t>Satıs Fiyatı</t>
  </si>
  <si>
    <t>Yuzde</t>
  </si>
  <si>
    <t>DIRECT LABOR</t>
  </si>
  <si>
    <t>Site Chief</t>
  </si>
  <si>
    <t>NET</t>
  </si>
  <si>
    <t>Procurument</t>
  </si>
  <si>
    <t>Supply of Inflated Buoyancy Bags</t>
  </si>
  <si>
    <t>Offshore Works</t>
  </si>
  <si>
    <t>Installation of Carbon Steel Pipe (24'')</t>
  </si>
  <si>
    <t>Installation of Concrete Mattresses(6*3 m)</t>
  </si>
  <si>
    <t>piece</t>
  </si>
  <si>
    <t>m</t>
  </si>
  <si>
    <t>■ Project : GANA Project</t>
  </si>
  <si>
    <t>[Currency : USD]</t>
  </si>
  <si>
    <t>Sinking Pipe</t>
  </si>
  <si>
    <t>İnstallation Of Concrete Matresses</t>
  </si>
  <si>
    <t>Supply of Mooring Blocks</t>
  </si>
  <si>
    <t xml:space="preserve">Pulling Pipe duringWelding </t>
  </si>
  <si>
    <t>5150Hp</t>
  </si>
  <si>
    <t>80t</t>
  </si>
  <si>
    <t>Project Manager</t>
  </si>
  <si>
    <t>service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</si>
</sst>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₺&quot;* #,##0.00_-;\-&quot;₺&quot;* #,##0.00_-;_-&quot;₺&quot;* &quot;-&quot;??_-;_-@_-"/>
    <numFmt numFmtId="164" formatCode="#,##0.0_ "/>
    <numFmt numFmtId="165" formatCode="#,##0_ "/>
    <numFmt numFmtId="166" formatCode="#,##0\ [$EUR]"/>
    <numFmt numFmtId="167" formatCode="0.0%"/>
    <numFmt numFmtId="168" formatCode="0.000"/>
    <numFmt numFmtId="169" formatCode="0.00000"/>
    <numFmt numFmtId="170" formatCode="#,##0\ [$USD]"/>
    <numFmt numFmtId="171" formatCode="#,##0.0"/>
    <numFmt numFmtId="172" formatCode="#,##0\ &quot;₺&quot;"/>
    <numFmt numFmtId="173" formatCode="_-[$$-409]* #,##0.00_ ;_-[$$-409]* \-#,##0.00\ ;_-[$$-409]* &quot;-&quot;??_ ;_-@_ "/>
  </numFmts>
  <fonts count="49">
    <font>
      <sz val="11"/>
      <color theme="1"/>
      <name val="굴림"/>
      <family val="2"/>
      <charset val="129"/>
    </font>
    <font>
      <sz val="11"/>
      <color theme="1"/>
      <name val="Calibri"/>
      <family val="2"/>
      <charset val="129"/>
      <scheme val="minor"/>
    </font>
    <font>
      <sz val="8"/>
      <name val="굴림"/>
      <family val="2"/>
      <charset val="129"/>
    </font>
    <font>
      <sz val="8"/>
      <name val="돋움"/>
      <family val="3"/>
      <charset val="129"/>
    </font>
    <font>
      <b/>
      <sz val="1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8"/>
      <name val="Calibri"/>
      <family val="3"/>
      <charset val="129"/>
      <scheme val="minor"/>
    </font>
    <font>
      <b/>
      <sz val="8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color rgb="FF00B0F0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sz val="11"/>
      <color theme="1"/>
      <name val="굴림"/>
      <family val="2"/>
      <charset val="129"/>
    </font>
    <font>
      <b/>
      <sz val="14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2"/>
      <color rgb="FF0000CC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20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0"/>
      <color indexed="8"/>
      <name val="Calibri"/>
      <family val="3"/>
      <charset val="129"/>
      <scheme val="minor"/>
    </font>
    <font>
      <sz val="12"/>
      <color theme="1"/>
      <name val="Avenir Next Condensed Regular"/>
    </font>
    <font>
      <b/>
      <sz val="12"/>
      <color indexed="8"/>
      <name val="Calibri"/>
      <family val="3"/>
      <charset val="129"/>
      <scheme val="minor"/>
    </font>
    <font>
      <sz val="12"/>
      <color indexed="8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charset val="162"/>
      <scheme val="minor"/>
    </font>
    <font>
      <b/>
      <sz val="10"/>
      <color rgb="FFFF0000"/>
      <name val="Calibri"/>
      <family val="3"/>
      <charset val="129"/>
      <scheme val="minor"/>
    </font>
    <font>
      <b/>
      <sz val="13"/>
      <color rgb="FF090982"/>
      <name val="Times New Roman"/>
      <family val="1"/>
      <charset val="162"/>
    </font>
    <font>
      <sz val="11"/>
      <color rgb="FFFF0000"/>
      <name val="Calibri"/>
      <family val="3"/>
      <charset val="129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1"/>
      <name val="Century Gothic"/>
      <family val="2"/>
      <charset val="162"/>
    </font>
    <font>
      <sz val="11"/>
      <name val="Century Gothic"/>
      <family val="2"/>
      <charset val="162"/>
    </font>
    <font>
      <b/>
      <i/>
      <sz val="11"/>
      <name val="Century Gothic"/>
      <family val="2"/>
      <charset val="162"/>
    </font>
    <font>
      <sz val="11"/>
      <name val="Century Gothic"/>
      <family val="2"/>
    </font>
    <font>
      <sz val="11"/>
      <name val="Calibri"/>
      <family val="2"/>
      <charset val="162"/>
      <scheme val="minor"/>
    </font>
    <font>
      <b/>
      <sz val="11"/>
      <color rgb="FF0070C0"/>
      <name val="Calibri"/>
      <family val="3"/>
      <charset val="129"/>
      <scheme val="minor"/>
    </font>
    <font>
      <i/>
      <sz val="11"/>
      <color theme="1"/>
      <name val="Calibri"/>
      <family val="3"/>
      <charset val="129"/>
      <scheme val="minor"/>
    </font>
    <font>
      <sz val="8"/>
      <color theme="1"/>
      <name val="굴림"/>
      <family val="2"/>
      <charset val="129"/>
    </font>
    <font>
      <sz val="10"/>
      <color theme="0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/>
      <right style="dashDotDot">
        <color indexed="64"/>
      </right>
      <top style="medium">
        <color indexed="64"/>
      </top>
      <bottom/>
      <diagonal/>
    </border>
    <border>
      <left/>
      <right style="dashDotDot">
        <color indexed="64"/>
      </right>
      <top/>
      <bottom style="double">
        <color indexed="64"/>
      </bottom>
      <diagonal/>
    </border>
    <border>
      <left style="dashDotDot">
        <color indexed="64"/>
      </left>
      <right/>
      <top/>
      <bottom style="double">
        <color indexed="64"/>
      </bottom>
      <diagonal/>
    </border>
    <border>
      <left style="dashDotDot">
        <color indexed="64"/>
      </left>
      <right/>
      <top style="hair">
        <color indexed="64"/>
      </top>
      <bottom/>
      <diagonal/>
    </border>
    <border>
      <left/>
      <right style="dashDotDot">
        <color indexed="64"/>
      </right>
      <top style="hair">
        <color indexed="64"/>
      </top>
      <bottom/>
      <diagonal/>
    </border>
    <border>
      <left/>
      <right style="dashDotDot">
        <color indexed="64"/>
      </right>
      <top/>
      <bottom style="hair">
        <color indexed="64"/>
      </bottom>
      <diagonal/>
    </border>
    <border>
      <left style="dashDotDot">
        <color indexed="64"/>
      </left>
      <right/>
      <top/>
      <bottom style="hair">
        <color indexed="64"/>
      </bottom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 style="thin">
        <color indexed="64"/>
      </top>
      <bottom style="hair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rgb="FFFF0000"/>
      </left>
      <right/>
      <top style="double">
        <color indexed="64"/>
      </top>
      <bottom/>
      <diagonal/>
    </border>
    <border>
      <left style="medium">
        <color rgb="FFFF0000"/>
      </left>
      <right/>
      <top/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9" fontId="20" fillId="0" borderId="0" applyFont="0" applyFill="0" applyBorder="0" applyAlignment="0" applyProtection="0"/>
    <xf numFmtId="0" fontId="33" fillId="0" borderId="0"/>
    <xf numFmtId="0" fontId="38" fillId="0" borderId="0"/>
    <xf numFmtId="0" fontId="20" fillId="0" borderId="0">
      <alignment vertical="center"/>
    </xf>
    <xf numFmtId="44" fontId="20" fillId="0" borderId="0" applyFont="0" applyFill="0" applyBorder="0" applyAlignment="0" applyProtection="0"/>
  </cellStyleXfs>
  <cellXfs count="428">
    <xf numFmtId="0" fontId="0" fillId="0" borderId="0" xfId="0">
      <alignment vertical="center"/>
    </xf>
    <xf numFmtId="0" fontId="11" fillId="3" borderId="0" xfId="0" applyFont="1" applyFill="1">
      <alignment vertical="center"/>
    </xf>
    <xf numFmtId="164" fontId="6" fillId="4" borderId="22" xfId="0" applyNumberFormat="1" applyFont="1" applyFill="1" applyBorder="1" applyAlignment="1">
      <alignment horizontal="center" vertical="center" wrapText="1"/>
    </xf>
    <xf numFmtId="164" fontId="6" fillId="4" borderId="28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 vertical="center"/>
    </xf>
    <xf numFmtId="0" fontId="12" fillId="0" borderId="0" xfId="0" applyNumberFormat="1" applyFont="1" applyFill="1" applyAlignment="1">
      <alignment horizontal="left"/>
    </xf>
    <xf numFmtId="0" fontId="13" fillId="0" borderId="0" xfId="0" applyNumberFormat="1" applyFont="1" applyFill="1">
      <alignment vertical="center"/>
    </xf>
    <xf numFmtId="0" fontId="12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horizontal="centerContinuous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horizontal="left"/>
    </xf>
    <xf numFmtId="0" fontId="13" fillId="0" borderId="0" xfId="0" applyFont="1">
      <alignment vertical="center"/>
    </xf>
    <xf numFmtId="0" fontId="15" fillId="0" borderId="0" xfId="0" applyNumberFormat="1" applyFont="1" applyFill="1" applyAlignment="1">
      <alignment horizontal="center"/>
    </xf>
    <xf numFmtId="0" fontId="15" fillId="0" borderId="0" xfId="0" applyNumberFormat="1" applyFont="1" applyFill="1" applyAlignment="1">
      <alignment horizontal="centerContinuous"/>
    </xf>
    <xf numFmtId="0" fontId="6" fillId="3" borderId="0" xfId="0" applyFont="1" applyFill="1">
      <alignment vertical="center"/>
    </xf>
    <xf numFmtId="0" fontId="16" fillId="0" borderId="0" xfId="0" applyNumberFormat="1" applyFont="1" applyFill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31" xfId="0" applyFont="1" applyBorder="1" applyAlignment="1">
      <alignment vertical="center"/>
    </xf>
    <xf numFmtId="49" fontId="13" fillId="5" borderId="32" xfId="0" applyNumberFormat="1" applyFont="1" applyFill="1" applyBorder="1" applyAlignment="1">
      <alignment vertical="center"/>
    </xf>
    <xf numFmtId="0" fontId="13" fillId="5" borderId="33" xfId="0" applyFont="1" applyFill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14" fillId="5" borderId="46" xfId="0" applyFont="1" applyFill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5" borderId="49" xfId="0" applyFont="1" applyFill="1" applyBorder="1" applyAlignment="1">
      <alignment vertical="center"/>
    </xf>
    <xf numFmtId="0" fontId="13" fillId="0" borderId="52" xfId="0" applyFont="1" applyBorder="1" applyAlignment="1">
      <alignment vertical="center"/>
    </xf>
    <xf numFmtId="0" fontId="13" fillId="0" borderId="53" xfId="0" applyFont="1" applyBorder="1" applyAlignment="1">
      <alignment vertical="center"/>
    </xf>
    <xf numFmtId="0" fontId="13" fillId="5" borderId="54" xfId="0" applyFont="1" applyFill="1" applyBorder="1" applyAlignment="1">
      <alignment vertical="center"/>
    </xf>
    <xf numFmtId="0" fontId="14" fillId="4" borderId="38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13" fillId="0" borderId="58" xfId="0" applyFont="1" applyBorder="1" applyAlignment="1">
      <alignment vertical="center"/>
    </xf>
    <xf numFmtId="0" fontId="13" fillId="5" borderId="59" xfId="0" applyFont="1" applyFill="1" applyBorder="1" applyAlignment="1">
      <alignment vertical="center"/>
    </xf>
    <xf numFmtId="0" fontId="14" fillId="4" borderId="4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4" fillId="5" borderId="60" xfId="0" applyFont="1" applyFill="1" applyBorder="1" applyAlignment="1">
      <alignment horizontal="center" vertical="center"/>
    </xf>
    <xf numFmtId="0" fontId="14" fillId="5" borderId="61" xfId="0" applyFont="1" applyFill="1" applyBorder="1" applyAlignment="1">
      <alignment horizontal="center" vertical="center"/>
    </xf>
    <xf numFmtId="0" fontId="14" fillId="2" borderId="0" xfId="0" applyNumberFormat="1" applyFont="1" applyFill="1" applyAlignment="1">
      <alignment horizontal="right" vertical="center"/>
    </xf>
    <xf numFmtId="0" fontId="15" fillId="0" borderId="0" xfId="0" applyNumberFormat="1" applyFont="1" applyFill="1" applyAlignment="1"/>
    <xf numFmtId="0" fontId="8" fillId="0" borderId="0" xfId="0" applyNumberFormat="1" applyFont="1" applyFill="1" applyAlignment="1"/>
    <xf numFmtId="0" fontId="9" fillId="2" borderId="0" xfId="0" applyNumberFormat="1" applyFont="1" applyFill="1" applyBorder="1" applyAlignment="1">
      <alignment vertical="center"/>
    </xf>
    <xf numFmtId="165" fontId="5" fillId="0" borderId="11" xfId="0" applyNumberFormat="1" applyFont="1" applyBorder="1">
      <alignment vertical="center"/>
    </xf>
    <xf numFmtId="0" fontId="5" fillId="3" borderId="1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165" fontId="5" fillId="0" borderId="58" xfId="0" applyNumberFormat="1" applyFont="1" applyBorder="1" applyAlignment="1">
      <alignment horizontal="center" vertical="center"/>
    </xf>
    <xf numFmtId="165" fontId="5" fillId="0" borderId="0" xfId="0" applyNumberFormat="1" applyFont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0" fontId="17" fillId="0" borderId="3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4" fillId="4" borderId="55" xfId="0" applyFont="1" applyFill="1" applyBorder="1" applyAlignment="1">
      <alignment horizontal="center" vertical="center"/>
    </xf>
    <xf numFmtId="49" fontId="14" fillId="0" borderId="83" xfId="0" applyNumberFormat="1" applyFont="1" applyBorder="1" applyAlignment="1">
      <alignment horizontal="center" vertical="center"/>
    </xf>
    <xf numFmtId="49" fontId="14" fillId="0" borderId="84" xfId="0" applyNumberFormat="1" applyFont="1" applyBorder="1" applyAlignment="1">
      <alignment horizontal="center" vertical="center"/>
    </xf>
    <xf numFmtId="0" fontId="0" fillId="0" borderId="40" xfId="0" applyFont="1" applyBorder="1" applyAlignment="1"/>
    <xf numFmtId="41" fontId="13" fillId="0" borderId="11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13" fillId="0" borderId="82" xfId="0" applyFont="1" applyBorder="1" applyAlignment="1">
      <alignment vertical="center"/>
    </xf>
    <xf numFmtId="0" fontId="17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49" fontId="14" fillId="0" borderId="83" xfId="0" applyNumberFormat="1" applyFont="1" applyFill="1" applyBorder="1" applyAlignment="1">
      <alignment horizontal="center" vertical="center"/>
    </xf>
    <xf numFmtId="41" fontId="13" fillId="0" borderId="40" xfId="0" applyNumberFormat="1" applyFont="1" applyFill="1" applyBorder="1" applyAlignment="1">
      <alignment horizontal="left" vertical="center"/>
    </xf>
    <xf numFmtId="49" fontId="13" fillId="0" borderId="83" xfId="0" applyNumberFormat="1" applyFont="1" applyFill="1" applyBorder="1" applyAlignment="1">
      <alignment vertical="center"/>
    </xf>
    <xf numFmtId="49" fontId="13" fillId="0" borderId="30" xfId="0" applyNumberFormat="1" applyFont="1" applyFill="1" applyBorder="1" applyAlignment="1">
      <alignment vertical="center"/>
    </xf>
    <xf numFmtId="41" fontId="13" fillId="0" borderId="45" xfId="0" applyNumberFormat="1" applyFont="1" applyFill="1" applyBorder="1" applyAlignment="1">
      <alignment horizontal="left" vertical="center"/>
    </xf>
    <xf numFmtId="0" fontId="13" fillId="0" borderId="45" xfId="0" applyFont="1" applyFill="1" applyBorder="1" applyAlignment="1">
      <alignment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41" fontId="13" fillId="0" borderId="27" xfId="0" applyNumberFormat="1" applyFont="1" applyBorder="1" applyAlignment="1">
      <alignment horizontal="center" vertical="center"/>
    </xf>
    <xf numFmtId="41" fontId="22" fillId="0" borderId="27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166" fontId="13" fillId="0" borderId="12" xfId="0" applyNumberFormat="1" applyFont="1" applyBorder="1" applyAlignment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4" fillId="4" borderId="85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5" borderId="61" xfId="0" applyFont="1" applyFill="1" applyBorder="1" applyAlignment="1">
      <alignment vertical="center"/>
    </xf>
    <xf numFmtId="41" fontId="13" fillId="0" borderId="23" xfId="0" applyNumberFormat="1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66" fontId="13" fillId="0" borderId="0" xfId="0" applyNumberFormat="1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166" fontId="13" fillId="0" borderId="53" xfId="0" applyNumberFormat="1" applyFont="1" applyBorder="1" applyAlignment="1">
      <alignment vertical="center"/>
    </xf>
    <xf numFmtId="166" fontId="13" fillId="0" borderId="31" xfId="0" applyNumberFormat="1" applyFont="1" applyBorder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0" fontId="14" fillId="4" borderId="78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0" fontId="23" fillId="2" borderId="0" xfId="0" applyNumberFormat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6" fillId="2" borderId="0" xfId="0" applyNumberFormat="1" applyFont="1" applyFill="1" applyAlignment="1">
      <alignment vertical="center"/>
    </xf>
    <xf numFmtId="0" fontId="27" fillId="4" borderId="18" xfId="0" applyNumberFormat="1" applyFont="1" applyFill="1" applyBorder="1" applyAlignment="1">
      <alignment horizontal="center" vertical="center"/>
    </xf>
    <xf numFmtId="0" fontId="28" fillId="0" borderId="24" xfId="0" quotePrefix="1" applyNumberFormat="1" applyFont="1" applyFill="1" applyBorder="1" applyAlignment="1">
      <alignment horizontal="left" vertical="center" indent="1"/>
    </xf>
    <xf numFmtId="0" fontId="28" fillId="0" borderId="24" xfId="0" applyNumberFormat="1" applyFont="1" applyFill="1" applyBorder="1" applyAlignment="1">
      <alignment horizontal="left" vertical="center" indent="1"/>
    </xf>
    <xf numFmtId="165" fontId="28" fillId="0" borderId="24" xfId="0" applyNumberFormat="1" applyFont="1" applyFill="1" applyBorder="1" applyAlignment="1">
      <alignment horizontal="right" vertical="center"/>
    </xf>
    <xf numFmtId="0" fontId="28" fillId="0" borderId="24" xfId="0" applyNumberFormat="1" applyFont="1" applyFill="1" applyBorder="1" applyAlignment="1">
      <alignment vertical="center"/>
    </xf>
    <xf numFmtId="0" fontId="26" fillId="2" borderId="11" xfId="0" applyNumberFormat="1" applyFont="1" applyFill="1" applyBorder="1" applyAlignment="1">
      <alignment horizontal="left" vertical="center" indent="1"/>
    </xf>
    <xf numFmtId="0" fontId="26" fillId="2" borderId="11" xfId="0" applyNumberFormat="1" applyFont="1" applyFill="1" applyBorder="1" applyAlignment="1">
      <alignment horizontal="left" vertical="center"/>
    </xf>
    <xf numFmtId="165" fontId="26" fillId="2" borderId="11" xfId="0" applyNumberFormat="1" applyFont="1" applyFill="1" applyBorder="1" applyAlignment="1">
      <alignment horizontal="right" vertical="center"/>
    </xf>
    <xf numFmtId="165" fontId="29" fillId="2" borderId="11" xfId="0" applyNumberFormat="1" applyFont="1" applyFill="1" applyBorder="1" applyAlignment="1">
      <alignment horizontal="right" vertical="center" wrapText="1"/>
    </xf>
    <xf numFmtId="0" fontId="26" fillId="2" borderId="11" xfId="0" applyNumberFormat="1" applyFont="1" applyFill="1" applyBorder="1" applyAlignment="1">
      <alignment vertical="center"/>
    </xf>
    <xf numFmtId="0" fontId="26" fillId="2" borderId="62" xfId="0" applyNumberFormat="1" applyFont="1" applyFill="1" applyBorder="1" applyAlignment="1">
      <alignment horizontal="left" vertical="center"/>
    </xf>
    <xf numFmtId="0" fontId="28" fillId="0" borderId="11" xfId="0" quotePrefix="1" applyNumberFormat="1" applyFont="1" applyFill="1" applyBorder="1" applyAlignment="1">
      <alignment horizontal="left" vertical="center" indent="1"/>
    </xf>
    <xf numFmtId="0" fontId="28" fillId="0" borderId="11" xfId="0" applyNumberFormat="1" applyFont="1" applyFill="1" applyBorder="1" applyAlignment="1">
      <alignment horizontal="left" vertical="center" indent="1"/>
    </xf>
    <xf numFmtId="3" fontId="24" fillId="0" borderId="62" xfId="0" applyNumberFormat="1" applyFont="1" applyFill="1" applyBorder="1" applyAlignment="1">
      <alignment horizontal="left" vertical="center"/>
    </xf>
    <xf numFmtId="165" fontId="26" fillId="0" borderId="11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0" fontId="28" fillId="2" borderId="11" xfId="0" applyNumberFormat="1" applyFont="1" applyFill="1" applyBorder="1" applyAlignment="1">
      <alignment vertical="center"/>
    </xf>
    <xf numFmtId="3" fontId="24" fillId="0" borderId="62" xfId="0" applyNumberFormat="1" applyFont="1" applyFill="1" applyBorder="1" applyAlignment="1">
      <alignment horizontal="left" vertical="center" indent="1"/>
    </xf>
    <xf numFmtId="0" fontId="26" fillId="2" borderId="11" xfId="0" quotePrefix="1" applyNumberFormat="1" applyFont="1" applyFill="1" applyBorder="1" applyAlignment="1">
      <alignment horizontal="left" vertical="center" indent="1"/>
    </xf>
    <xf numFmtId="169" fontId="24" fillId="0" borderId="0" xfId="0" applyNumberFormat="1" applyFont="1">
      <alignment vertical="center"/>
    </xf>
    <xf numFmtId="165" fontId="28" fillId="2" borderId="11" xfId="0" applyNumberFormat="1" applyFont="1" applyFill="1" applyBorder="1" applyAlignment="1">
      <alignment horizontal="right" vertical="center"/>
    </xf>
    <xf numFmtId="0" fontId="26" fillId="2" borderId="15" xfId="0" applyNumberFormat="1" applyFont="1" applyFill="1" applyBorder="1" applyAlignment="1">
      <alignment horizontal="left" vertical="center" indent="1"/>
    </xf>
    <xf numFmtId="165" fontId="26" fillId="2" borderId="15" xfId="0" applyNumberFormat="1" applyFont="1" applyFill="1" applyBorder="1" applyAlignment="1">
      <alignment horizontal="right" vertical="center"/>
    </xf>
    <xf numFmtId="0" fontId="26" fillId="2" borderId="15" xfId="0" applyNumberFormat="1" applyFont="1" applyFill="1" applyBorder="1" applyAlignment="1">
      <alignment vertical="center"/>
    </xf>
    <xf numFmtId="0" fontId="31" fillId="4" borderId="15" xfId="0" applyNumberFormat="1" applyFont="1" applyFill="1" applyBorder="1" applyAlignment="1">
      <alignment horizontal="left" vertical="center" indent="1"/>
    </xf>
    <xf numFmtId="0" fontId="31" fillId="4" borderId="15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vertical="center"/>
    </xf>
    <xf numFmtId="0" fontId="26" fillId="2" borderId="5" xfId="0" applyNumberFormat="1" applyFont="1" applyFill="1" applyBorder="1" applyAlignment="1">
      <alignment horizontal="left" vertical="center" indent="1"/>
    </xf>
    <xf numFmtId="165" fontId="26" fillId="2" borderId="5" xfId="0" applyNumberFormat="1" applyFont="1" applyFill="1" applyBorder="1" applyAlignment="1">
      <alignment horizontal="right" vertical="center"/>
    </xf>
    <xf numFmtId="0" fontId="26" fillId="2" borderId="13" xfId="0" applyNumberFormat="1" applyFont="1" applyFill="1" applyBorder="1" applyAlignment="1">
      <alignment vertical="center"/>
    </xf>
    <xf numFmtId="0" fontId="26" fillId="2" borderId="2" xfId="0" applyNumberFormat="1" applyFont="1" applyFill="1" applyBorder="1" applyAlignment="1">
      <alignment horizontal="left" vertical="center" indent="1"/>
    </xf>
    <xf numFmtId="0" fontId="26" fillId="2" borderId="0" xfId="0" applyNumberFormat="1" applyFont="1" applyFill="1" applyBorder="1" applyAlignment="1">
      <alignment horizontal="left" vertical="center" indent="1"/>
    </xf>
    <xf numFmtId="165" fontId="26" fillId="2" borderId="0" xfId="0" applyNumberFormat="1" applyFont="1" applyFill="1" applyBorder="1" applyAlignment="1">
      <alignment horizontal="right" vertical="center"/>
    </xf>
    <xf numFmtId="0" fontId="26" fillId="2" borderId="3" xfId="0" applyNumberFormat="1" applyFont="1" applyFill="1" applyBorder="1" applyAlignment="1">
      <alignment vertical="center"/>
    </xf>
    <xf numFmtId="0" fontId="26" fillId="2" borderId="4" xfId="0" applyNumberFormat="1" applyFont="1" applyFill="1" applyBorder="1" applyAlignment="1">
      <alignment horizontal="left" vertical="center" indent="1"/>
    </xf>
    <xf numFmtId="165" fontId="26" fillId="2" borderId="10" xfId="0" applyNumberFormat="1" applyFont="1" applyFill="1" applyBorder="1" applyAlignment="1">
      <alignment horizontal="right" vertical="center"/>
    </xf>
    <xf numFmtId="0" fontId="32" fillId="2" borderId="0" xfId="0" applyNumberFormat="1" applyFont="1" applyFill="1" applyAlignment="1">
      <alignment vertical="center"/>
    </xf>
    <xf numFmtId="0" fontId="33" fillId="0" borderId="0" xfId="2"/>
    <xf numFmtId="0" fontId="33" fillId="0" borderId="2" xfId="2" applyBorder="1"/>
    <xf numFmtId="0" fontId="33" fillId="0" borderId="0" xfId="2" applyBorder="1"/>
    <xf numFmtId="0" fontId="33" fillId="0" borderId="5" xfId="2" applyBorder="1"/>
    <xf numFmtId="0" fontId="33" fillId="0" borderId="13" xfId="2" applyBorder="1"/>
    <xf numFmtId="0" fontId="34" fillId="0" borderId="0" xfId="2" applyFont="1" applyBorder="1"/>
    <xf numFmtId="0" fontId="33" fillId="0" borderId="1" xfId="2" applyBorder="1"/>
    <xf numFmtId="0" fontId="19" fillId="0" borderId="12" xfId="0" applyFont="1" applyBorder="1" applyAlignment="1">
      <alignment vertical="center"/>
    </xf>
    <xf numFmtId="0" fontId="19" fillId="0" borderId="31" xfId="0" applyFont="1" applyBorder="1" applyAlignment="1">
      <alignment vertical="center"/>
    </xf>
    <xf numFmtId="0" fontId="19" fillId="0" borderId="31" xfId="0" applyFont="1" applyBorder="1" applyAlignment="1">
      <alignment horizontal="center" vertical="center"/>
    </xf>
    <xf numFmtId="0" fontId="19" fillId="0" borderId="82" xfId="0" applyFont="1" applyBorder="1" applyAlignment="1">
      <alignment vertical="center"/>
    </xf>
    <xf numFmtId="0" fontId="19" fillId="0" borderId="0" xfId="0" applyFont="1" applyAlignment="1">
      <alignment vertical="center"/>
    </xf>
    <xf numFmtId="49" fontId="19" fillId="0" borderId="83" xfId="0" applyNumberFormat="1" applyFont="1" applyFill="1" applyBorder="1" applyAlignment="1">
      <alignment vertical="center"/>
    </xf>
    <xf numFmtId="49" fontId="35" fillId="0" borderId="83" xfId="0" applyNumberFormat="1" applyFont="1" applyFill="1" applyBorder="1" applyAlignment="1">
      <alignment horizontal="center" vertical="center"/>
    </xf>
    <xf numFmtId="1" fontId="27" fillId="0" borderId="0" xfId="0" applyNumberFormat="1" applyFont="1">
      <alignment vertical="center"/>
    </xf>
    <xf numFmtId="0" fontId="14" fillId="4" borderId="55" xfId="0" applyFont="1" applyFill="1" applyBorder="1" applyAlignment="1">
      <alignment horizontal="center" vertical="center"/>
    </xf>
    <xf numFmtId="0" fontId="9" fillId="2" borderId="0" xfId="0" applyNumberFormat="1" applyFont="1" applyFill="1" applyAlignment="1">
      <alignment horizontal="right" vertical="center"/>
    </xf>
    <xf numFmtId="166" fontId="13" fillId="0" borderId="93" xfId="0" applyNumberFormat="1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4" fillId="4" borderId="96" xfId="0" applyFont="1" applyFill="1" applyBorder="1" applyAlignment="1">
      <alignment horizontal="center" vertical="center"/>
    </xf>
    <xf numFmtId="0" fontId="14" fillId="4" borderId="98" xfId="0" applyFont="1" applyFill="1" applyBorder="1" applyAlignment="1">
      <alignment horizontal="center" vertical="center"/>
    </xf>
    <xf numFmtId="0" fontId="14" fillId="4" borderId="99" xfId="0" applyFont="1" applyFill="1" applyBorder="1" applyAlignment="1">
      <alignment horizontal="center" vertical="center"/>
    </xf>
    <xf numFmtId="10" fontId="30" fillId="0" borderId="15" xfId="1" applyNumberFormat="1" applyFont="1" applyBorder="1"/>
    <xf numFmtId="10" fontId="30" fillId="0" borderId="15" xfId="0" applyNumberFormat="1" applyFont="1" applyBorder="1" applyAlignment="1"/>
    <xf numFmtId="167" fontId="30" fillId="0" borderId="15" xfId="0" applyNumberFormat="1" applyFont="1" applyBorder="1" applyAlignment="1"/>
    <xf numFmtId="168" fontId="30" fillId="0" borderId="15" xfId="0" applyNumberFormat="1" applyFont="1" applyBorder="1" applyAlignment="1"/>
    <xf numFmtId="0" fontId="27" fillId="4" borderId="66" xfId="0" applyNumberFormat="1" applyFont="1" applyFill="1" applyBorder="1" applyAlignment="1">
      <alignment horizontal="center" vertical="center"/>
    </xf>
    <xf numFmtId="0" fontId="27" fillId="4" borderId="15" xfId="0" applyNumberFormat="1" applyFont="1" applyFill="1" applyBorder="1" applyAlignment="1">
      <alignment horizontal="left" vertical="center"/>
    </xf>
    <xf numFmtId="0" fontId="40" fillId="0" borderId="0" xfId="3" applyFont="1"/>
    <xf numFmtId="0" fontId="40" fillId="0" borderId="0" xfId="3" applyFont="1" applyAlignment="1"/>
    <xf numFmtId="0" fontId="41" fillId="0" borderId="0" xfId="3" applyFont="1"/>
    <xf numFmtId="0" fontId="40" fillId="0" borderId="15" xfId="3" applyFont="1" applyBorder="1" applyAlignment="1">
      <alignment horizontal="center" vertical="justify"/>
    </xf>
    <xf numFmtId="3" fontId="40" fillId="0" borderId="15" xfId="3" applyNumberFormat="1" applyFont="1" applyBorder="1" applyAlignment="1">
      <alignment horizontal="center" vertical="justify"/>
    </xf>
    <xf numFmtId="0" fontId="40" fillId="0" borderId="0" xfId="3" applyFont="1" applyAlignment="1">
      <alignment horizontal="center" vertical="justify"/>
    </xf>
    <xf numFmtId="0" fontId="42" fillId="0" borderId="15" xfId="3" applyFont="1" applyBorder="1"/>
    <xf numFmtId="3" fontId="42" fillId="0" borderId="15" xfId="3" applyNumberFormat="1" applyFont="1" applyBorder="1" applyAlignment="1">
      <alignment horizontal="right"/>
    </xf>
    <xf numFmtId="3" fontId="41" fillId="0" borderId="15" xfId="3" applyNumberFormat="1" applyFont="1" applyBorder="1" applyAlignment="1">
      <alignment horizontal="right"/>
    </xf>
    <xf numFmtId="0" fontId="42" fillId="0" borderId="0" xfId="3" applyFont="1"/>
    <xf numFmtId="0" fontId="41" fillId="0" borderId="15" xfId="3" applyFont="1" applyBorder="1"/>
    <xf numFmtId="0" fontId="43" fillId="0" borderId="15" xfId="3" applyFont="1" applyBorder="1" applyAlignment="1">
      <alignment horizontal="center"/>
    </xf>
    <xf numFmtId="3" fontId="43" fillId="0" borderId="15" xfId="3" applyNumberFormat="1" applyFont="1" applyBorder="1" applyAlignment="1">
      <alignment horizontal="right"/>
    </xf>
    <xf numFmtId="0" fontId="43" fillId="0" borderId="15" xfId="3" applyFont="1" applyBorder="1" applyAlignment="1"/>
    <xf numFmtId="3" fontId="42" fillId="0" borderId="15" xfId="3" applyNumberFormat="1" applyFont="1" applyBorder="1"/>
    <xf numFmtId="3" fontId="41" fillId="0" borderId="15" xfId="3" applyNumberFormat="1" applyFont="1" applyBorder="1"/>
    <xf numFmtId="0" fontId="5" fillId="0" borderId="0" xfId="0" applyFont="1">
      <alignment vertical="center"/>
    </xf>
    <xf numFmtId="0" fontId="39" fillId="0" borderId="0" xfId="3" applyFont="1" applyAlignment="1"/>
    <xf numFmtId="0" fontId="27" fillId="0" borderId="10" xfId="0" applyNumberFormat="1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 shrinkToFit="1"/>
    </xf>
    <xf numFmtId="41" fontId="13" fillId="0" borderId="40" xfId="0" applyNumberFormat="1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170" fontId="13" fillId="5" borderId="54" xfId="0" applyNumberFormat="1" applyFont="1" applyFill="1" applyBorder="1" applyAlignment="1">
      <alignment vertical="center"/>
    </xf>
    <xf numFmtId="170" fontId="13" fillId="0" borderId="0" xfId="0" applyNumberFormat="1" applyFont="1" applyAlignment="1">
      <alignment vertical="center"/>
    </xf>
    <xf numFmtId="170" fontId="13" fillId="5" borderId="32" xfId="0" applyNumberFormat="1" applyFont="1" applyFill="1" applyBorder="1" applyAlignment="1">
      <alignment vertical="center"/>
    </xf>
    <xf numFmtId="170" fontId="13" fillId="5" borderId="49" xfId="0" applyNumberFormat="1" applyFont="1" applyFill="1" applyBorder="1" applyAlignment="1">
      <alignment vertical="center"/>
    </xf>
    <xf numFmtId="170" fontId="13" fillId="0" borderId="53" xfId="0" applyNumberFormat="1" applyFont="1" applyBorder="1" applyAlignment="1">
      <alignment vertical="center"/>
    </xf>
    <xf numFmtId="0" fontId="14" fillId="4" borderId="55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44" fillId="0" borderId="0" xfId="0" applyFont="1">
      <alignment vertical="center"/>
    </xf>
    <xf numFmtId="0" fontId="1" fillId="0" borderId="0" xfId="0" applyFont="1" applyFill="1">
      <alignment vertical="center"/>
    </xf>
    <xf numFmtId="0" fontId="6" fillId="0" borderId="0" xfId="0" applyFont="1" applyFill="1" applyAlignment="1">
      <alignment horizontal="right" vertical="center"/>
    </xf>
    <xf numFmtId="164" fontId="6" fillId="0" borderId="0" xfId="0" applyNumberFormat="1" applyFont="1" applyFill="1" applyBorder="1" applyAlignment="1">
      <alignment horizontal="center" vertical="center" wrapText="1"/>
    </xf>
    <xf numFmtId="165" fontId="9" fillId="0" borderId="27" xfId="0" applyNumberFormat="1" applyFont="1" applyBorder="1" applyAlignment="1">
      <alignment horizontal="left" vertical="center" indent="1"/>
    </xf>
    <xf numFmtId="165" fontId="9" fillId="0" borderId="11" xfId="0" applyNumberFormat="1" applyFont="1" applyBorder="1" applyAlignment="1">
      <alignment vertical="center"/>
    </xf>
    <xf numFmtId="38" fontId="5" fillId="0" borderId="12" xfId="0" applyNumberFormat="1" applyFont="1" applyFill="1" applyBorder="1" applyAlignment="1">
      <alignment vertical="center" shrinkToFit="1"/>
    </xf>
    <xf numFmtId="40" fontId="7" fillId="0" borderId="27" xfId="0" applyNumberFormat="1" applyFont="1" applyBorder="1" applyAlignment="1">
      <alignment vertical="center" shrinkToFit="1"/>
    </xf>
    <xf numFmtId="38" fontId="7" fillId="0" borderId="23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40" fontId="6" fillId="3" borderId="0" xfId="0" applyNumberFormat="1" applyFont="1" applyFill="1">
      <alignment vertical="center"/>
    </xf>
    <xf numFmtId="165" fontId="7" fillId="0" borderId="11" xfId="0" applyNumberFormat="1" applyFont="1" applyBorder="1" applyAlignment="1">
      <alignment horizontal="left" vertical="center" indent="1"/>
    </xf>
    <xf numFmtId="165" fontId="44" fillId="0" borderId="11" xfId="0" applyNumberFormat="1" applyFont="1" applyBorder="1" applyAlignment="1">
      <alignment vertical="center"/>
    </xf>
    <xf numFmtId="38" fontId="5" fillId="0" borderId="12" xfId="0" applyNumberFormat="1" applyFont="1" applyBorder="1" applyAlignment="1">
      <alignment vertical="center" shrinkToFit="1"/>
    </xf>
    <xf numFmtId="40" fontId="7" fillId="0" borderId="27" xfId="0" applyNumberFormat="1" applyFont="1" applyFill="1" applyBorder="1" applyAlignment="1">
      <alignment vertical="center" shrinkToFit="1"/>
    </xf>
    <xf numFmtId="0" fontId="37" fillId="3" borderId="1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5" fontId="45" fillId="0" borderId="27" xfId="0" applyNumberFormat="1" applyFont="1" applyBorder="1" applyAlignment="1">
      <alignment horizontal="left" vertical="center" indent="1"/>
    </xf>
    <xf numFmtId="165" fontId="45" fillId="0" borderId="11" xfId="0" applyNumberFormat="1" applyFont="1" applyBorder="1" applyAlignment="1">
      <alignment vertical="center"/>
    </xf>
    <xf numFmtId="165" fontId="44" fillId="0" borderId="11" xfId="0" applyNumberFormat="1" applyFont="1" applyBorder="1" applyAlignment="1">
      <alignment horizontal="left" vertical="center" indent="1"/>
    </xf>
    <xf numFmtId="40" fontId="5" fillId="0" borderId="12" xfId="0" applyNumberFormat="1" applyFont="1" applyBorder="1" applyAlignment="1">
      <alignment horizontal="right" vertical="center" shrinkToFit="1"/>
    </xf>
    <xf numFmtId="38" fontId="5" fillId="0" borderId="12" xfId="0" applyNumberFormat="1" applyFont="1" applyBorder="1" applyAlignment="1">
      <alignment horizontal="right" vertical="center" shrinkToFit="1"/>
    </xf>
    <xf numFmtId="38" fontId="6" fillId="3" borderId="0" xfId="0" applyNumberFormat="1" applyFont="1" applyFill="1">
      <alignment vertical="center"/>
    </xf>
    <xf numFmtId="165" fontId="9" fillId="5" borderId="68" xfId="0" applyNumberFormat="1" applyFont="1" applyFill="1" applyBorder="1" applyAlignment="1">
      <alignment horizontal="left" vertical="center" indent="1"/>
    </xf>
    <xf numFmtId="165" fontId="9" fillId="5" borderId="67" xfId="0" applyNumberFormat="1" applyFont="1" applyFill="1" applyBorder="1" applyAlignment="1">
      <alignment horizontal="center" vertical="center"/>
    </xf>
    <xf numFmtId="165" fontId="6" fillId="5" borderId="67" xfId="0" applyNumberFormat="1" applyFont="1" applyFill="1" applyBorder="1">
      <alignment vertical="center"/>
    </xf>
    <xf numFmtId="165" fontId="6" fillId="5" borderId="75" xfId="0" applyNumberFormat="1" applyFont="1" applyFill="1" applyBorder="1" applyAlignment="1">
      <alignment horizontal="center" vertical="center"/>
    </xf>
    <xf numFmtId="38" fontId="6" fillId="5" borderId="76" xfId="0" applyNumberFormat="1" applyFont="1" applyFill="1" applyBorder="1" applyAlignment="1">
      <alignment vertical="center" shrinkToFit="1"/>
    </xf>
    <xf numFmtId="40" fontId="9" fillId="5" borderId="68" xfId="0" applyNumberFormat="1" applyFont="1" applyFill="1" applyBorder="1" applyAlignment="1">
      <alignment vertical="center" shrinkToFit="1"/>
    </xf>
    <xf numFmtId="38" fontId="9" fillId="5" borderId="69" xfId="0" applyNumberFormat="1" applyFont="1" applyFill="1" applyBorder="1">
      <alignment vertical="center"/>
    </xf>
    <xf numFmtId="0" fontId="6" fillId="5" borderId="67" xfId="0" applyFont="1" applyFill="1" applyBorder="1" applyAlignment="1">
      <alignment horizontal="center" vertical="center"/>
    </xf>
    <xf numFmtId="165" fontId="9" fillId="0" borderId="0" xfId="0" applyNumberFormat="1" applyFont="1" applyBorder="1" applyAlignment="1">
      <alignment horizontal="left" vertical="center" indent="1"/>
    </xf>
    <xf numFmtId="165" fontId="44" fillId="0" borderId="0" xfId="0" applyNumberFormat="1" applyFont="1" applyBorder="1" applyAlignment="1">
      <alignment vertical="center"/>
    </xf>
    <xf numFmtId="165" fontId="5" fillId="0" borderId="0" xfId="0" applyNumberFormat="1" applyFont="1" applyBorder="1" applyAlignment="1">
      <alignment horizontal="center" vertical="center"/>
    </xf>
    <xf numFmtId="38" fontId="5" fillId="0" borderId="0" xfId="0" applyNumberFormat="1" applyFont="1" applyBorder="1" applyAlignment="1">
      <alignment vertical="center" shrinkToFit="1"/>
    </xf>
    <xf numFmtId="40" fontId="7" fillId="0" borderId="0" xfId="0" applyNumberFormat="1" applyFont="1" applyFill="1" applyBorder="1" applyAlignment="1">
      <alignment vertical="center" shrinkToFit="1"/>
    </xf>
    <xf numFmtId="38" fontId="7" fillId="0" borderId="0" xfId="0" applyNumberFormat="1" applyFont="1" applyFill="1" applyBorder="1">
      <alignment vertical="center"/>
    </xf>
    <xf numFmtId="38" fontId="1" fillId="3" borderId="0" xfId="0" applyNumberFormat="1" applyFont="1" applyFill="1">
      <alignment vertical="center"/>
    </xf>
    <xf numFmtId="0" fontId="46" fillId="6" borderId="0" xfId="0" applyFont="1" applyFill="1">
      <alignment vertical="center"/>
    </xf>
    <xf numFmtId="171" fontId="1" fillId="3" borderId="0" xfId="0" applyNumberFormat="1" applyFont="1" applyFill="1">
      <alignment vertical="center"/>
    </xf>
    <xf numFmtId="4" fontId="1" fillId="3" borderId="0" xfId="0" applyNumberFormat="1" applyFont="1" applyFill="1">
      <alignment vertical="center"/>
    </xf>
    <xf numFmtId="4" fontId="1" fillId="6" borderId="0" xfId="0" applyNumberFormat="1" applyFont="1" applyFill="1">
      <alignment vertical="center"/>
    </xf>
    <xf numFmtId="49" fontId="14" fillId="0" borderId="34" xfId="0" applyNumberFormat="1" applyFont="1" applyBorder="1" applyAlignment="1">
      <alignment horizontal="center" vertical="center"/>
    </xf>
    <xf numFmtId="41" fontId="22" fillId="0" borderId="44" xfId="0" applyNumberFormat="1" applyFont="1" applyBorder="1" applyAlignment="1">
      <alignment horizontal="left" vertical="center"/>
    </xf>
    <xf numFmtId="49" fontId="14" fillId="0" borderId="30" xfId="0" applyNumberFormat="1" applyFont="1" applyBorder="1" applyAlignment="1">
      <alignment horizontal="center" vertical="center"/>
    </xf>
    <xf numFmtId="41" fontId="13" fillId="0" borderId="45" xfId="0" applyNumberFormat="1" applyFont="1" applyBorder="1" applyAlignment="1">
      <alignment horizontal="left" vertical="center"/>
    </xf>
    <xf numFmtId="41" fontId="14" fillId="0" borderId="24" xfId="0" applyNumberFormat="1" applyFont="1" applyBorder="1" applyAlignment="1">
      <alignment horizontal="center" vertical="center"/>
    </xf>
    <xf numFmtId="41" fontId="14" fillId="0" borderId="26" xfId="0" applyNumberFormat="1" applyFont="1" applyBorder="1" applyAlignment="1">
      <alignment horizontal="center" vertical="center"/>
    </xf>
    <xf numFmtId="0" fontId="13" fillId="0" borderId="87" xfId="0" applyFont="1" applyBorder="1" applyAlignment="1">
      <alignment vertical="center"/>
    </xf>
    <xf numFmtId="0" fontId="13" fillId="5" borderId="46" xfId="0" applyFont="1" applyFill="1" applyBorder="1" applyAlignment="1">
      <alignment vertical="center"/>
    </xf>
    <xf numFmtId="0" fontId="14" fillId="4" borderId="85" xfId="0" applyFont="1" applyFill="1" applyBorder="1" applyAlignment="1">
      <alignment horizontal="center" vertical="center" shrinkToFit="1"/>
    </xf>
    <xf numFmtId="0" fontId="14" fillId="4" borderId="56" xfId="0" applyFont="1" applyFill="1" applyBorder="1" applyAlignment="1">
      <alignment horizontal="center" vertical="center" shrinkToFit="1"/>
    </xf>
    <xf numFmtId="0" fontId="19" fillId="0" borderId="45" xfId="0" applyFont="1" applyBorder="1" applyAlignment="1">
      <alignment vertical="center"/>
    </xf>
    <xf numFmtId="0" fontId="13" fillId="0" borderId="45" xfId="0" applyFont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20" fillId="0" borderId="0" xfId="4">
      <alignment vertical="center"/>
    </xf>
    <xf numFmtId="0" fontId="14" fillId="0" borderId="0" xfId="4" applyFont="1" applyAlignment="1">
      <alignment vertical="center"/>
    </xf>
    <xf numFmtId="0" fontId="14" fillId="4" borderId="107" xfId="4" applyFont="1" applyFill="1" applyBorder="1" applyAlignment="1">
      <alignment horizontal="center" vertical="center"/>
    </xf>
    <xf numFmtId="0" fontId="14" fillId="4" borderId="108" xfId="4" applyFont="1" applyFill="1" applyBorder="1" applyAlignment="1">
      <alignment horizontal="center" vertical="center"/>
    </xf>
    <xf numFmtId="0" fontId="14" fillId="4" borderId="21" xfId="4" applyFont="1" applyFill="1" applyBorder="1" applyAlignment="1">
      <alignment horizontal="center" vertical="center"/>
    </xf>
    <xf numFmtId="0" fontId="20" fillId="7" borderId="91" xfId="4" applyFill="1" applyBorder="1">
      <alignment vertical="center"/>
    </xf>
    <xf numFmtId="0" fontId="20" fillId="7" borderId="0" xfId="4" applyFill="1" applyBorder="1">
      <alignment vertical="center"/>
    </xf>
    <xf numFmtId="41" fontId="14" fillId="7" borderId="64" xfId="4" applyNumberFormat="1" applyFont="1" applyFill="1" applyBorder="1" applyAlignment="1">
      <alignment vertical="center"/>
    </xf>
    <xf numFmtId="0" fontId="14" fillId="7" borderId="111" xfId="4" quotePrefix="1" applyFont="1" applyFill="1" applyBorder="1" applyAlignment="1">
      <alignment horizontal="center" vertical="center" shrinkToFit="1"/>
    </xf>
    <xf numFmtId="0" fontId="14" fillId="7" borderId="112" xfId="4" quotePrefix="1" applyFont="1" applyFill="1" applyBorder="1" applyAlignment="1">
      <alignment horizontal="center" vertical="center" shrinkToFit="1"/>
    </xf>
    <xf numFmtId="0" fontId="14" fillId="7" borderId="77" xfId="4" quotePrefix="1" applyFont="1" applyFill="1" applyBorder="1" applyAlignment="1">
      <alignment horizontal="center" vertical="center" shrinkToFit="1"/>
    </xf>
    <xf numFmtId="0" fontId="14" fillId="7" borderId="63" xfId="4" quotePrefix="1" applyFont="1" applyFill="1" applyBorder="1" applyAlignment="1">
      <alignment horizontal="center" vertical="center" shrinkToFit="1"/>
    </xf>
    <xf numFmtId="0" fontId="20" fillId="0" borderId="0" xfId="4" applyBorder="1">
      <alignment vertical="center"/>
    </xf>
    <xf numFmtId="41" fontId="14" fillId="0" borderId="0" xfId="4" applyNumberFormat="1" applyFont="1" applyBorder="1" applyAlignment="1">
      <alignment horizontal="left" vertical="center" indent="1"/>
    </xf>
    <xf numFmtId="164" fontId="18" fillId="0" borderId="57" xfId="4" applyNumberFormat="1" applyFont="1" applyFill="1" applyBorder="1" applyAlignment="1">
      <alignment vertical="center" shrinkToFit="1"/>
    </xf>
    <xf numFmtId="164" fontId="18" fillId="0" borderId="113" xfId="4" applyNumberFormat="1" applyFont="1" applyFill="1" applyBorder="1" applyAlignment="1">
      <alignment vertical="center" shrinkToFit="1"/>
    </xf>
    <xf numFmtId="164" fontId="18" fillId="0" borderId="44" xfId="4" applyNumberFormat="1" applyFont="1" applyFill="1" applyBorder="1" applyAlignment="1">
      <alignment vertical="center" shrinkToFit="1"/>
    </xf>
    <xf numFmtId="164" fontId="18" fillId="0" borderId="114" xfId="4" applyNumberFormat="1" applyFont="1" applyFill="1" applyBorder="1" applyAlignment="1">
      <alignment vertical="center" shrinkToFit="1"/>
    </xf>
    <xf numFmtId="164" fontId="18" fillId="0" borderId="52" xfId="4" applyNumberFormat="1" applyFont="1" applyFill="1" applyBorder="1" applyAlignment="1">
      <alignment vertical="center" shrinkToFit="1"/>
    </xf>
    <xf numFmtId="0" fontId="20" fillId="0" borderId="6" xfId="4" applyBorder="1">
      <alignment vertical="center"/>
    </xf>
    <xf numFmtId="0" fontId="47" fillId="0" borderId="0" xfId="4" applyFont="1" applyBorder="1" applyAlignment="1">
      <alignment horizontal="center" vertical="center"/>
    </xf>
    <xf numFmtId="164" fontId="18" fillId="0" borderId="0" xfId="4" applyNumberFormat="1" applyFont="1" applyFill="1" applyBorder="1" applyAlignment="1">
      <alignment vertical="center" shrinkToFit="1"/>
    </xf>
    <xf numFmtId="164" fontId="18" fillId="0" borderId="115" xfId="4" applyNumberFormat="1" applyFont="1" applyFill="1" applyBorder="1" applyAlignment="1">
      <alignment vertical="center" shrinkToFit="1"/>
    </xf>
    <xf numFmtId="164" fontId="18" fillId="0" borderId="116" xfId="4" applyNumberFormat="1" applyFont="1" applyFill="1" applyBorder="1" applyAlignment="1">
      <alignment vertical="center" shrinkToFit="1"/>
    </xf>
    <xf numFmtId="164" fontId="18" fillId="0" borderId="64" xfId="4" applyNumberFormat="1" applyFont="1" applyFill="1" applyBorder="1" applyAlignment="1">
      <alignment vertical="center" shrinkToFit="1"/>
    </xf>
    <xf numFmtId="3" fontId="48" fillId="0" borderId="0" xfId="4" applyNumberFormat="1" applyFont="1" applyFill="1" applyBorder="1" applyAlignment="1">
      <alignment horizontal="center" vertical="center" shrinkToFit="1"/>
    </xf>
    <xf numFmtId="3" fontId="48" fillId="8" borderId="0" xfId="4" applyNumberFormat="1" applyFont="1" applyFill="1" applyBorder="1" applyAlignment="1">
      <alignment horizontal="center" vertical="center" shrinkToFit="1"/>
    </xf>
    <xf numFmtId="164" fontId="18" fillId="0" borderId="0" xfId="4" applyNumberFormat="1" applyFont="1" applyBorder="1" applyAlignment="1">
      <alignment vertical="center" shrinkToFit="1"/>
    </xf>
    <xf numFmtId="164" fontId="18" fillId="0" borderId="115" xfId="4" applyNumberFormat="1" applyFont="1" applyBorder="1" applyAlignment="1">
      <alignment vertical="center" shrinkToFit="1"/>
    </xf>
    <xf numFmtId="164" fontId="18" fillId="0" borderId="7" xfId="4" applyNumberFormat="1" applyFont="1" applyBorder="1" applyAlignment="1">
      <alignment vertical="center" shrinkToFit="1"/>
    </xf>
    <xf numFmtId="0" fontId="20" fillId="0" borderId="5" xfId="4" applyBorder="1">
      <alignment vertical="center"/>
    </xf>
    <xf numFmtId="164" fontId="18" fillId="0" borderId="80" xfId="4" applyNumberFormat="1" applyFont="1" applyBorder="1" applyAlignment="1">
      <alignment vertical="center" shrinkToFit="1"/>
    </xf>
    <xf numFmtId="164" fontId="18" fillId="0" borderId="117" xfId="4" applyNumberFormat="1" applyFont="1" applyBorder="1" applyAlignment="1">
      <alignment vertical="center" shrinkToFit="1"/>
    </xf>
    <xf numFmtId="164" fontId="18" fillId="0" borderId="81" xfId="4" applyNumberFormat="1" applyFont="1" applyBorder="1" applyAlignment="1">
      <alignment vertical="center" shrinkToFit="1"/>
    </xf>
    <xf numFmtId="164" fontId="18" fillId="0" borderId="86" xfId="4" applyNumberFormat="1" applyFont="1" applyBorder="1" applyAlignment="1">
      <alignment vertical="center" shrinkToFit="1"/>
    </xf>
    <xf numFmtId="41" fontId="16" fillId="0" borderId="0" xfId="4" applyNumberFormat="1" applyFont="1" applyBorder="1" applyAlignment="1">
      <alignment horizontal="center" vertical="center"/>
    </xf>
    <xf numFmtId="164" fontId="18" fillId="0" borderId="116" xfId="4" applyNumberFormat="1" applyFont="1" applyBorder="1" applyAlignment="1">
      <alignment vertical="center" shrinkToFit="1"/>
    </xf>
    <xf numFmtId="164" fontId="18" fillId="0" borderId="64" xfId="4" applyNumberFormat="1" applyFont="1" applyBorder="1" applyAlignment="1">
      <alignment vertical="center" shrinkToFit="1"/>
    </xf>
    <xf numFmtId="0" fontId="20" fillId="0" borderId="92" xfId="4" applyBorder="1">
      <alignment vertical="center"/>
    </xf>
    <xf numFmtId="0" fontId="20" fillId="0" borderId="8" xfId="4" applyBorder="1">
      <alignment vertical="center"/>
    </xf>
    <xf numFmtId="164" fontId="18" fillId="0" borderId="8" xfId="4" applyNumberFormat="1" applyFont="1" applyBorder="1" applyAlignment="1">
      <alignment vertical="center" shrinkToFit="1"/>
    </xf>
    <xf numFmtId="164" fontId="18" fillId="0" borderId="118" xfId="4" applyNumberFormat="1" applyFont="1" applyBorder="1" applyAlignment="1">
      <alignment vertical="center" shrinkToFit="1"/>
    </xf>
    <xf numFmtId="41" fontId="14" fillId="0" borderId="8" xfId="4" applyNumberFormat="1" applyFont="1" applyBorder="1" applyAlignment="1">
      <alignment horizontal="left" vertical="center" indent="1"/>
    </xf>
    <xf numFmtId="41" fontId="14" fillId="0" borderId="8" xfId="4" applyNumberFormat="1" applyFont="1" applyBorder="1" applyAlignment="1">
      <alignment horizontal="center" vertical="center"/>
    </xf>
    <xf numFmtId="41" fontId="16" fillId="0" borderId="8" xfId="4" applyNumberFormat="1" applyFont="1" applyBorder="1" applyAlignment="1">
      <alignment horizontal="center" vertical="center"/>
    </xf>
    <xf numFmtId="164" fontId="18" fillId="0" borderId="119" xfId="4" applyNumberFormat="1" applyFont="1" applyBorder="1" applyAlignment="1">
      <alignment vertical="center" shrinkToFit="1"/>
    </xf>
    <xf numFmtId="164" fontId="18" fillId="0" borderId="65" xfId="4" applyNumberFormat="1" applyFont="1" applyBorder="1" applyAlignment="1">
      <alignment vertical="center" shrinkToFit="1"/>
    </xf>
    <xf numFmtId="164" fontId="18" fillId="0" borderId="9" xfId="4" applyNumberFormat="1" applyFont="1" applyBorder="1" applyAlignment="1">
      <alignment vertical="center" shrinkToFit="1"/>
    </xf>
    <xf numFmtId="166" fontId="13" fillId="5" borderId="49" xfId="0" applyNumberFormat="1" applyFont="1" applyFill="1" applyBorder="1" applyAlignment="1">
      <alignment vertical="center"/>
    </xf>
    <xf numFmtId="166" fontId="13" fillId="0" borderId="12" xfId="0" applyNumberFormat="1" applyFont="1" applyBorder="1" applyAlignment="1">
      <alignment vertical="center"/>
    </xf>
    <xf numFmtId="166" fontId="13" fillId="0" borderId="40" xfId="0" applyNumberFormat="1" applyFont="1" applyBorder="1" applyAlignment="1">
      <alignment vertical="center"/>
    </xf>
    <xf numFmtId="166" fontId="13" fillId="0" borderId="31" xfId="0" applyNumberFormat="1" applyFont="1" applyBorder="1" applyAlignment="1">
      <alignment vertical="center"/>
    </xf>
    <xf numFmtId="166" fontId="13" fillId="5" borderId="94" xfId="0" applyNumberFormat="1" applyFont="1" applyFill="1" applyBorder="1" applyAlignment="1">
      <alignment vertical="center"/>
    </xf>
    <xf numFmtId="41" fontId="22" fillId="0" borderId="15" xfId="0" applyNumberFormat="1" applyFont="1" applyBorder="1" applyAlignment="1">
      <alignment horizontal="left" vertical="center"/>
    </xf>
    <xf numFmtId="41" fontId="13" fillId="0" borderId="15" xfId="0" applyNumberFormat="1" applyFont="1" applyBorder="1" applyAlignment="1">
      <alignment horizontal="left" vertical="center"/>
    </xf>
    <xf numFmtId="0" fontId="26" fillId="2" borderId="0" xfId="0" applyNumberFormat="1" applyFont="1" applyFill="1" applyBorder="1" applyAlignment="1">
      <alignment horizontal="right" vertical="center" indent="1"/>
    </xf>
    <xf numFmtId="0" fontId="26" fillId="2" borderId="10" xfId="0" applyNumberFormat="1" applyFont="1" applyFill="1" applyBorder="1" applyAlignment="1">
      <alignment horizontal="right" vertical="center" indent="1"/>
    </xf>
    <xf numFmtId="0" fontId="26" fillId="2" borderId="3" xfId="0" applyNumberFormat="1" applyFont="1" applyFill="1" applyBorder="1" applyAlignment="1">
      <alignment horizontal="center" vertical="center"/>
    </xf>
    <xf numFmtId="166" fontId="31" fillId="4" borderId="15" xfId="0" applyNumberFormat="1" applyFont="1" applyFill="1" applyBorder="1" applyAlignment="1">
      <alignment horizontal="center" vertical="center"/>
    </xf>
    <xf numFmtId="168" fontId="26" fillId="2" borderId="3" xfId="0" applyNumberFormat="1" applyFont="1" applyFill="1" applyBorder="1" applyAlignment="1">
      <alignment horizontal="center" vertical="center"/>
    </xf>
    <xf numFmtId="168" fontId="26" fillId="2" borderId="16" xfId="0" applyNumberFormat="1" applyFont="1" applyFill="1" applyBorder="1" applyAlignment="1">
      <alignment horizontal="center" vertical="center"/>
    </xf>
    <xf numFmtId="0" fontId="33" fillId="0" borderId="3" xfId="2" applyBorder="1"/>
    <xf numFmtId="0" fontId="13" fillId="0" borderId="0" xfId="0" applyFont="1" applyAlignment="1">
      <alignment horizontal="center" vertical="center"/>
    </xf>
    <xf numFmtId="168" fontId="24" fillId="0" borderId="0" xfId="0" applyNumberFormat="1" applyFont="1">
      <alignment vertical="center"/>
    </xf>
    <xf numFmtId="49" fontId="14" fillId="9" borderId="34" xfId="0" applyNumberFormat="1" applyFont="1" applyFill="1" applyBorder="1" applyAlignment="1">
      <alignment horizontal="center" vertical="center"/>
    </xf>
    <xf numFmtId="41" fontId="14" fillId="9" borderId="39" xfId="0" applyNumberFormat="1" applyFont="1" applyFill="1" applyBorder="1" applyAlignment="1">
      <alignment horizontal="left" vertical="center"/>
    </xf>
    <xf numFmtId="49" fontId="14" fillId="9" borderId="83" xfId="0" applyNumberFormat="1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vertical="center"/>
    </xf>
    <xf numFmtId="0" fontId="13" fillId="9" borderId="87" xfId="0" applyFont="1" applyFill="1" applyBorder="1" applyAlignment="1">
      <alignment vertical="center"/>
    </xf>
    <xf numFmtId="0" fontId="13" fillId="9" borderId="35" xfId="0" applyFont="1" applyFill="1" applyBorder="1" applyAlignment="1">
      <alignment vertical="center"/>
    </xf>
    <xf numFmtId="0" fontId="13" fillId="9" borderId="44" xfId="0" applyFont="1" applyFill="1" applyBorder="1" applyAlignment="1">
      <alignment vertical="center"/>
    </xf>
    <xf numFmtId="0" fontId="13" fillId="9" borderId="31" xfId="0" applyFont="1" applyFill="1" applyBorder="1" applyAlignment="1">
      <alignment vertical="center"/>
    </xf>
    <xf numFmtId="0" fontId="13" fillId="9" borderId="45" xfId="0" applyFont="1" applyFill="1" applyBorder="1" applyAlignment="1">
      <alignment vertical="center"/>
    </xf>
    <xf numFmtId="0" fontId="13" fillId="9" borderId="57" xfId="0" applyFont="1" applyFill="1" applyBorder="1" applyAlignment="1">
      <alignment vertical="center"/>
    </xf>
    <xf numFmtId="166" fontId="13" fillId="9" borderId="25" xfId="0" applyNumberFormat="1" applyFont="1" applyFill="1" applyBorder="1" applyAlignment="1">
      <alignment horizontal="center" vertical="center"/>
    </xf>
    <xf numFmtId="166" fontId="13" fillId="9" borderId="39" xfId="0" applyNumberFormat="1" applyFont="1" applyFill="1" applyBorder="1" applyAlignment="1">
      <alignment horizontal="center" vertical="center"/>
    </xf>
    <xf numFmtId="0" fontId="13" fillId="9" borderId="52" xfId="0" applyFont="1" applyFill="1" applyBorder="1" applyAlignment="1">
      <alignment vertical="center"/>
    </xf>
    <xf numFmtId="0" fontId="13" fillId="9" borderId="34" xfId="0" applyFont="1" applyFill="1" applyBorder="1" applyAlignment="1">
      <alignment horizontal="center" vertical="center"/>
    </xf>
    <xf numFmtId="0" fontId="13" fillId="9" borderId="35" xfId="0" applyFont="1" applyFill="1" applyBorder="1" applyAlignment="1">
      <alignment horizontal="center" vertical="center"/>
    </xf>
    <xf numFmtId="166" fontId="13" fillId="9" borderId="35" xfId="0" applyNumberFormat="1" applyFont="1" applyFill="1" applyBorder="1" applyAlignment="1">
      <alignment horizontal="center" vertical="center"/>
    </xf>
    <xf numFmtId="0" fontId="13" fillId="9" borderId="95" xfId="0" applyFont="1" applyFill="1" applyBorder="1" applyAlignment="1">
      <alignment vertical="center"/>
    </xf>
    <xf numFmtId="0" fontId="13" fillId="9" borderId="58" xfId="0" applyFont="1" applyFill="1" applyBorder="1" applyAlignment="1">
      <alignment vertical="center"/>
    </xf>
    <xf numFmtId="0" fontId="13" fillId="9" borderId="53" xfId="0" applyFont="1" applyFill="1" applyBorder="1" applyAlignment="1">
      <alignment vertical="center"/>
    </xf>
    <xf numFmtId="0" fontId="13" fillId="9" borderId="30" xfId="0" applyFont="1" applyFill="1" applyBorder="1" applyAlignment="1">
      <alignment horizontal="center" vertical="center"/>
    </xf>
    <xf numFmtId="172" fontId="13" fillId="0" borderId="0" xfId="0" applyNumberFormat="1" applyFont="1" applyAlignment="1">
      <alignment vertical="center"/>
    </xf>
    <xf numFmtId="41" fontId="13" fillId="0" borderId="0" xfId="0" applyNumberFormat="1" applyFont="1" applyAlignment="1">
      <alignment vertical="center"/>
    </xf>
    <xf numFmtId="0" fontId="14" fillId="4" borderId="106" xfId="4" applyFont="1" applyFill="1" applyBorder="1" applyAlignment="1">
      <alignment horizontal="center" vertical="center"/>
    </xf>
    <xf numFmtId="0" fontId="14" fillId="4" borderId="79" xfId="4" applyFont="1" applyFill="1" applyBorder="1" applyAlignment="1">
      <alignment horizontal="center" vertical="center"/>
    </xf>
    <xf numFmtId="0" fontId="14" fillId="4" borderId="90" xfId="4" applyFont="1" applyFill="1" applyBorder="1" applyAlignment="1">
      <alignment horizontal="center" vertical="center"/>
    </xf>
    <xf numFmtId="2" fontId="33" fillId="0" borderId="0" xfId="2" applyNumberFormat="1"/>
    <xf numFmtId="41" fontId="16" fillId="0" borderId="44" xfId="4" applyNumberFormat="1" applyFont="1" applyBorder="1" applyAlignment="1">
      <alignment horizontal="center" vertical="center"/>
    </xf>
    <xf numFmtId="41" fontId="16" fillId="0" borderId="81" xfId="4" applyNumberFormat="1" applyFont="1" applyBorder="1" applyAlignment="1">
      <alignment horizontal="center" vertical="center"/>
    </xf>
    <xf numFmtId="0" fontId="14" fillId="4" borderId="96" xfId="4" applyFont="1" applyFill="1" applyBorder="1" applyAlignment="1">
      <alignment horizontal="center" vertical="center"/>
    </xf>
    <xf numFmtId="164" fontId="18" fillId="0" borderId="6" xfId="4" applyNumberFormat="1" applyFont="1" applyFill="1" applyBorder="1" applyAlignment="1">
      <alignment vertical="center" shrinkToFit="1"/>
    </xf>
    <xf numFmtId="164" fontId="18" fillId="0" borderId="121" xfId="4" applyNumberFormat="1" applyFont="1" applyBorder="1" applyAlignment="1">
      <alignment vertical="center" shrinkToFit="1"/>
    </xf>
    <xf numFmtId="164" fontId="18" fillId="0" borderId="6" xfId="4" applyNumberFormat="1" applyFont="1" applyBorder="1" applyAlignment="1">
      <alignment vertical="center" shrinkToFit="1"/>
    </xf>
    <xf numFmtId="3" fontId="48" fillId="8" borderId="6" xfId="4" applyNumberFormat="1" applyFont="1" applyFill="1" applyBorder="1" applyAlignment="1">
      <alignment horizontal="center" vertical="center" shrinkToFit="1"/>
    </xf>
    <xf numFmtId="164" fontId="18" fillId="0" borderId="92" xfId="4" applyNumberFormat="1" applyFont="1" applyBorder="1" applyAlignment="1">
      <alignment vertical="center" shrinkToFit="1"/>
    </xf>
    <xf numFmtId="0" fontId="14" fillId="7" borderId="123" xfId="4" quotePrefix="1" applyFont="1" applyFill="1" applyBorder="1" applyAlignment="1">
      <alignment horizontal="center" vertical="center" shrinkToFit="1"/>
    </xf>
    <xf numFmtId="164" fontId="18" fillId="0" borderId="124" xfId="4" applyNumberFormat="1" applyFont="1" applyFill="1" applyBorder="1" applyAlignment="1">
      <alignment vertical="center" shrinkToFit="1"/>
    </xf>
    <xf numFmtId="164" fontId="18" fillId="0" borderId="125" xfId="4" applyNumberFormat="1" applyFont="1" applyFill="1" applyBorder="1" applyAlignment="1">
      <alignment vertical="center" shrinkToFit="1"/>
    </xf>
    <xf numFmtId="164" fontId="18" fillId="0" borderId="125" xfId="4" applyNumberFormat="1" applyFont="1" applyBorder="1" applyAlignment="1">
      <alignment vertical="center" shrinkToFit="1"/>
    </xf>
    <xf numFmtId="164" fontId="18" fillId="0" borderId="126" xfId="4" applyNumberFormat="1" applyFont="1" applyBorder="1" applyAlignment="1">
      <alignment vertical="center" shrinkToFit="1"/>
    </xf>
    <xf numFmtId="173" fontId="13" fillId="0" borderId="25" xfId="0" applyNumberFormat="1" applyFont="1" applyBorder="1" applyAlignment="1">
      <alignment horizontal="center" vertical="center"/>
    </xf>
    <xf numFmtId="173" fontId="13" fillId="0" borderId="39" xfId="0" applyNumberFormat="1" applyFont="1" applyBorder="1" applyAlignment="1">
      <alignment horizontal="center" vertical="center"/>
    </xf>
    <xf numFmtId="173" fontId="13" fillId="0" borderId="12" xfId="0" applyNumberFormat="1" applyFont="1" applyBorder="1" applyAlignment="1">
      <alignment horizontal="center" vertical="center"/>
    </xf>
    <xf numFmtId="173" fontId="13" fillId="5" borderId="41" xfId="5" applyNumberFormat="1" applyFont="1" applyFill="1" applyBorder="1" applyAlignment="1">
      <alignment vertical="center"/>
    </xf>
    <xf numFmtId="173" fontId="13" fillId="0" borderId="25" xfId="5" applyNumberFormat="1" applyFont="1" applyBorder="1" applyAlignment="1">
      <alignment horizontal="center" vertical="center"/>
    </xf>
    <xf numFmtId="173" fontId="13" fillId="0" borderId="39" xfId="5" applyNumberFormat="1" applyFont="1" applyBorder="1" applyAlignment="1">
      <alignment horizontal="center" vertical="center"/>
    </xf>
    <xf numFmtId="173" fontId="13" fillId="5" borderId="49" xfId="5" applyNumberFormat="1" applyFont="1" applyFill="1" applyBorder="1" applyAlignment="1">
      <alignment vertical="center"/>
    </xf>
    <xf numFmtId="0" fontId="36" fillId="0" borderId="0" xfId="0" applyFont="1" applyBorder="1" applyAlignment="1">
      <alignment horizontal="center" wrapText="1"/>
    </xf>
    <xf numFmtId="0" fontId="13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25" fillId="2" borderId="0" xfId="0" applyNumberFormat="1" applyFont="1" applyFill="1" applyAlignment="1">
      <alignment horizontal="center" vertical="center"/>
    </xf>
    <xf numFmtId="0" fontId="39" fillId="0" borderId="0" xfId="3" applyFont="1" applyAlignment="1">
      <alignment horizontal="left"/>
    </xf>
    <xf numFmtId="164" fontId="6" fillId="4" borderId="15" xfId="0" applyNumberFormat="1" applyFont="1" applyFill="1" applyBorder="1" applyAlignment="1">
      <alignment horizontal="center" vertical="center" wrapText="1"/>
    </xf>
    <xf numFmtId="164" fontId="6" fillId="4" borderId="18" xfId="0" applyNumberFormat="1" applyFont="1" applyFill="1" applyBorder="1" applyAlignment="1">
      <alignment horizontal="center" vertical="center" wrapText="1"/>
    </xf>
    <xf numFmtId="164" fontId="6" fillId="4" borderId="71" xfId="0" applyNumberFormat="1" applyFont="1" applyFill="1" applyBorder="1" applyAlignment="1">
      <alignment horizontal="center" vertical="center" wrapText="1"/>
    </xf>
    <xf numFmtId="164" fontId="6" fillId="4" borderId="72" xfId="0" applyNumberFormat="1" applyFont="1" applyFill="1" applyBorder="1" applyAlignment="1">
      <alignment horizontal="center" vertical="center" wrapText="1"/>
    </xf>
    <xf numFmtId="164" fontId="6" fillId="4" borderId="66" xfId="0" applyNumberFormat="1" applyFont="1" applyFill="1" applyBorder="1" applyAlignment="1">
      <alignment horizontal="center" vertical="center" wrapText="1"/>
    </xf>
    <xf numFmtId="164" fontId="6" fillId="4" borderId="17" xfId="0" applyNumberFormat="1" applyFont="1" applyFill="1" applyBorder="1" applyAlignment="1">
      <alignment horizontal="center" vertical="center" wrapText="1"/>
    </xf>
    <xf numFmtId="164" fontId="6" fillId="4" borderId="70" xfId="0" applyNumberFormat="1" applyFont="1" applyFill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164" fontId="6" fillId="4" borderId="73" xfId="0" applyNumberFormat="1" applyFont="1" applyFill="1" applyBorder="1" applyAlignment="1">
      <alignment horizontal="center" vertical="center" wrapText="1"/>
    </xf>
    <xf numFmtId="164" fontId="6" fillId="4" borderId="74" xfId="0" applyNumberFormat="1" applyFont="1" applyFill="1" applyBorder="1" applyAlignment="1">
      <alignment horizontal="center" vertical="center" wrapText="1"/>
    </xf>
    <xf numFmtId="165" fontId="45" fillId="0" borderId="6" xfId="4" applyNumberFormat="1" applyFont="1" applyBorder="1" applyAlignment="1">
      <alignment horizontal="center" vertical="center"/>
    </xf>
    <xf numFmtId="165" fontId="45" fillId="0" borderId="0" xfId="4" applyNumberFormat="1" applyFont="1" applyBorder="1" applyAlignment="1">
      <alignment horizontal="center" vertical="center"/>
    </xf>
    <xf numFmtId="0" fontId="14" fillId="4" borderId="110" xfId="4" applyFont="1" applyFill="1" applyBorder="1" applyAlignment="1">
      <alignment horizontal="center" vertical="center"/>
    </xf>
    <xf numFmtId="0" fontId="14" fillId="4" borderId="88" xfId="4" applyFont="1" applyFill="1" applyBorder="1" applyAlignment="1">
      <alignment horizontal="center" vertical="center"/>
    </xf>
    <xf numFmtId="0" fontId="14" fillId="4" borderId="109" xfId="4" applyFont="1" applyFill="1" applyBorder="1" applyAlignment="1">
      <alignment horizontal="center" vertical="center"/>
    </xf>
    <xf numFmtId="0" fontId="14" fillId="4" borderId="122" xfId="4" applyFont="1" applyFill="1" applyBorder="1" applyAlignment="1">
      <alignment horizontal="center" vertical="center"/>
    </xf>
    <xf numFmtId="0" fontId="14" fillId="4" borderId="104" xfId="4" applyFont="1" applyFill="1" applyBorder="1" applyAlignment="1">
      <alignment horizontal="center" vertical="center"/>
    </xf>
    <xf numFmtId="0" fontId="14" fillId="4" borderId="105" xfId="4" applyFont="1" applyFill="1" applyBorder="1" applyAlignment="1">
      <alignment horizontal="center" vertical="center"/>
    </xf>
    <xf numFmtId="0" fontId="14" fillId="4" borderId="29" xfId="4" applyFont="1" applyFill="1" applyBorder="1" applyAlignment="1">
      <alignment horizontal="center" vertical="center"/>
    </xf>
    <xf numFmtId="0" fontId="14" fillId="4" borderId="36" xfId="4" applyFont="1" applyFill="1" applyBorder="1" applyAlignment="1">
      <alignment horizontal="center" vertical="center"/>
    </xf>
    <xf numFmtId="0" fontId="14" fillId="4" borderId="120" xfId="4" applyFont="1" applyFill="1" applyBorder="1" applyAlignment="1">
      <alignment horizontal="center" vertical="center"/>
    </xf>
    <xf numFmtId="0" fontId="14" fillId="4" borderId="79" xfId="4" applyFont="1" applyFill="1" applyBorder="1" applyAlignment="1">
      <alignment horizontal="center" vertical="center"/>
    </xf>
    <xf numFmtId="0" fontId="14" fillId="4" borderId="89" xfId="4" applyFont="1" applyFill="1" applyBorder="1" applyAlignment="1">
      <alignment horizontal="center" vertical="center"/>
    </xf>
    <xf numFmtId="164" fontId="6" fillId="4" borderId="79" xfId="4" applyNumberFormat="1" applyFont="1" applyFill="1" applyBorder="1" applyAlignment="1">
      <alignment horizontal="center" vertical="center" wrapText="1"/>
    </xf>
    <xf numFmtId="164" fontId="6" fillId="4" borderId="88" xfId="4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97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41" fontId="14" fillId="4" borderId="42" xfId="0" applyNumberFormat="1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14" fillId="4" borderId="78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4" borderId="100" xfId="0" applyFont="1" applyFill="1" applyBorder="1" applyAlignment="1">
      <alignment horizontal="center" vertical="center"/>
    </xf>
    <xf numFmtId="0" fontId="14" fillId="4" borderId="101" xfId="0" applyFont="1" applyFill="1" applyBorder="1" applyAlignment="1">
      <alignment horizontal="center" vertical="center"/>
    </xf>
    <xf numFmtId="0" fontId="14" fillId="4" borderId="102" xfId="0" applyFont="1" applyFill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40" fillId="0" borderId="0" xfId="3" applyFont="1" applyAlignment="1">
      <alignment horizontal="center"/>
    </xf>
    <xf numFmtId="0" fontId="42" fillId="0" borderId="71" xfId="3" applyFont="1" applyBorder="1" applyAlignment="1">
      <alignment horizontal="right"/>
    </xf>
    <xf numFmtId="0" fontId="42" fillId="0" borderId="103" xfId="3" applyFont="1" applyBorder="1" applyAlignment="1">
      <alignment horizontal="right"/>
    </xf>
    <xf numFmtId="0" fontId="42" fillId="0" borderId="70" xfId="3" applyFont="1" applyBorder="1" applyAlignment="1">
      <alignment horizontal="right"/>
    </xf>
    <xf numFmtId="0" fontId="13" fillId="0" borderId="12" xfId="0" applyFont="1" applyBorder="1" applyAlignment="1">
      <alignment horizontal="right" vertical="center"/>
    </xf>
    <xf numFmtId="0" fontId="13" fillId="0" borderId="82" xfId="0" applyFont="1" applyBorder="1" applyAlignment="1">
      <alignment horizontal="right" vertical="center"/>
    </xf>
    <xf numFmtId="0" fontId="13" fillId="0" borderId="31" xfId="0" applyFont="1" applyBorder="1" applyAlignment="1">
      <alignment horizontal="right" vertical="center"/>
    </xf>
    <xf numFmtId="0" fontId="13" fillId="9" borderId="12" xfId="0" applyFont="1" applyFill="1" applyBorder="1" applyAlignment="1">
      <alignment horizontal="right" vertical="center"/>
    </xf>
    <xf numFmtId="0" fontId="13" fillId="9" borderId="82" xfId="0" applyFont="1" applyFill="1" applyBorder="1" applyAlignment="1">
      <alignment horizontal="right" vertical="center"/>
    </xf>
    <xf numFmtId="0" fontId="13" fillId="9" borderId="31" xfId="0" applyFont="1" applyFill="1" applyBorder="1" applyAlignment="1">
      <alignment horizontal="right" vertical="center"/>
    </xf>
    <xf numFmtId="0" fontId="17" fillId="0" borderId="31" xfId="0" applyFont="1" applyBorder="1" applyAlignment="1">
      <alignment horizontal="right" vertical="center"/>
    </xf>
    <xf numFmtId="173" fontId="13" fillId="0" borderId="12" xfId="5" applyNumberFormat="1" applyFont="1" applyBorder="1" applyAlignment="1">
      <alignment horizontal="center" vertical="center"/>
    </xf>
    <xf numFmtId="173" fontId="13" fillId="0" borderId="40" xfId="5" applyNumberFormat="1" applyFont="1" applyBorder="1" applyAlignment="1">
      <alignment horizontal="center" vertical="center"/>
    </xf>
    <xf numFmtId="173" fontId="13" fillId="9" borderId="12" xfId="5" applyNumberFormat="1" applyFont="1" applyFill="1" applyBorder="1" applyAlignment="1">
      <alignment horizontal="center" vertical="center"/>
    </xf>
    <xf numFmtId="173" fontId="13" fillId="9" borderId="40" xfId="5" applyNumberFormat="1" applyFont="1" applyFill="1" applyBorder="1" applyAlignment="1">
      <alignment horizontal="center" vertical="center"/>
    </xf>
    <xf numFmtId="173" fontId="13" fillId="0" borderId="31" xfId="0" applyNumberFormat="1" applyFont="1" applyBorder="1" applyAlignment="1">
      <alignment horizontal="center" vertical="center"/>
    </xf>
    <xf numFmtId="173" fontId="13" fillId="0" borderId="31" xfId="0" applyNumberFormat="1" applyFont="1" applyBorder="1" applyAlignment="1">
      <alignment vertical="center"/>
    </xf>
    <xf numFmtId="173" fontId="13" fillId="0" borderId="93" xfId="0" applyNumberFormat="1" applyFont="1" applyBorder="1" applyAlignment="1">
      <alignment vertical="center"/>
    </xf>
    <xf numFmtId="173" fontId="13" fillId="9" borderId="31" xfId="0" applyNumberFormat="1" applyFont="1" applyFill="1" applyBorder="1" applyAlignment="1">
      <alignment horizontal="center" vertical="center"/>
    </xf>
    <xf numFmtId="173" fontId="13" fillId="9" borderId="31" xfId="0" applyNumberFormat="1" applyFont="1" applyFill="1" applyBorder="1" applyAlignment="1">
      <alignment vertical="center"/>
    </xf>
    <xf numFmtId="173" fontId="13" fillId="9" borderId="93" xfId="0" applyNumberFormat="1" applyFont="1" applyFill="1" applyBorder="1" applyAlignment="1">
      <alignment vertical="center"/>
    </xf>
    <xf numFmtId="173" fontId="13" fillId="5" borderId="41" xfId="0" applyNumberFormat="1" applyFont="1" applyFill="1" applyBorder="1" applyAlignment="1">
      <alignment vertical="center"/>
    </xf>
  </cellXfs>
  <cellStyles count="6">
    <cellStyle name="Normal" xfId="0" builtinId="0"/>
    <cellStyle name="Normal 2" xfId="3" xr:uid="{00000000-0005-0000-0000-000001000000}"/>
    <cellStyle name="Normal 2 2" xfId="4" xr:uid="{00000000-0005-0000-0000-000002000000}"/>
    <cellStyle name="Normal 3" xfId="2" xr:uid="{00000000-0005-0000-0000-000003000000}"/>
    <cellStyle name="ParaBirimi" xfId="5" builtinId="4"/>
    <cellStyle name="Yüzde" xfId="1" builtinId="5"/>
  </cellStyles>
  <dxfs count="0"/>
  <tableStyles count="0" defaultTableStyle="TableStyleMedium2" defaultPivotStyle="PivotStyleLight16"/>
  <colors>
    <mruColors>
      <color rgb="FFFFFF66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</xdr:colOff>
      <xdr:row>0</xdr:row>
      <xdr:rowOff>142875</xdr:rowOff>
    </xdr:from>
    <xdr:to>
      <xdr:col>6</xdr:col>
      <xdr:colOff>247650</xdr:colOff>
      <xdr:row>3</xdr:row>
      <xdr:rowOff>53340</xdr:rowOff>
    </xdr:to>
    <xdr:pic>
      <xdr:nvPicPr>
        <xdr:cNvPr id="2" name="Resim 1" descr="logo yatay">
          <a:extLst>
            <a:ext uri="{FF2B5EF4-FFF2-40B4-BE49-F238E27FC236}">
              <a16:creationId xmlns:a16="http://schemas.microsoft.com/office/drawing/2014/main" id="{B8E8B0A3-FFCA-41B9-960C-C09B85CB82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2" r="43367"/>
        <a:stretch/>
      </xdr:blipFill>
      <xdr:spPr bwMode="auto">
        <a:xfrm>
          <a:off x="784860" y="142875"/>
          <a:ext cx="16916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251142</xdr:colOff>
      <xdr:row>3</xdr:row>
      <xdr:rowOff>34290</xdr:rowOff>
    </xdr:from>
    <xdr:to>
      <xdr:col>7</xdr:col>
      <xdr:colOff>312419</xdr:colOff>
      <xdr:row>4</xdr:row>
      <xdr:rowOff>149654</xdr:rowOff>
    </xdr:to>
    <xdr:sp macro="" textlink="">
      <xdr:nvSpPr>
        <xdr:cNvPr id="3" name="Metin kutusu 6">
          <a:extLst>
            <a:ext uri="{FF2B5EF4-FFF2-40B4-BE49-F238E27FC236}">
              <a16:creationId xmlns:a16="http://schemas.microsoft.com/office/drawing/2014/main" id="{F8F3E48F-39C8-4997-BBBD-57D6037C1FE3}"/>
            </a:ext>
          </a:extLst>
        </xdr:cNvPr>
        <xdr:cNvSpPr txBox="1">
          <a:spLocks noChangeArrowheads="1"/>
        </xdr:cNvSpPr>
      </xdr:nvSpPr>
      <xdr:spPr bwMode="auto">
        <a:xfrm>
          <a:off x="251142" y="634365"/>
          <a:ext cx="2661602" cy="315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tr-T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eaLnBrk="1" hangingPunct="1">
            <a:spcBef>
              <a:spcPct val="0"/>
            </a:spcBef>
            <a:buFontTx/>
            <a:buNone/>
          </a:pPr>
          <a:r>
            <a:rPr lang="tr-TR" altLang="tr-TR" sz="1500" b="1">
              <a:solidFill>
                <a:srgbClr val="090982"/>
              </a:solidFill>
              <a:latin typeface="Times New Roman" pitchFamily="18" charset="0"/>
              <a:cs typeface="Times New Roman" pitchFamily="18" charset="0"/>
            </a:rPr>
            <a:t>ARAS DENİZ İNŞAAT A.Ş.</a:t>
          </a:r>
          <a:endParaRPr lang="tr-TR" altLang="tr-TR" sz="1500">
            <a:solidFill>
              <a:srgbClr val="090982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259079</xdr:colOff>
      <xdr:row>16</xdr:row>
      <xdr:rowOff>15240</xdr:rowOff>
    </xdr:from>
    <xdr:to>
      <xdr:col>5</xdr:col>
      <xdr:colOff>104774</xdr:colOff>
      <xdr:row>17</xdr:row>
      <xdr:rowOff>190500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20EB91E-E538-434F-9458-65894DE0A4EC}"/>
            </a:ext>
          </a:extLst>
        </xdr:cNvPr>
        <xdr:cNvSpPr/>
      </xdr:nvSpPr>
      <xdr:spPr>
        <a:xfrm>
          <a:off x="982979" y="3253740"/>
          <a:ext cx="931545" cy="4229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304800</xdr:colOff>
      <xdr:row>24</xdr:row>
      <xdr:rowOff>3810</xdr:rowOff>
    </xdr:from>
    <xdr:to>
      <xdr:col>8</xdr:col>
      <xdr:colOff>76200</xdr:colOff>
      <xdr:row>25</xdr:row>
      <xdr:rowOff>163785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401712C2-172E-4E22-B2E7-3A5A3D165FB5}"/>
            </a:ext>
          </a:extLst>
        </xdr:cNvPr>
        <xdr:cNvSpPr/>
      </xdr:nvSpPr>
      <xdr:spPr>
        <a:xfrm>
          <a:off x="2114550" y="4680585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255269</xdr:colOff>
      <xdr:row>16</xdr:row>
      <xdr:rowOff>30479</xdr:rowOff>
    </xdr:from>
    <xdr:to>
      <xdr:col>25</xdr:col>
      <xdr:colOff>123824</xdr:colOff>
      <xdr:row>17</xdr:row>
      <xdr:rowOff>180974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AD3BDB2A-3B05-4C29-B474-65BED3CDADCE}"/>
            </a:ext>
          </a:extLst>
        </xdr:cNvPr>
        <xdr:cNvSpPr/>
      </xdr:nvSpPr>
      <xdr:spPr>
        <a:xfrm>
          <a:off x="8218169" y="3268979"/>
          <a:ext cx="954405" cy="3981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114300</xdr:colOff>
      <xdr:row>5</xdr:row>
      <xdr:rowOff>59055</xdr:rowOff>
    </xdr:from>
    <xdr:to>
      <xdr:col>15</xdr:col>
      <xdr:colOff>247140</xdr:colOff>
      <xdr:row>8</xdr:row>
      <xdr:rowOff>4695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A076D69E-EFCE-48F1-A0C0-36490A94AA2F}"/>
            </a:ext>
          </a:extLst>
        </xdr:cNvPr>
        <xdr:cNvSpPr/>
      </xdr:nvSpPr>
      <xdr:spPr>
        <a:xfrm>
          <a:off x="4572000" y="1059180"/>
          <a:ext cx="1247265" cy="5457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30480</xdr:colOff>
      <xdr:row>9</xdr:row>
      <xdr:rowOff>184784</xdr:rowOff>
    </xdr:from>
    <xdr:to>
      <xdr:col>16</xdr:col>
      <xdr:colOff>0</xdr:colOff>
      <xdr:row>12</xdr:row>
      <xdr:rowOff>142874</xdr:rowOff>
    </xdr:to>
    <xdr:sp macro="" textlink="">
      <xdr:nvSpPr>
        <xdr:cNvPr id="10" name="Metin kutusu 9">
          <a:extLst>
            <a:ext uri="{FF2B5EF4-FFF2-40B4-BE49-F238E27FC236}">
              <a16:creationId xmlns:a16="http://schemas.microsoft.com/office/drawing/2014/main" id="{CDDAC450-BB4C-4138-B2B4-B669FE3E577C}"/>
            </a:ext>
          </a:extLst>
        </xdr:cNvPr>
        <xdr:cNvSpPr txBox="1"/>
      </xdr:nvSpPr>
      <xdr:spPr>
        <a:xfrm>
          <a:off x="4373880" y="1985009"/>
          <a:ext cx="1417320" cy="558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 baseline="0"/>
            <a:t>Project Manager               Umut Karakaya</a:t>
          </a:r>
          <a:endParaRPr lang="tr-TR" sz="1100"/>
        </a:p>
      </xdr:txBody>
    </xdr:sp>
    <xdr:clientData/>
  </xdr:twoCellAnchor>
  <xdr:twoCellAnchor>
    <xdr:from>
      <xdr:col>22</xdr:col>
      <xdr:colOff>186690</xdr:colOff>
      <xdr:row>16</xdr:row>
      <xdr:rowOff>22860</xdr:rowOff>
    </xdr:from>
    <xdr:to>
      <xdr:col>25</xdr:col>
      <xdr:colOff>240030</xdr:colOff>
      <xdr:row>17</xdr:row>
      <xdr:rowOff>160020</xdr:rowOff>
    </xdr:to>
    <xdr:sp macro="" textlink="">
      <xdr:nvSpPr>
        <xdr:cNvPr id="12" name="Metin kutusu 11">
          <a:extLst>
            <a:ext uri="{FF2B5EF4-FFF2-40B4-BE49-F238E27FC236}">
              <a16:creationId xmlns:a16="http://schemas.microsoft.com/office/drawing/2014/main" id="{17C463DB-04B1-47C0-BCF2-3C2F979C37F1}"/>
            </a:ext>
          </a:extLst>
        </xdr:cNvPr>
        <xdr:cNvSpPr txBox="1"/>
      </xdr:nvSpPr>
      <xdr:spPr>
        <a:xfrm>
          <a:off x="8149590" y="3261360"/>
          <a:ext cx="1139190" cy="384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 Chief (1)</a:t>
          </a:r>
          <a:endParaRPr lang="tr-TR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310515</xdr:colOff>
      <xdr:row>15</xdr:row>
      <xdr:rowOff>184785</xdr:rowOff>
    </xdr:from>
    <xdr:to>
      <xdr:col>15</xdr:col>
      <xdr:colOff>123825</xdr:colOff>
      <xdr:row>18</xdr:row>
      <xdr:rowOff>3810</xdr:rowOff>
    </xdr:to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617ABD6F-B18A-4103-8298-79F524AB2FCD}"/>
            </a:ext>
          </a:extLst>
        </xdr:cNvPr>
        <xdr:cNvSpPr txBox="1"/>
      </xdr:nvSpPr>
      <xdr:spPr>
        <a:xfrm>
          <a:off x="4653915" y="3185160"/>
          <a:ext cx="89916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800">
              <a:solidFill>
                <a:sysClr val="windowText" lastClr="000000"/>
              </a:solidFill>
            </a:rPr>
            <a:t>Construction Manager                 Turgay Yıldız</a:t>
          </a:r>
        </a:p>
      </xdr:txBody>
    </xdr:sp>
    <xdr:clientData/>
  </xdr:twoCellAnchor>
  <xdr:twoCellAnchor>
    <xdr:from>
      <xdr:col>3</xdr:col>
      <xdr:colOff>314325</xdr:colOff>
      <xdr:row>28</xdr:row>
      <xdr:rowOff>28575</xdr:rowOff>
    </xdr:from>
    <xdr:to>
      <xdr:col>6</xdr:col>
      <xdr:colOff>161925</xdr:colOff>
      <xdr:row>29</xdr:row>
      <xdr:rowOff>190500</xdr:rowOff>
    </xdr:to>
    <xdr:sp macro="" textlink="">
      <xdr:nvSpPr>
        <xdr:cNvPr id="14" name="Metin kutusu 13">
          <a:extLst>
            <a:ext uri="{FF2B5EF4-FFF2-40B4-BE49-F238E27FC236}">
              <a16:creationId xmlns:a16="http://schemas.microsoft.com/office/drawing/2014/main" id="{4910D69D-0B80-4F28-91DF-24DE379A3356}"/>
            </a:ext>
          </a:extLst>
        </xdr:cNvPr>
        <xdr:cNvSpPr txBox="1"/>
      </xdr:nvSpPr>
      <xdr:spPr>
        <a:xfrm>
          <a:off x="1400175" y="5505450"/>
          <a:ext cx="9334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/>
            <a:t>Captains</a:t>
          </a:r>
          <a:endParaRPr lang="tr-TR" sz="900"/>
        </a:p>
      </xdr:txBody>
    </xdr:sp>
    <xdr:clientData/>
  </xdr:twoCellAnchor>
  <xdr:twoCellAnchor>
    <xdr:from>
      <xdr:col>3</xdr:col>
      <xdr:colOff>329564</xdr:colOff>
      <xdr:row>31</xdr:row>
      <xdr:rowOff>62865</xdr:rowOff>
    </xdr:from>
    <xdr:to>
      <xdr:col>6</xdr:col>
      <xdr:colOff>76199</xdr:colOff>
      <xdr:row>33</xdr:row>
      <xdr:rowOff>53340</xdr:rowOff>
    </xdr:to>
    <xdr:sp macro="" textlink="">
      <xdr:nvSpPr>
        <xdr:cNvPr id="15" name="Metin kutusu 14">
          <a:extLst>
            <a:ext uri="{FF2B5EF4-FFF2-40B4-BE49-F238E27FC236}">
              <a16:creationId xmlns:a16="http://schemas.microsoft.com/office/drawing/2014/main" id="{DA9A926B-9D15-493A-9EFD-38F8C0040909}"/>
            </a:ext>
          </a:extLst>
        </xdr:cNvPr>
        <xdr:cNvSpPr txBox="1"/>
      </xdr:nvSpPr>
      <xdr:spPr>
        <a:xfrm>
          <a:off x="1415414" y="6139815"/>
          <a:ext cx="83248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/>
            <a:t>Seamen</a:t>
          </a:r>
          <a:endParaRPr lang="tr-TR" sz="800">
            <a:effectLst/>
          </a:endParaRPr>
        </a:p>
        <a:p>
          <a:pPr algn="ctr"/>
          <a:endParaRPr lang="tr-TR" sz="900"/>
        </a:p>
      </xdr:txBody>
    </xdr:sp>
    <xdr:clientData/>
  </xdr:twoCellAnchor>
  <xdr:twoCellAnchor>
    <xdr:from>
      <xdr:col>29</xdr:col>
      <xdr:colOff>0</xdr:colOff>
      <xdr:row>3</xdr:row>
      <xdr:rowOff>34290</xdr:rowOff>
    </xdr:from>
    <xdr:to>
      <xdr:col>29</xdr:col>
      <xdr:colOff>0</xdr:colOff>
      <xdr:row>4</xdr:row>
      <xdr:rowOff>149654</xdr:rowOff>
    </xdr:to>
    <xdr:sp macro="" textlink="">
      <xdr:nvSpPr>
        <xdr:cNvPr id="17" name="Metin kutusu 6">
          <a:extLst>
            <a:ext uri="{FF2B5EF4-FFF2-40B4-BE49-F238E27FC236}">
              <a16:creationId xmlns:a16="http://schemas.microsoft.com/office/drawing/2014/main" id="{2D361016-1A0F-40AD-B74A-852D3D8A4B60}"/>
            </a:ext>
          </a:extLst>
        </xdr:cNvPr>
        <xdr:cNvSpPr txBox="1">
          <a:spLocks noChangeArrowheads="1"/>
        </xdr:cNvSpPr>
      </xdr:nvSpPr>
      <xdr:spPr bwMode="auto">
        <a:xfrm>
          <a:off x="10772775" y="634365"/>
          <a:ext cx="0" cy="315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tr-T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eaLnBrk="1" hangingPunct="1">
            <a:spcBef>
              <a:spcPct val="0"/>
            </a:spcBef>
            <a:buFontTx/>
            <a:buNone/>
          </a:pPr>
          <a:r>
            <a:rPr lang="tr-TR" altLang="tr-TR" sz="1500" b="1">
              <a:solidFill>
                <a:srgbClr val="090982"/>
              </a:solidFill>
              <a:latin typeface="Times New Roman" pitchFamily="18" charset="0"/>
              <a:cs typeface="Times New Roman" pitchFamily="18" charset="0"/>
            </a:rPr>
            <a:t>ARAS DENİZ İNŞAAT A.Ş.</a:t>
          </a:r>
          <a:endParaRPr lang="tr-TR" altLang="tr-TR" sz="1500">
            <a:solidFill>
              <a:srgbClr val="090982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276225</xdr:colOff>
      <xdr:row>19</xdr:row>
      <xdr:rowOff>196215</xdr:rowOff>
    </xdr:from>
    <xdr:to>
      <xdr:col>15</xdr:col>
      <xdr:colOff>171450</xdr:colOff>
      <xdr:row>22</xdr:row>
      <xdr:rowOff>93345</xdr:rowOff>
    </xdr:to>
    <xdr:sp macro="" textlink="">
      <xdr:nvSpPr>
        <xdr:cNvPr id="22" name="Metin kutusu 21">
          <a:extLst>
            <a:ext uri="{FF2B5EF4-FFF2-40B4-BE49-F238E27FC236}">
              <a16:creationId xmlns:a16="http://schemas.microsoft.com/office/drawing/2014/main" id="{16C1A51F-F3C8-4ED2-A632-F9921F98C726}"/>
            </a:ext>
          </a:extLst>
        </xdr:cNvPr>
        <xdr:cNvSpPr txBox="1"/>
      </xdr:nvSpPr>
      <xdr:spPr>
        <a:xfrm>
          <a:off x="4619625" y="4082415"/>
          <a:ext cx="981075" cy="392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900"/>
            <a:t>Survey Chief   Yigit  </a:t>
          </a:r>
        </a:p>
      </xdr:txBody>
    </xdr:sp>
    <xdr:clientData/>
  </xdr:twoCellAnchor>
  <xdr:twoCellAnchor>
    <xdr:from>
      <xdr:col>12</xdr:col>
      <xdr:colOff>304800</xdr:colOff>
      <xdr:row>24</xdr:row>
      <xdr:rowOff>0</xdr:rowOff>
    </xdr:from>
    <xdr:to>
      <xdr:col>15</xdr:col>
      <xdr:colOff>123825</xdr:colOff>
      <xdr:row>25</xdr:row>
      <xdr:rowOff>194310</xdr:rowOff>
    </xdr:to>
    <xdr:sp macro="" textlink="">
      <xdr:nvSpPr>
        <xdr:cNvPr id="23" name="Metin kutusu 22">
          <a:extLst>
            <a:ext uri="{FF2B5EF4-FFF2-40B4-BE49-F238E27FC236}">
              <a16:creationId xmlns:a16="http://schemas.microsoft.com/office/drawing/2014/main" id="{B2316829-95F7-40AD-AFB1-20B4E2284977}"/>
            </a:ext>
          </a:extLst>
        </xdr:cNvPr>
        <xdr:cNvSpPr txBox="1"/>
      </xdr:nvSpPr>
      <xdr:spPr>
        <a:xfrm>
          <a:off x="4648200" y="4676775"/>
          <a:ext cx="904875" cy="394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800"/>
            <a:t>Surveyor</a:t>
          </a:r>
        </a:p>
      </xdr:txBody>
    </xdr:sp>
    <xdr:clientData/>
  </xdr:twoCellAnchor>
  <xdr:twoCellAnchor>
    <xdr:from>
      <xdr:col>5</xdr:col>
      <xdr:colOff>114300</xdr:colOff>
      <xdr:row>19</xdr:row>
      <xdr:rowOff>28575</xdr:rowOff>
    </xdr:from>
    <xdr:to>
      <xdr:col>8</xdr:col>
      <xdr:colOff>285750</xdr:colOff>
      <xdr:row>23</xdr:row>
      <xdr:rowOff>57150</xdr:rowOff>
    </xdr:to>
    <xdr:sp macro="" textlink="">
      <xdr:nvSpPr>
        <xdr:cNvPr id="26" name="Metin kutusu 25">
          <a:extLst>
            <a:ext uri="{FF2B5EF4-FFF2-40B4-BE49-F238E27FC236}">
              <a16:creationId xmlns:a16="http://schemas.microsoft.com/office/drawing/2014/main" id="{EFB9C45C-4748-473A-98E4-CB3642BF36E7}"/>
            </a:ext>
          </a:extLst>
        </xdr:cNvPr>
        <xdr:cNvSpPr txBox="1"/>
      </xdr:nvSpPr>
      <xdr:spPr>
        <a:xfrm>
          <a:off x="1924050" y="3914775"/>
          <a:ext cx="125730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/>
            <a:t>Site Engineer (2)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/>
            <a:t>Cagrı</a:t>
          </a:r>
          <a:endParaRPr lang="tr-TR" sz="900"/>
        </a:p>
      </xdr:txBody>
    </xdr:sp>
    <xdr:clientData/>
  </xdr:twoCellAnchor>
  <xdr:twoCellAnchor>
    <xdr:from>
      <xdr:col>19</xdr:col>
      <xdr:colOff>295275</xdr:colOff>
      <xdr:row>24</xdr:row>
      <xdr:rowOff>28575</xdr:rowOff>
    </xdr:from>
    <xdr:to>
      <xdr:col>22</xdr:col>
      <xdr:colOff>66675</xdr:colOff>
      <xdr:row>25</xdr:row>
      <xdr:rowOff>188550</xdr:rowOff>
    </xdr:to>
    <xdr:sp macro="" textlink="">
      <xdr:nvSpPr>
        <xdr:cNvPr id="28" name="Dikdörtgen 27">
          <a:extLst>
            <a:ext uri="{FF2B5EF4-FFF2-40B4-BE49-F238E27FC236}">
              <a16:creationId xmlns:a16="http://schemas.microsoft.com/office/drawing/2014/main" id="{6CC9EBEB-BCEA-4053-866B-372E236E0B3A}"/>
            </a:ext>
          </a:extLst>
        </xdr:cNvPr>
        <xdr:cNvSpPr/>
      </xdr:nvSpPr>
      <xdr:spPr>
        <a:xfrm>
          <a:off x="7172325" y="4705350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285750</xdr:colOff>
      <xdr:row>19</xdr:row>
      <xdr:rowOff>47625</xdr:rowOff>
    </xdr:from>
    <xdr:to>
      <xdr:col>25</xdr:col>
      <xdr:colOff>104775</xdr:colOff>
      <xdr:row>21</xdr:row>
      <xdr:rowOff>51435</xdr:rowOff>
    </xdr:to>
    <xdr:sp macro="" textlink="">
      <xdr:nvSpPr>
        <xdr:cNvPr id="33" name="Metin kutusu 32">
          <a:extLst>
            <a:ext uri="{FF2B5EF4-FFF2-40B4-BE49-F238E27FC236}">
              <a16:creationId xmlns:a16="http://schemas.microsoft.com/office/drawing/2014/main" id="{B3221AA5-87EB-43B9-BE58-0D8B0FBC409C}"/>
            </a:ext>
          </a:extLst>
        </xdr:cNvPr>
        <xdr:cNvSpPr txBox="1"/>
      </xdr:nvSpPr>
      <xdr:spPr>
        <a:xfrm>
          <a:off x="8248650" y="3933825"/>
          <a:ext cx="904875" cy="384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800"/>
            <a:t>Admin Personnel (1)</a:t>
          </a:r>
        </a:p>
      </xdr:txBody>
    </xdr:sp>
    <xdr:clientData/>
  </xdr:twoCellAnchor>
  <xdr:twoCellAnchor>
    <xdr:from>
      <xdr:col>22</xdr:col>
      <xdr:colOff>295275</xdr:colOff>
      <xdr:row>19</xdr:row>
      <xdr:rowOff>28575</xdr:rowOff>
    </xdr:from>
    <xdr:to>
      <xdr:col>25</xdr:col>
      <xdr:colOff>66675</xdr:colOff>
      <xdr:row>21</xdr:row>
      <xdr:rowOff>9480</xdr:rowOff>
    </xdr:to>
    <xdr:sp macro="" textlink="">
      <xdr:nvSpPr>
        <xdr:cNvPr id="34" name="Dikdörtgen 33">
          <a:extLst>
            <a:ext uri="{FF2B5EF4-FFF2-40B4-BE49-F238E27FC236}">
              <a16:creationId xmlns:a16="http://schemas.microsoft.com/office/drawing/2014/main" id="{C14D166D-7D65-4FB2-AD96-3E80258C2E1B}"/>
            </a:ext>
          </a:extLst>
        </xdr:cNvPr>
        <xdr:cNvSpPr/>
      </xdr:nvSpPr>
      <xdr:spPr>
        <a:xfrm>
          <a:off x="8258175" y="3914775"/>
          <a:ext cx="857250" cy="36190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333375</xdr:colOff>
      <xdr:row>28</xdr:row>
      <xdr:rowOff>66675</xdr:rowOff>
    </xdr:from>
    <xdr:to>
      <xdr:col>10</xdr:col>
      <xdr:colOff>80010</xdr:colOff>
      <xdr:row>30</xdr:row>
      <xdr:rowOff>57150</xdr:rowOff>
    </xdr:to>
    <xdr:sp macro="" textlink="">
      <xdr:nvSpPr>
        <xdr:cNvPr id="35" name="Metin kutusu 34">
          <a:extLst>
            <a:ext uri="{FF2B5EF4-FFF2-40B4-BE49-F238E27FC236}">
              <a16:creationId xmlns:a16="http://schemas.microsoft.com/office/drawing/2014/main" id="{69F2351E-FBC2-4241-A823-58105BE881EC}"/>
            </a:ext>
          </a:extLst>
        </xdr:cNvPr>
        <xdr:cNvSpPr txBox="1"/>
      </xdr:nvSpPr>
      <xdr:spPr>
        <a:xfrm>
          <a:off x="2867025" y="5543550"/>
          <a:ext cx="83248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/>
            <a:t>Electrician (1)</a:t>
          </a:r>
          <a:endParaRPr lang="tr-TR" sz="800">
            <a:effectLst/>
          </a:endParaRPr>
        </a:p>
        <a:p>
          <a:pPr algn="ctr"/>
          <a:endParaRPr lang="tr-TR" sz="900"/>
        </a:p>
      </xdr:txBody>
    </xdr:sp>
    <xdr:clientData/>
  </xdr:twoCellAnchor>
  <xdr:twoCellAnchor>
    <xdr:from>
      <xdr:col>6</xdr:col>
      <xdr:colOff>148589</xdr:colOff>
      <xdr:row>23</xdr:row>
      <xdr:rowOff>129540</xdr:rowOff>
    </xdr:from>
    <xdr:to>
      <xdr:col>12</xdr:col>
      <xdr:colOff>104775</xdr:colOff>
      <xdr:row>26</xdr:row>
      <xdr:rowOff>123825</xdr:rowOff>
    </xdr:to>
    <xdr:sp macro="" textlink="">
      <xdr:nvSpPr>
        <xdr:cNvPr id="37" name="Metin kutusu 36">
          <a:extLst>
            <a:ext uri="{FF2B5EF4-FFF2-40B4-BE49-F238E27FC236}">
              <a16:creationId xmlns:a16="http://schemas.microsoft.com/office/drawing/2014/main" id="{7AB4A481-6664-4FCD-8D2D-E6FD7F95BA38}"/>
            </a:ext>
          </a:extLst>
        </xdr:cNvPr>
        <xdr:cNvSpPr txBox="1"/>
      </xdr:nvSpPr>
      <xdr:spPr>
        <a:xfrm>
          <a:off x="2320289" y="4606290"/>
          <a:ext cx="2127886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eaLnBrk="1" fontAlgn="auto" latinLnBrk="0" hangingPunct="1"/>
          <a:r>
            <a:rPr lang="tr-TR" sz="900">
              <a:solidFill>
                <a:schemeClr val="dk1"/>
              </a:solidFill>
              <a:latin typeface="+mn-lt"/>
              <a:ea typeface="+mn-ea"/>
              <a:cs typeface="+mn-cs"/>
            </a:rPr>
            <a:t>Formen</a:t>
          </a: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(2)  Ertan Turt, </a:t>
          </a:r>
          <a:r>
            <a:rPr lang="tr-T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Kırkayak</a:t>
          </a:r>
          <a:endParaRPr lang="tr-TR" sz="800">
            <a:solidFill>
              <a:srgbClr val="FF0000"/>
            </a:solidFill>
            <a:effectLst/>
          </a:endParaRPr>
        </a:p>
        <a:p>
          <a:pPr algn="ctr"/>
          <a:endParaRPr lang="tr-TR" sz="900"/>
        </a:p>
      </xdr:txBody>
    </xdr:sp>
    <xdr:clientData/>
  </xdr:twoCellAnchor>
  <xdr:twoCellAnchor>
    <xdr:from>
      <xdr:col>3</xdr:col>
      <xdr:colOff>295275</xdr:colOff>
      <xdr:row>28</xdr:row>
      <xdr:rowOff>28575</xdr:rowOff>
    </xdr:from>
    <xdr:to>
      <xdr:col>6</xdr:col>
      <xdr:colOff>66675</xdr:colOff>
      <xdr:row>29</xdr:row>
      <xdr:rowOff>188550</xdr:rowOff>
    </xdr:to>
    <xdr:sp macro="" textlink="">
      <xdr:nvSpPr>
        <xdr:cNvPr id="38" name="Dikdörtgen 37">
          <a:extLst>
            <a:ext uri="{FF2B5EF4-FFF2-40B4-BE49-F238E27FC236}">
              <a16:creationId xmlns:a16="http://schemas.microsoft.com/office/drawing/2014/main" id="{89C8CBF6-5E34-4552-973A-8B777B01707D}"/>
            </a:ext>
          </a:extLst>
        </xdr:cNvPr>
        <xdr:cNvSpPr/>
      </xdr:nvSpPr>
      <xdr:spPr>
        <a:xfrm>
          <a:off x="1381125" y="5505450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272415</xdr:colOff>
      <xdr:row>16</xdr:row>
      <xdr:rowOff>0</xdr:rowOff>
    </xdr:from>
    <xdr:to>
      <xdr:col>5</xdr:col>
      <xdr:colOff>150495</xdr:colOff>
      <xdr:row>17</xdr:row>
      <xdr:rowOff>152400</xdr:rowOff>
    </xdr:to>
    <xdr:sp macro="" textlink="">
      <xdr:nvSpPr>
        <xdr:cNvPr id="40" name="Metin kutusu 39">
          <a:extLst>
            <a:ext uri="{FF2B5EF4-FFF2-40B4-BE49-F238E27FC236}">
              <a16:creationId xmlns:a16="http://schemas.microsoft.com/office/drawing/2014/main" id="{371D8064-3FC7-4CC2-AA2E-E2BEDC02AF70}"/>
            </a:ext>
          </a:extLst>
        </xdr:cNvPr>
        <xdr:cNvSpPr txBox="1"/>
      </xdr:nvSpPr>
      <xdr:spPr>
        <a:xfrm>
          <a:off x="996315" y="3238500"/>
          <a:ext cx="96393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900"/>
            <a:t>HSE Engineer (2)</a:t>
          </a:r>
        </a:p>
      </xdr:txBody>
    </xdr:sp>
    <xdr:clientData/>
  </xdr:twoCellAnchor>
  <xdr:twoCellAnchor>
    <xdr:from>
      <xdr:col>19</xdr:col>
      <xdr:colOff>314325</xdr:colOff>
      <xdr:row>20</xdr:row>
      <xdr:rowOff>28575</xdr:rowOff>
    </xdr:from>
    <xdr:to>
      <xdr:col>22</xdr:col>
      <xdr:colOff>64770</xdr:colOff>
      <xdr:row>22</xdr:row>
      <xdr:rowOff>93345</xdr:rowOff>
    </xdr:to>
    <xdr:sp macro="" textlink="">
      <xdr:nvSpPr>
        <xdr:cNvPr id="49" name="Dikdörtgen 48">
          <a:extLst>
            <a:ext uri="{FF2B5EF4-FFF2-40B4-BE49-F238E27FC236}">
              <a16:creationId xmlns:a16="http://schemas.microsoft.com/office/drawing/2014/main" id="{F611C1F4-9459-49AF-B9F5-3F08BD95C54B}"/>
            </a:ext>
          </a:extLst>
        </xdr:cNvPr>
        <xdr:cNvSpPr/>
      </xdr:nvSpPr>
      <xdr:spPr>
        <a:xfrm>
          <a:off x="7191375" y="4114800"/>
          <a:ext cx="836295" cy="3600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19</xdr:col>
      <xdr:colOff>238125</xdr:colOff>
      <xdr:row>19</xdr:row>
      <xdr:rowOff>180974</xdr:rowOff>
    </xdr:from>
    <xdr:to>
      <xdr:col>22</xdr:col>
      <xdr:colOff>190501</xdr:colOff>
      <xdr:row>23</xdr:row>
      <xdr:rowOff>57149</xdr:rowOff>
    </xdr:to>
    <xdr:sp macro="" textlink="">
      <xdr:nvSpPr>
        <xdr:cNvPr id="50" name="Metin kutusu 49">
          <a:extLst>
            <a:ext uri="{FF2B5EF4-FFF2-40B4-BE49-F238E27FC236}">
              <a16:creationId xmlns:a16="http://schemas.microsoft.com/office/drawing/2014/main" id="{8BA8F930-FA04-44DD-98F3-2391AD7BE841}"/>
            </a:ext>
          </a:extLst>
        </xdr:cNvPr>
        <xdr:cNvSpPr txBox="1"/>
      </xdr:nvSpPr>
      <xdr:spPr>
        <a:xfrm>
          <a:off x="7115175" y="4067174"/>
          <a:ext cx="1038226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800">
              <a:solidFill>
                <a:sysClr val="windowText" lastClr="000000"/>
              </a:solidFill>
            </a:rPr>
            <a:t>Technical Office Engineer               Özgül</a:t>
          </a:r>
        </a:p>
      </xdr:txBody>
    </xdr:sp>
    <xdr:clientData/>
  </xdr:twoCellAnchor>
  <xdr:twoCellAnchor>
    <xdr:from>
      <xdr:col>19</xdr:col>
      <xdr:colOff>295275</xdr:colOff>
      <xdr:row>27</xdr:row>
      <xdr:rowOff>28575</xdr:rowOff>
    </xdr:from>
    <xdr:to>
      <xdr:col>22</xdr:col>
      <xdr:colOff>66675</xdr:colOff>
      <xdr:row>28</xdr:row>
      <xdr:rowOff>188550</xdr:rowOff>
    </xdr:to>
    <xdr:sp macro="" textlink="">
      <xdr:nvSpPr>
        <xdr:cNvPr id="52" name="Dikdörtgen 51">
          <a:extLst>
            <a:ext uri="{FF2B5EF4-FFF2-40B4-BE49-F238E27FC236}">
              <a16:creationId xmlns:a16="http://schemas.microsoft.com/office/drawing/2014/main" id="{612B2D6E-799D-4A41-8E6E-10AC89CF9CA3}"/>
            </a:ext>
          </a:extLst>
        </xdr:cNvPr>
        <xdr:cNvSpPr/>
      </xdr:nvSpPr>
      <xdr:spPr>
        <a:xfrm>
          <a:off x="7172325" y="5305425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19</xdr:col>
      <xdr:colOff>161925</xdr:colOff>
      <xdr:row>27</xdr:row>
      <xdr:rowOff>19050</xdr:rowOff>
    </xdr:from>
    <xdr:to>
      <xdr:col>22</xdr:col>
      <xdr:colOff>200025</xdr:colOff>
      <xdr:row>28</xdr:row>
      <xdr:rowOff>190500</xdr:rowOff>
    </xdr:to>
    <xdr:sp macro="" textlink="">
      <xdr:nvSpPr>
        <xdr:cNvPr id="53" name="Metin kutusu 52">
          <a:extLst>
            <a:ext uri="{FF2B5EF4-FFF2-40B4-BE49-F238E27FC236}">
              <a16:creationId xmlns:a16="http://schemas.microsoft.com/office/drawing/2014/main" id="{DD85100A-0467-4A2A-8BA4-162CE48990DB}"/>
            </a:ext>
          </a:extLst>
        </xdr:cNvPr>
        <xdr:cNvSpPr txBox="1"/>
      </xdr:nvSpPr>
      <xdr:spPr>
        <a:xfrm>
          <a:off x="7038975" y="5295900"/>
          <a:ext cx="11239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>
              <a:effectLst/>
            </a:rPr>
            <a:t>PickUp Driver for Testing Recep</a:t>
          </a:r>
        </a:p>
        <a:p>
          <a:pPr algn="ctr"/>
          <a:endParaRPr lang="tr-TR" sz="900"/>
        </a:p>
      </xdr:txBody>
    </xdr:sp>
    <xdr:clientData/>
  </xdr:twoCellAnchor>
  <xdr:twoCellAnchor>
    <xdr:from>
      <xdr:col>12</xdr:col>
      <xdr:colOff>123825</xdr:colOff>
      <xdr:row>10</xdr:row>
      <xdr:rowOff>11430</xdr:rowOff>
    </xdr:from>
    <xdr:to>
      <xdr:col>15</xdr:col>
      <xdr:colOff>256665</xdr:colOff>
      <xdr:row>12</xdr:row>
      <xdr:rowOff>157095</xdr:rowOff>
    </xdr:to>
    <xdr:sp macro="" textlink="">
      <xdr:nvSpPr>
        <xdr:cNvPr id="42" name="Dikdörtgen 41">
          <a:extLst>
            <a:ext uri="{FF2B5EF4-FFF2-40B4-BE49-F238E27FC236}">
              <a16:creationId xmlns:a16="http://schemas.microsoft.com/office/drawing/2014/main" id="{85CEACE5-2136-4FAF-B766-6C4B43B891DC}"/>
            </a:ext>
          </a:extLst>
        </xdr:cNvPr>
        <xdr:cNvSpPr/>
      </xdr:nvSpPr>
      <xdr:spPr>
        <a:xfrm>
          <a:off x="4467225" y="2011680"/>
          <a:ext cx="1218690" cy="5457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47625</xdr:colOff>
      <xdr:row>5</xdr:row>
      <xdr:rowOff>1</xdr:rowOff>
    </xdr:from>
    <xdr:to>
      <xdr:col>16</xdr:col>
      <xdr:colOff>17145</xdr:colOff>
      <xdr:row>8</xdr:row>
      <xdr:rowOff>112396</xdr:rowOff>
    </xdr:to>
    <xdr:sp macro="" textlink="">
      <xdr:nvSpPr>
        <xdr:cNvPr id="43" name="Metin kutusu 42">
          <a:extLst>
            <a:ext uri="{FF2B5EF4-FFF2-40B4-BE49-F238E27FC236}">
              <a16:creationId xmlns:a16="http://schemas.microsoft.com/office/drawing/2014/main" id="{EB8510D8-E518-4A36-9555-07A41C7A860B}"/>
            </a:ext>
          </a:extLst>
        </xdr:cNvPr>
        <xdr:cNvSpPr txBox="1"/>
      </xdr:nvSpPr>
      <xdr:spPr>
        <a:xfrm>
          <a:off x="4391025" y="1000126"/>
          <a:ext cx="1417320" cy="712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 baseline="0"/>
            <a:t>Projects Coordinator          Niyazi Deniz</a:t>
          </a:r>
          <a:endParaRPr lang="tr-TR" sz="1100"/>
        </a:p>
      </xdr:txBody>
    </xdr:sp>
    <xdr:clientData/>
  </xdr:twoCellAnchor>
  <xdr:twoCellAnchor>
    <xdr:from>
      <xdr:col>5</xdr:col>
      <xdr:colOff>323850</xdr:colOff>
      <xdr:row>19</xdr:row>
      <xdr:rowOff>190500</xdr:rowOff>
    </xdr:from>
    <xdr:to>
      <xdr:col>8</xdr:col>
      <xdr:colOff>95250</xdr:colOff>
      <xdr:row>22</xdr:row>
      <xdr:rowOff>47580</xdr:rowOff>
    </xdr:to>
    <xdr:sp macro="" textlink="">
      <xdr:nvSpPr>
        <xdr:cNvPr id="46" name="Dikdörtgen 45">
          <a:extLst>
            <a:ext uri="{FF2B5EF4-FFF2-40B4-BE49-F238E27FC236}">
              <a16:creationId xmlns:a16="http://schemas.microsoft.com/office/drawing/2014/main" id="{D336C91C-485B-4914-886C-208F16A34FFC}"/>
            </a:ext>
          </a:extLst>
        </xdr:cNvPr>
        <xdr:cNvSpPr/>
      </xdr:nvSpPr>
      <xdr:spPr>
        <a:xfrm>
          <a:off x="2133600" y="4076700"/>
          <a:ext cx="857250" cy="35238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295275</xdr:colOff>
      <xdr:row>28</xdr:row>
      <xdr:rowOff>19050</xdr:rowOff>
    </xdr:from>
    <xdr:to>
      <xdr:col>10</xdr:col>
      <xdr:colOff>66675</xdr:colOff>
      <xdr:row>29</xdr:row>
      <xdr:rowOff>179025</xdr:rowOff>
    </xdr:to>
    <xdr:sp macro="" textlink="">
      <xdr:nvSpPr>
        <xdr:cNvPr id="48" name="Dikdörtgen 47">
          <a:extLst>
            <a:ext uri="{FF2B5EF4-FFF2-40B4-BE49-F238E27FC236}">
              <a16:creationId xmlns:a16="http://schemas.microsoft.com/office/drawing/2014/main" id="{B79D4D80-3B84-4929-AF09-B5BBF3F083DC}"/>
            </a:ext>
          </a:extLst>
        </xdr:cNvPr>
        <xdr:cNvSpPr/>
      </xdr:nvSpPr>
      <xdr:spPr>
        <a:xfrm>
          <a:off x="2828925" y="5495925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295275</xdr:colOff>
      <xdr:row>31</xdr:row>
      <xdr:rowOff>28575</xdr:rowOff>
    </xdr:from>
    <xdr:to>
      <xdr:col>6</xdr:col>
      <xdr:colOff>66675</xdr:colOff>
      <xdr:row>32</xdr:row>
      <xdr:rowOff>188550</xdr:rowOff>
    </xdr:to>
    <xdr:sp macro="" textlink="">
      <xdr:nvSpPr>
        <xdr:cNvPr id="51" name="Dikdörtgen 50">
          <a:extLst>
            <a:ext uri="{FF2B5EF4-FFF2-40B4-BE49-F238E27FC236}">
              <a16:creationId xmlns:a16="http://schemas.microsoft.com/office/drawing/2014/main" id="{416DA56A-03F9-4184-8873-5005CCA5EF23}"/>
            </a:ext>
          </a:extLst>
        </xdr:cNvPr>
        <xdr:cNvSpPr/>
      </xdr:nvSpPr>
      <xdr:spPr>
        <a:xfrm>
          <a:off x="1381125" y="6105525"/>
          <a:ext cx="857250" cy="360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257175</xdr:colOff>
      <xdr:row>16</xdr:row>
      <xdr:rowOff>0</xdr:rowOff>
    </xdr:from>
    <xdr:to>
      <xdr:col>15</xdr:col>
      <xdr:colOff>125730</xdr:colOff>
      <xdr:row>17</xdr:row>
      <xdr:rowOff>150495</xdr:rowOff>
    </xdr:to>
    <xdr:sp macro="" textlink="">
      <xdr:nvSpPr>
        <xdr:cNvPr id="54" name="Dikdörtgen 53">
          <a:extLst>
            <a:ext uri="{FF2B5EF4-FFF2-40B4-BE49-F238E27FC236}">
              <a16:creationId xmlns:a16="http://schemas.microsoft.com/office/drawing/2014/main" id="{E8CFBAAE-8A63-4E7A-B48D-9642DCF1E703}"/>
            </a:ext>
          </a:extLst>
        </xdr:cNvPr>
        <xdr:cNvSpPr/>
      </xdr:nvSpPr>
      <xdr:spPr>
        <a:xfrm>
          <a:off x="4600575" y="3238500"/>
          <a:ext cx="954405" cy="3981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314325</xdr:colOff>
      <xdr:row>20</xdr:row>
      <xdr:rowOff>19050</xdr:rowOff>
    </xdr:from>
    <xdr:to>
      <xdr:col>15</xdr:col>
      <xdr:colOff>64770</xdr:colOff>
      <xdr:row>22</xdr:row>
      <xdr:rowOff>83820</xdr:rowOff>
    </xdr:to>
    <xdr:sp macro="" textlink="">
      <xdr:nvSpPr>
        <xdr:cNvPr id="39" name="Dikdörtgen 38">
          <a:extLst>
            <a:ext uri="{FF2B5EF4-FFF2-40B4-BE49-F238E27FC236}">
              <a16:creationId xmlns:a16="http://schemas.microsoft.com/office/drawing/2014/main" id="{3E1C9737-6326-4AEB-BCF7-FED6BDD4F567}"/>
            </a:ext>
          </a:extLst>
        </xdr:cNvPr>
        <xdr:cNvSpPr/>
      </xdr:nvSpPr>
      <xdr:spPr>
        <a:xfrm>
          <a:off x="4657725" y="4105275"/>
          <a:ext cx="836295" cy="3600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314325</xdr:colOff>
      <xdr:row>24</xdr:row>
      <xdr:rowOff>19050</xdr:rowOff>
    </xdr:from>
    <xdr:to>
      <xdr:col>15</xdr:col>
      <xdr:colOff>64770</xdr:colOff>
      <xdr:row>25</xdr:row>
      <xdr:rowOff>179070</xdr:rowOff>
    </xdr:to>
    <xdr:sp macro="" textlink="">
      <xdr:nvSpPr>
        <xdr:cNvPr id="47" name="Dikdörtgen 46">
          <a:extLst>
            <a:ext uri="{FF2B5EF4-FFF2-40B4-BE49-F238E27FC236}">
              <a16:creationId xmlns:a16="http://schemas.microsoft.com/office/drawing/2014/main" id="{B6CB8580-7E58-4EDD-8954-84D185FCF30A}"/>
            </a:ext>
          </a:extLst>
        </xdr:cNvPr>
        <xdr:cNvSpPr/>
      </xdr:nvSpPr>
      <xdr:spPr>
        <a:xfrm>
          <a:off x="4657725" y="4695825"/>
          <a:ext cx="836295" cy="3600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19</xdr:col>
      <xdr:colOff>276225</xdr:colOff>
      <xdr:row>23</xdr:row>
      <xdr:rowOff>180975</xdr:rowOff>
    </xdr:from>
    <xdr:to>
      <xdr:col>22</xdr:col>
      <xdr:colOff>85725</xdr:colOff>
      <xdr:row>26</xdr:row>
      <xdr:rowOff>47625</xdr:rowOff>
    </xdr:to>
    <xdr:sp macro="" textlink="">
      <xdr:nvSpPr>
        <xdr:cNvPr id="44" name="Metin kutusu 43">
          <a:extLst>
            <a:ext uri="{FF2B5EF4-FFF2-40B4-BE49-F238E27FC236}">
              <a16:creationId xmlns:a16="http://schemas.microsoft.com/office/drawing/2014/main" id="{6716C2D8-F4D2-4CFE-9C5C-DDE9D6E30CBE}"/>
            </a:ext>
          </a:extLst>
        </xdr:cNvPr>
        <xdr:cNvSpPr txBox="1"/>
      </xdr:nvSpPr>
      <xdr:spPr>
        <a:xfrm>
          <a:off x="7153275" y="4657725"/>
          <a:ext cx="8953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800">
              <a:solidFill>
                <a:sysClr val="windowText" lastClr="000000"/>
              </a:solidFill>
            </a:rPr>
            <a:t>QC Engineer       OKAN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39</xdr:row>
      <xdr:rowOff>104775</xdr:rowOff>
    </xdr:from>
    <xdr:to>
      <xdr:col>5</xdr:col>
      <xdr:colOff>533400</xdr:colOff>
      <xdr:row>41</xdr:row>
      <xdr:rowOff>152400</xdr:rowOff>
    </xdr:to>
    <xdr:pic>
      <xdr:nvPicPr>
        <xdr:cNvPr id="3" name="Resim 1" descr="logo yatay">
          <a:extLst>
            <a:ext uri="{FF2B5EF4-FFF2-40B4-BE49-F238E27FC236}">
              <a16:creationId xmlns:a16="http://schemas.microsoft.com/office/drawing/2014/main" id="{8EC5AFD9-E84A-49D4-9590-01F890D2D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4118"/>
        <a:stretch>
          <a:fillRect/>
        </a:stretch>
      </xdr:blipFill>
      <xdr:spPr bwMode="auto">
        <a:xfrm>
          <a:off x="2543175" y="7334250"/>
          <a:ext cx="1085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AC32"/>
  <sheetViews>
    <sheetView view="pageLayout" topLeftCell="A2" zoomScaleNormal="100" workbookViewId="0">
      <selection activeCell="Z28" sqref="Z28"/>
    </sheetView>
  </sheetViews>
  <sheetFormatPr defaultColWidth="8.5" defaultRowHeight="15.75"/>
  <cols>
    <col min="1" max="29" width="4.5" style="129" customWidth="1"/>
    <col min="30" max="16384" width="8.5" style="129"/>
  </cols>
  <sheetData>
    <row r="7" spans="3:29">
      <c r="AC7" s="131"/>
    </row>
    <row r="8" spans="3:29">
      <c r="AC8" s="131"/>
    </row>
    <row r="9" spans="3:29">
      <c r="O9" s="130"/>
      <c r="AC9" s="131"/>
    </row>
    <row r="10" spans="3:29">
      <c r="I10" s="131"/>
      <c r="J10" s="131"/>
      <c r="K10" s="131"/>
      <c r="M10" s="131"/>
      <c r="N10" s="303"/>
      <c r="O10" s="130"/>
      <c r="AC10" s="131"/>
    </row>
    <row r="11" spans="3:29">
      <c r="I11" s="131"/>
      <c r="J11" s="131"/>
      <c r="K11" s="131"/>
      <c r="O11" s="131"/>
      <c r="AC11" s="131"/>
    </row>
    <row r="12" spans="3:29">
      <c r="I12" s="131"/>
      <c r="J12" s="131"/>
      <c r="K12" s="131"/>
      <c r="O12" s="131"/>
      <c r="Y12" s="331"/>
      <c r="AC12" s="131"/>
    </row>
    <row r="13" spans="3:29"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AC13" s="131"/>
    </row>
    <row r="14" spans="3:29">
      <c r="C14" s="134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0"/>
      <c r="P14" s="131"/>
      <c r="Q14" s="131"/>
      <c r="R14" s="131"/>
      <c r="S14" s="131"/>
      <c r="AC14" s="131"/>
    </row>
    <row r="15" spans="3:29"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0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C15" s="131"/>
    </row>
    <row r="16" spans="3:29" ht="19.149999999999999" customHeight="1">
      <c r="C16" s="131"/>
      <c r="D16" s="303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5"/>
      <c r="P16" s="132"/>
      <c r="Q16" s="132"/>
      <c r="R16" s="132"/>
      <c r="S16" s="132"/>
      <c r="T16" s="132"/>
      <c r="U16" s="132"/>
      <c r="V16" s="132"/>
      <c r="W16" s="132"/>
      <c r="X16" s="132"/>
      <c r="Y16" s="130"/>
      <c r="Z16" s="131"/>
      <c r="AC16" s="131"/>
    </row>
    <row r="17" spans="3:29" ht="19.899999999999999" customHeight="1"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C17" s="131"/>
    </row>
    <row r="18" spans="3:29"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3:29"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0"/>
      <c r="P19" s="131"/>
      <c r="Q19" s="131"/>
      <c r="R19" s="131"/>
      <c r="S19" s="131"/>
      <c r="T19" s="131"/>
      <c r="U19" s="131"/>
      <c r="V19" s="131"/>
      <c r="W19" s="131"/>
      <c r="X19" s="131"/>
      <c r="Y19" s="130"/>
      <c r="Z19" s="131"/>
    </row>
    <row r="20" spans="3:29">
      <c r="C20" s="131"/>
      <c r="D20" s="131"/>
      <c r="E20" s="131"/>
      <c r="F20" s="131"/>
      <c r="G20" s="131"/>
      <c r="H20" s="135"/>
      <c r="I20" s="132"/>
      <c r="J20" s="132"/>
      <c r="K20" s="132"/>
      <c r="L20" s="132"/>
      <c r="M20" s="132"/>
      <c r="N20" s="132"/>
      <c r="O20" s="135"/>
      <c r="P20" s="132"/>
      <c r="Q20" s="132"/>
      <c r="R20" s="132"/>
      <c r="S20" s="132"/>
      <c r="T20" s="132"/>
      <c r="U20" s="133"/>
      <c r="V20" s="131"/>
      <c r="W20" s="131"/>
      <c r="X20" s="131"/>
      <c r="Y20" s="131"/>
      <c r="Z20" s="131"/>
    </row>
    <row r="21" spans="3:29" ht="14.45" customHeight="1"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3:29" ht="9" customHeight="1"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3:29" ht="7.5" customHeight="1"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3:29">
      <c r="C24" s="131"/>
      <c r="D24" s="131"/>
      <c r="E24" s="131"/>
      <c r="F24" s="131"/>
      <c r="G24" s="131"/>
      <c r="H24" s="130"/>
      <c r="I24" s="131"/>
      <c r="J24" s="131"/>
      <c r="K24" s="131"/>
      <c r="L24" s="131"/>
      <c r="M24" s="131"/>
      <c r="N24" s="131"/>
      <c r="O24" s="130"/>
      <c r="P24" s="131"/>
      <c r="Q24" s="131"/>
      <c r="R24" s="131"/>
      <c r="S24" s="131"/>
      <c r="T24" s="131"/>
      <c r="U24" s="303"/>
      <c r="V24" s="131"/>
      <c r="W24" s="131"/>
      <c r="X24" s="131"/>
      <c r="Y24" s="131"/>
      <c r="Z24" s="131"/>
    </row>
    <row r="25" spans="3:29"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3:29"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3:29">
      <c r="C27" s="131"/>
      <c r="D27" s="131"/>
      <c r="E27" s="131"/>
      <c r="F27" s="131"/>
      <c r="G27" s="131"/>
      <c r="H27" s="130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303"/>
      <c r="V27" s="131"/>
      <c r="W27" s="131"/>
      <c r="X27" s="131"/>
      <c r="Y27" s="131"/>
      <c r="Z27" s="131"/>
    </row>
    <row r="28" spans="3:29">
      <c r="C28" s="131"/>
      <c r="D28" s="131"/>
      <c r="E28" s="131"/>
      <c r="F28" s="135"/>
      <c r="G28" s="132"/>
      <c r="H28" s="132"/>
      <c r="I28" s="133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3:29"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</row>
    <row r="30" spans="3:29"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3:29">
      <c r="C31" s="131"/>
      <c r="D31" s="131"/>
      <c r="E31" s="131"/>
      <c r="F31" s="130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3:29">
      <c r="C32" s="134"/>
      <c r="D32" s="131"/>
      <c r="E32" s="131"/>
      <c r="F32" s="131"/>
      <c r="G32" s="131"/>
      <c r="H32" s="131"/>
      <c r="I32" s="134"/>
      <c r="J32" s="131"/>
      <c r="K32" s="131"/>
      <c r="L32" s="131"/>
      <c r="M32" s="131"/>
      <c r="N32" s="131"/>
      <c r="O32" s="134"/>
      <c r="P32" s="131"/>
      <c r="Q32" s="131"/>
      <c r="R32" s="131"/>
      <c r="S32" s="131"/>
      <c r="T32" s="131"/>
      <c r="U32" s="134"/>
      <c r="V32" s="131"/>
      <c r="W32" s="131"/>
      <c r="X32" s="131"/>
      <c r="Y32" s="131"/>
      <c r="Z32" s="131"/>
    </row>
  </sheetData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pageSetUpPr fitToPage="1"/>
  </sheetPr>
  <dimension ref="A1:N43"/>
  <sheetViews>
    <sheetView showGridLines="0" view="pageBreakPreview" zoomScaleNormal="85" zoomScaleSheetLayoutView="100" workbookViewId="0">
      <selection activeCell="P40" sqref="P40"/>
    </sheetView>
  </sheetViews>
  <sheetFormatPr defaultRowHeight="12.75"/>
  <cols>
    <col min="1" max="10" width="8.125" style="6" customWidth="1"/>
    <col min="11" max="11" width="1.375" style="6" customWidth="1"/>
    <col min="12" max="256" width="9" style="6"/>
    <col min="257" max="257" width="4.625" style="6" customWidth="1"/>
    <col min="258" max="265" width="7.875" style="6" customWidth="1"/>
    <col min="266" max="266" width="11.625" style="6" customWidth="1"/>
    <col min="267" max="512" width="9" style="6"/>
    <col min="513" max="513" width="4.625" style="6" customWidth="1"/>
    <col min="514" max="521" width="7.875" style="6" customWidth="1"/>
    <col min="522" max="522" width="11.625" style="6" customWidth="1"/>
    <col min="523" max="768" width="9" style="6"/>
    <col min="769" max="769" width="4.625" style="6" customWidth="1"/>
    <col min="770" max="777" width="7.875" style="6" customWidth="1"/>
    <col min="778" max="778" width="11.625" style="6" customWidth="1"/>
    <col min="779" max="1024" width="9" style="6"/>
    <col min="1025" max="1025" width="4.625" style="6" customWidth="1"/>
    <col min="1026" max="1033" width="7.875" style="6" customWidth="1"/>
    <col min="1034" max="1034" width="11.625" style="6" customWidth="1"/>
    <col min="1035" max="1280" width="9" style="6"/>
    <col min="1281" max="1281" width="4.625" style="6" customWidth="1"/>
    <col min="1282" max="1289" width="7.875" style="6" customWidth="1"/>
    <col min="1290" max="1290" width="11.625" style="6" customWidth="1"/>
    <col min="1291" max="1536" width="9" style="6"/>
    <col min="1537" max="1537" width="4.625" style="6" customWidth="1"/>
    <col min="1538" max="1545" width="7.875" style="6" customWidth="1"/>
    <col min="1546" max="1546" width="11.625" style="6" customWidth="1"/>
    <col min="1547" max="1792" width="9" style="6"/>
    <col min="1793" max="1793" width="4.625" style="6" customWidth="1"/>
    <col min="1794" max="1801" width="7.875" style="6" customWidth="1"/>
    <col min="1802" max="1802" width="11.625" style="6" customWidth="1"/>
    <col min="1803" max="2048" width="9" style="6"/>
    <col min="2049" max="2049" width="4.625" style="6" customWidth="1"/>
    <col min="2050" max="2057" width="7.875" style="6" customWidth="1"/>
    <col min="2058" max="2058" width="11.625" style="6" customWidth="1"/>
    <col min="2059" max="2304" width="9" style="6"/>
    <col min="2305" max="2305" width="4.625" style="6" customWidth="1"/>
    <col min="2306" max="2313" width="7.875" style="6" customWidth="1"/>
    <col min="2314" max="2314" width="11.625" style="6" customWidth="1"/>
    <col min="2315" max="2560" width="9" style="6"/>
    <col min="2561" max="2561" width="4.625" style="6" customWidth="1"/>
    <col min="2562" max="2569" width="7.875" style="6" customWidth="1"/>
    <col min="2570" max="2570" width="11.625" style="6" customWidth="1"/>
    <col min="2571" max="2816" width="9" style="6"/>
    <col min="2817" max="2817" width="4.625" style="6" customWidth="1"/>
    <col min="2818" max="2825" width="7.875" style="6" customWidth="1"/>
    <col min="2826" max="2826" width="11.625" style="6" customWidth="1"/>
    <col min="2827" max="3072" width="9" style="6"/>
    <col min="3073" max="3073" width="4.625" style="6" customWidth="1"/>
    <col min="3074" max="3081" width="7.875" style="6" customWidth="1"/>
    <col min="3082" max="3082" width="11.625" style="6" customWidth="1"/>
    <col min="3083" max="3328" width="9" style="6"/>
    <col min="3329" max="3329" width="4.625" style="6" customWidth="1"/>
    <col min="3330" max="3337" width="7.875" style="6" customWidth="1"/>
    <col min="3338" max="3338" width="11.625" style="6" customWidth="1"/>
    <col min="3339" max="3584" width="9" style="6"/>
    <col min="3585" max="3585" width="4.625" style="6" customWidth="1"/>
    <col min="3586" max="3593" width="7.875" style="6" customWidth="1"/>
    <col min="3594" max="3594" width="11.625" style="6" customWidth="1"/>
    <col min="3595" max="3840" width="9" style="6"/>
    <col min="3841" max="3841" width="4.625" style="6" customWidth="1"/>
    <col min="3842" max="3849" width="7.875" style="6" customWidth="1"/>
    <col min="3850" max="3850" width="11.625" style="6" customWidth="1"/>
    <col min="3851" max="4096" width="9" style="6"/>
    <col min="4097" max="4097" width="4.625" style="6" customWidth="1"/>
    <col min="4098" max="4105" width="7.875" style="6" customWidth="1"/>
    <col min="4106" max="4106" width="11.625" style="6" customWidth="1"/>
    <col min="4107" max="4352" width="9" style="6"/>
    <col min="4353" max="4353" width="4.625" style="6" customWidth="1"/>
    <col min="4354" max="4361" width="7.875" style="6" customWidth="1"/>
    <col min="4362" max="4362" width="11.625" style="6" customWidth="1"/>
    <col min="4363" max="4608" width="9" style="6"/>
    <col min="4609" max="4609" width="4.625" style="6" customWidth="1"/>
    <col min="4610" max="4617" width="7.875" style="6" customWidth="1"/>
    <col min="4618" max="4618" width="11.625" style="6" customWidth="1"/>
    <col min="4619" max="4864" width="9" style="6"/>
    <col min="4865" max="4865" width="4.625" style="6" customWidth="1"/>
    <col min="4866" max="4873" width="7.875" style="6" customWidth="1"/>
    <col min="4874" max="4874" width="11.625" style="6" customWidth="1"/>
    <col min="4875" max="5120" width="9" style="6"/>
    <col min="5121" max="5121" width="4.625" style="6" customWidth="1"/>
    <col min="5122" max="5129" width="7.875" style="6" customWidth="1"/>
    <col min="5130" max="5130" width="11.625" style="6" customWidth="1"/>
    <col min="5131" max="5376" width="9" style="6"/>
    <col min="5377" max="5377" width="4.625" style="6" customWidth="1"/>
    <col min="5378" max="5385" width="7.875" style="6" customWidth="1"/>
    <col min="5386" max="5386" width="11.625" style="6" customWidth="1"/>
    <col min="5387" max="5632" width="9" style="6"/>
    <col min="5633" max="5633" width="4.625" style="6" customWidth="1"/>
    <col min="5634" max="5641" width="7.875" style="6" customWidth="1"/>
    <col min="5642" max="5642" width="11.625" style="6" customWidth="1"/>
    <col min="5643" max="5888" width="9" style="6"/>
    <col min="5889" max="5889" width="4.625" style="6" customWidth="1"/>
    <col min="5890" max="5897" width="7.875" style="6" customWidth="1"/>
    <col min="5898" max="5898" width="11.625" style="6" customWidth="1"/>
    <col min="5899" max="6144" width="9" style="6"/>
    <col min="6145" max="6145" width="4.625" style="6" customWidth="1"/>
    <col min="6146" max="6153" width="7.875" style="6" customWidth="1"/>
    <col min="6154" max="6154" width="11.625" style="6" customWidth="1"/>
    <col min="6155" max="6400" width="9" style="6"/>
    <col min="6401" max="6401" width="4.625" style="6" customWidth="1"/>
    <col min="6402" max="6409" width="7.875" style="6" customWidth="1"/>
    <col min="6410" max="6410" width="11.625" style="6" customWidth="1"/>
    <col min="6411" max="6656" width="9" style="6"/>
    <col min="6657" max="6657" width="4.625" style="6" customWidth="1"/>
    <col min="6658" max="6665" width="7.875" style="6" customWidth="1"/>
    <col min="6666" max="6666" width="11.625" style="6" customWidth="1"/>
    <col min="6667" max="6912" width="9" style="6"/>
    <col min="6913" max="6913" width="4.625" style="6" customWidth="1"/>
    <col min="6914" max="6921" width="7.875" style="6" customWidth="1"/>
    <col min="6922" max="6922" width="11.625" style="6" customWidth="1"/>
    <col min="6923" max="7168" width="9" style="6"/>
    <col min="7169" max="7169" width="4.625" style="6" customWidth="1"/>
    <col min="7170" max="7177" width="7.875" style="6" customWidth="1"/>
    <col min="7178" max="7178" width="11.625" style="6" customWidth="1"/>
    <col min="7179" max="7424" width="9" style="6"/>
    <col min="7425" max="7425" width="4.625" style="6" customWidth="1"/>
    <col min="7426" max="7433" width="7.875" style="6" customWidth="1"/>
    <col min="7434" max="7434" width="11.625" style="6" customWidth="1"/>
    <col min="7435" max="7680" width="9" style="6"/>
    <col min="7681" max="7681" width="4.625" style="6" customWidth="1"/>
    <col min="7682" max="7689" width="7.875" style="6" customWidth="1"/>
    <col min="7690" max="7690" width="11.625" style="6" customWidth="1"/>
    <col min="7691" max="7936" width="9" style="6"/>
    <col min="7937" max="7937" width="4.625" style="6" customWidth="1"/>
    <col min="7938" max="7945" width="7.875" style="6" customWidth="1"/>
    <col min="7946" max="7946" width="11.625" style="6" customWidth="1"/>
    <col min="7947" max="8192" width="9" style="6"/>
    <col min="8193" max="8193" width="4.625" style="6" customWidth="1"/>
    <col min="8194" max="8201" width="7.875" style="6" customWidth="1"/>
    <col min="8202" max="8202" width="11.625" style="6" customWidth="1"/>
    <col min="8203" max="8448" width="9" style="6"/>
    <col min="8449" max="8449" width="4.625" style="6" customWidth="1"/>
    <col min="8450" max="8457" width="7.875" style="6" customWidth="1"/>
    <col min="8458" max="8458" width="11.625" style="6" customWidth="1"/>
    <col min="8459" max="8704" width="9" style="6"/>
    <col min="8705" max="8705" width="4.625" style="6" customWidth="1"/>
    <col min="8706" max="8713" width="7.875" style="6" customWidth="1"/>
    <col min="8714" max="8714" width="11.625" style="6" customWidth="1"/>
    <col min="8715" max="8960" width="9" style="6"/>
    <col min="8961" max="8961" width="4.625" style="6" customWidth="1"/>
    <col min="8962" max="8969" width="7.875" style="6" customWidth="1"/>
    <col min="8970" max="8970" width="11.625" style="6" customWidth="1"/>
    <col min="8971" max="9216" width="9" style="6"/>
    <col min="9217" max="9217" width="4.625" style="6" customWidth="1"/>
    <col min="9218" max="9225" width="7.875" style="6" customWidth="1"/>
    <col min="9226" max="9226" width="11.625" style="6" customWidth="1"/>
    <col min="9227" max="9472" width="9" style="6"/>
    <col min="9473" max="9473" width="4.625" style="6" customWidth="1"/>
    <col min="9474" max="9481" width="7.875" style="6" customWidth="1"/>
    <col min="9482" max="9482" width="11.625" style="6" customWidth="1"/>
    <col min="9483" max="9728" width="9" style="6"/>
    <col min="9729" max="9729" width="4.625" style="6" customWidth="1"/>
    <col min="9730" max="9737" width="7.875" style="6" customWidth="1"/>
    <col min="9738" max="9738" width="11.625" style="6" customWidth="1"/>
    <col min="9739" max="9984" width="9" style="6"/>
    <col min="9985" max="9985" width="4.625" style="6" customWidth="1"/>
    <col min="9986" max="9993" width="7.875" style="6" customWidth="1"/>
    <col min="9994" max="9994" width="11.625" style="6" customWidth="1"/>
    <col min="9995" max="10240" width="9" style="6"/>
    <col min="10241" max="10241" width="4.625" style="6" customWidth="1"/>
    <col min="10242" max="10249" width="7.875" style="6" customWidth="1"/>
    <col min="10250" max="10250" width="11.625" style="6" customWidth="1"/>
    <col min="10251" max="10496" width="9" style="6"/>
    <col min="10497" max="10497" width="4.625" style="6" customWidth="1"/>
    <col min="10498" max="10505" width="7.875" style="6" customWidth="1"/>
    <col min="10506" max="10506" width="11.625" style="6" customWidth="1"/>
    <col min="10507" max="10752" width="9" style="6"/>
    <col min="10753" max="10753" width="4.625" style="6" customWidth="1"/>
    <col min="10754" max="10761" width="7.875" style="6" customWidth="1"/>
    <col min="10762" max="10762" width="11.625" style="6" customWidth="1"/>
    <col min="10763" max="11008" width="9" style="6"/>
    <col min="11009" max="11009" width="4.625" style="6" customWidth="1"/>
    <col min="11010" max="11017" width="7.875" style="6" customWidth="1"/>
    <col min="11018" max="11018" width="11.625" style="6" customWidth="1"/>
    <col min="11019" max="11264" width="9" style="6"/>
    <col min="11265" max="11265" width="4.625" style="6" customWidth="1"/>
    <col min="11266" max="11273" width="7.875" style="6" customWidth="1"/>
    <col min="11274" max="11274" width="11.625" style="6" customWidth="1"/>
    <col min="11275" max="11520" width="9" style="6"/>
    <col min="11521" max="11521" width="4.625" style="6" customWidth="1"/>
    <col min="11522" max="11529" width="7.875" style="6" customWidth="1"/>
    <col min="11530" max="11530" width="11.625" style="6" customWidth="1"/>
    <col min="11531" max="11776" width="9" style="6"/>
    <col min="11777" max="11777" width="4.625" style="6" customWidth="1"/>
    <col min="11778" max="11785" width="7.875" style="6" customWidth="1"/>
    <col min="11786" max="11786" width="11.625" style="6" customWidth="1"/>
    <col min="11787" max="12032" width="9" style="6"/>
    <col min="12033" max="12033" width="4.625" style="6" customWidth="1"/>
    <col min="12034" max="12041" width="7.875" style="6" customWidth="1"/>
    <col min="12042" max="12042" width="11.625" style="6" customWidth="1"/>
    <col min="12043" max="12288" width="9" style="6"/>
    <col min="12289" max="12289" width="4.625" style="6" customWidth="1"/>
    <col min="12290" max="12297" width="7.875" style="6" customWidth="1"/>
    <col min="12298" max="12298" width="11.625" style="6" customWidth="1"/>
    <col min="12299" max="12544" width="9" style="6"/>
    <col min="12545" max="12545" width="4.625" style="6" customWidth="1"/>
    <col min="12546" max="12553" width="7.875" style="6" customWidth="1"/>
    <col min="12554" max="12554" width="11.625" style="6" customWidth="1"/>
    <col min="12555" max="12800" width="9" style="6"/>
    <col min="12801" max="12801" width="4.625" style="6" customWidth="1"/>
    <col min="12802" max="12809" width="7.875" style="6" customWidth="1"/>
    <col min="12810" max="12810" width="11.625" style="6" customWidth="1"/>
    <col min="12811" max="13056" width="9" style="6"/>
    <col min="13057" max="13057" width="4.625" style="6" customWidth="1"/>
    <col min="13058" max="13065" width="7.875" style="6" customWidth="1"/>
    <col min="13066" max="13066" width="11.625" style="6" customWidth="1"/>
    <col min="13067" max="13312" width="9" style="6"/>
    <col min="13313" max="13313" width="4.625" style="6" customWidth="1"/>
    <col min="13314" max="13321" width="7.875" style="6" customWidth="1"/>
    <col min="13322" max="13322" width="11.625" style="6" customWidth="1"/>
    <col min="13323" max="13568" width="9" style="6"/>
    <col min="13569" max="13569" width="4.625" style="6" customWidth="1"/>
    <col min="13570" max="13577" width="7.875" style="6" customWidth="1"/>
    <col min="13578" max="13578" width="11.625" style="6" customWidth="1"/>
    <col min="13579" max="13824" width="9" style="6"/>
    <col min="13825" max="13825" width="4.625" style="6" customWidth="1"/>
    <col min="13826" max="13833" width="7.875" style="6" customWidth="1"/>
    <col min="13834" max="13834" width="11.625" style="6" customWidth="1"/>
    <col min="13835" max="14080" width="9" style="6"/>
    <col min="14081" max="14081" width="4.625" style="6" customWidth="1"/>
    <col min="14082" max="14089" width="7.875" style="6" customWidth="1"/>
    <col min="14090" max="14090" width="11.625" style="6" customWidth="1"/>
    <col min="14091" max="14336" width="9" style="6"/>
    <col min="14337" max="14337" width="4.625" style="6" customWidth="1"/>
    <col min="14338" max="14345" width="7.875" style="6" customWidth="1"/>
    <col min="14346" max="14346" width="11.625" style="6" customWidth="1"/>
    <col min="14347" max="14592" width="9" style="6"/>
    <col min="14593" max="14593" width="4.625" style="6" customWidth="1"/>
    <col min="14594" max="14601" width="7.875" style="6" customWidth="1"/>
    <col min="14602" max="14602" width="11.625" style="6" customWidth="1"/>
    <col min="14603" max="14848" width="9" style="6"/>
    <col min="14849" max="14849" width="4.625" style="6" customWidth="1"/>
    <col min="14850" max="14857" width="7.875" style="6" customWidth="1"/>
    <col min="14858" max="14858" width="11.625" style="6" customWidth="1"/>
    <col min="14859" max="15104" width="9" style="6"/>
    <col min="15105" max="15105" width="4.625" style="6" customWidth="1"/>
    <col min="15106" max="15113" width="7.875" style="6" customWidth="1"/>
    <col min="15114" max="15114" width="11.625" style="6" customWidth="1"/>
    <col min="15115" max="15360" width="9" style="6"/>
    <col min="15361" max="15361" width="4.625" style="6" customWidth="1"/>
    <col min="15362" max="15369" width="7.875" style="6" customWidth="1"/>
    <col min="15370" max="15370" width="11.625" style="6" customWidth="1"/>
    <col min="15371" max="15616" width="9" style="6"/>
    <col min="15617" max="15617" width="4.625" style="6" customWidth="1"/>
    <col min="15618" max="15625" width="7.875" style="6" customWidth="1"/>
    <col min="15626" max="15626" width="11.625" style="6" customWidth="1"/>
    <col min="15627" max="15872" width="9" style="6"/>
    <col min="15873" max="15873" width="4.625" style="6" customWidth="1"/>
    <col min="15874" max="15881" width="7.875" style="6" customWidth="1"/>
    <col min="15882" max="15882" width="11.625" style="6" customWidth="1"/>
    <col min="15883" max="16128" width="9" style="6"/>
    <col min="16129" max="16129" width="4.625" style="6" customWidth="1"/>
    <col min="16130" max="16137" width="7.875" style="6" customWidth="1"/>
    <col min="16138" max="16138" width="11.625" style="6" customWidth="1"/>
    <col min="16139" max="16384" width="9" style="6"/>
  </cols>
  <sheetData>
    <row r="1" spans="1:14">
      <c r="A1" s="5"/>
      <c r="J1" s="7"/>
    </row>
    <row r="2" spans="1:14">
      <c r="A2" s="15" t="s">
        <v>74</v>
      </c>
      <c r="F2" s="8"/>
      <c r="G2" s="8"/>
      <c r="J2" s="9"/>
    </row>
    <row r="3" spans="1:14">
      <c r="C3" s="8"/>
      <c r="D3" s="8"/>
      <c r="I3" s="8"/>
      <c r="J3" s="8"/>
      <c r="K3" s="8"/>
      <c r="L3" s="8"/>
      <c r="M3" s="8"/>
      <c r="N3" s="8"/>
    </row>
    <row r="4" spans="1:14">
      <c r="C4" s="8"/>
      <c r="D4" s="8"/>
      <c r="I4" s="8"/>
      <c r="J4" s="8"/>
      <c r="K4" s="8"/>
      <c r="L4" s="8"/>
      <c r="M4" s="8"/>
      <c r="N4" s="8"/>
    </row>
    <row r="5" spans="1:14">
      <c r="C5" s="8"/>
      <c r="D5" s="8"/>
      <c r="I5" s="8"/>
      <c r="J5" s="8"/>
      <c r="K5" s="8"/>
      <c r="L5" s="8"/>
      <c r="M5" s="8"/>
      <c r="N5" s="8"/>
    </row>
    <row r="6" spans="1:14">
      <c r="C6" s="8"/>
      <c r="D6" s="8"/>
      <c r="I6" s="8"/>
      <c r="J6" s="8"/>
      <c r="K6" s="8"/>
      <c r="L6" s="8"/>
      <c r="M6" s="8"/>
      <c r="N6" s="8"/>
    </row>
    <row r="7" spans="1:14">
      <c r="A7" s="5"/>
      <c r="B7" s="8"/>
      <c r="C7" s="8"/>
      <c r="D7" s="8"/>
      <c r="F7" s="8"/>
      <c r="G7" s="8"/>
      <c r="H7" s="10"/>
      <c r="I7" s="8"/>
      <c r="J7" s="8"/>
      <c r="K7" s="8"/>
    </row>
    <row r="8" spans="1:14">
      <c r="A8" s="354" t="s">
        <v>78</v>
      </c>
      <c r="B8" s="354"/>
      <c r="C8" s="354"/>
      <c r="D8" s="354"/>
      <c r="E8" s="354"/>
      <c r="F8" s="354"/>
      <c r="G8" s="354"/>
      <c r="H8" s="354"/>
      <c r="I8" s="354"/>
      <c r="J8" s="354"/>
      <c r="K8" s="8"/>
      <c r="L8" s="8" t="s">
        <v>7</v>
      </c>
      <c r="M8" s="8"/>
      <c r="N8" s="8"/>
    </row>
    <row r="9" spans="1:14">
      <c r="A9" s="354" t="s">
        <v>75</v>
      </c>
      <c r="B9" s="354"/>
      <c r="C9" s="354"/>
      <c r="D9" s="354"/>
      <c r="E9" s="354"/>
      <c r="F9" s="354"/>
      <c r="G9" s="354"/>
      <c r="H9" s="354"/>
      <c r="I9" s="354"/>
      <c r="J9" s="354"/>
      <c r="K9" s="8"/>
      <c r="L9" s="8"/>
      <c r="M9" s="8"/>
      <c r="N9" s="8"/>
    </row>
    <row r="10" spans="1:14">
      <c r="B10" s="11"/>
      <c r="C10" s="8"/>
      <c r="D10" s="8"/>
      <c r="I10" s="8"/>
      <c r="J10" s="8"/>
      <c r="K10" s="8"/>
      <c r="L10" s="8"/>
      <c r="M10" s="8"/>
      <c r="N10" s="8"/>
    </row>
    <row r="11" spans="1:14">
      <c r="C11" s="8"/>
      <c r="D11" s="8"/>
      <c r="I11" s="8"/>
      <c r="J11" s="8"/>
      <c r="K11" s="8"/>
      <c r="L11" s="8"/>
      <c r="M11" s="8"/>
      <c r="N11" s="8"/>
    </row>
    <row r="12" spans="1:14">
      <c r="C12" s="8"/>
      <c r="D12" s="8"/>
      <c r="I12" s="8"/>
      <c r="J12" s="8"/>
      <c r="K12" s="8"/>
      <c r="L12" s="8"/>
      <c r="M12" s="8"/>
      <c r="N12" s="8"/>
    </row>
    <row r="13" spans="1:14">
      <c r="C13" s="8"/>
      <c r="D13" s="8"/>
      <c r="I13" s="8"/>
      <c r="J13" s="8"/>
      <c r="K13" s="8"/>
      <c r="L13" s="8"/>
      <c r="M13" s="8"/>
      <c r="N13" s="8"/>
    </row>
    <row r="14" spans="1:14">
      <c r="B14" s="8"/>
      <c r="C14" s="8"/>
      <c r="D14" s="8"/>
      <c r="I14" s="8"/>
      <c r="J14" s="8"/>
      <c r="K14" s="8"/>
      <c r="L14" s="8" t="s">
        <v>7</v>
      </c>
      <c r="M14" s="8"/>
      <c r="N14" s="8"/>
    </row>
    <row r="15" spans="1:14" ht="23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8"/>
      <c r="L15" s="8" t="s">
        <v>7</v>
      </c>
      <c r="M15" s="8"/>
      <c r="N15" s="8"/>
    </row>
    <row r="16" spans="1:14" ht="26.25">
      <c r="A16" s="355" t="s">
        <v>76</v>
      </c>
      <c r="B16" s="355"/>
      <c r="C16" s="355"/>
      <c r="D16" s="355"/>
      <c r="E16" s="355"/>
      <c r="F16" s="355"/>
      <c r="G16" s="355"/>
      <c r="H16" s="355"/>
      <c r="I16" s="355"/>
      <c r="J16" s="355"/>
      <c r="K16" s="8"/>
      <c r="L16" s="8"/>
      <c r="M16" s="8"/>
      <c r="N16" s="8"/>
    </row>
    <row r="17" spans="1:14" ht="23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8"/>
      <c r="L17" s="8"/>
      <c r="M17" s="8"/>
      <c r="N17" s="8"/>
    </row>
    <row r="18" spans="1:14" ht="26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8"/>
      <c r="L18" s="8" t="s">
        <v>7</v>
      </c>
      <c r="M18" s="8"/>
      <c r="N18" s="8"/>
    </row>
    <row r="19" spans="1:14" ht="26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8"/>
      <c r="L19" s="8" t="s">
        <v>7</v>
      </c>
      <c r="M19" s="8"/>
      <c r="N19" s="8"/>
    </row>
    <row r="20" spans="1:14">
      <c r="B20" s="8"/>
      <c r="C20" s="8"/>
      <c r="D20" s="8"/>
      <c r="E20" s="8"/>
      <c r="F20" s="8"/>
      <c r="G20" s="8"/>
      <c r="H20" s="8"/>
      <c r="I20" s="8"/>
      <c r="J20" s="8"/>
      <c r="K20" s="8"/>
      <c r="L20" s="8" t="s">
        <v>7</v>
      </c>
      <c r="M20" s="8"/>
      <c r="N20" s="8"/>
    </row>
    <row r="21" spans="1:14" ht="23.25">
      <c r="B21" s="13"/>
      <c r="C21" s="8"/>
      <c r="D21" s="8"/>
      <c r="E21" s="8"/>
      <c r="F21" s="8"/>
      <c r="G21" s="8"/>
      <c r="H21" s="8"/>
      <c r="I21" s="8"/>
      <c r="J21" s="8"/>
      <c r="K21" s="8"/>
      <c r="L21" s="8" t="s">
        <v>7</v>
      </c>
      <c r="M21" s="8"/>
      <c r="N21" s="8"/>
    </row>
    <row r="22" spans="1:14"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</v>
      </c>
    </row>
    <row r="36" spans="1:10">
      <c r="E36" s="6" t="s">
        <v>7</v>
      </c>
    </row>
    <row r="40" spans="1:10">
      <c r="A40" s="353">
        <v>1</v>
      </c>
      <c r="B40" s="353"/>
      <c r="C40" s="353"/>
      <c r="D40" s="353"/>
      <c r="E40" s="353"/>
      <c r="F40" s="353"/>
      <c r="G40" s="353"/>
      <c r="H40" s="353"/>
      <c r="I40" s="353"/>
      <c r="J40" s="353"/>
    </row>
    <row r="41" spans="1:10">
      <c r="A41" s="353"/>
      <c r="B41" s="353"/>
      <c r="C41" s="353"/>
      <c r="D41" s="353"/>
      <c r="E41" s="353"/>
      <c r="F41" s="353"/>
      <c r="G41" s="353"/>
      <c r="H41" s="353"/>
      <c r="I41" s="353"/>
      <c r="J41" s="353"/>
    </row>
    <row r="42" spans="1:10">
      <c r="A42" s="353"/>
      <c r="B42" s="353"/>
      <c r="C42" s="353"/>
      <c r="D42" s="353"/>
      <c r="E42" s="353"/>
      <c r="F42" s="353"/>
      <c r="G42" s="353"/>
      <c r="H42" s="353"/>
      <c r="I42" s="353"/>
      <c r="J42" s="353"/>
    </row>
    <row r="43" spans="1:10" ht="16.5" customHeight="1">
      <c r="A43" s="352" t="s">
        <v>77</v>
      </c>
      <c r="B43" s="352"/>
      <c r="C43" s="352"/>
      <c r="D43" s="352"/>
      <c r="E43" s="352"/>
      <c r="F43" s="352"/>
      <c r="G43" s="352"/>
      <c r="H43" s="352"/>
      <c r="I43" s="352"/>
      <c r="J43" s="352"/>
    </row>
  </sheetData>
  <mergeCells count="5">
    <mergeCell ref="A43:J43"/>
    <mergeCell ref="A40:J42"/>
    <mergeCell ref="A8:J8"/>
    <mergeCell ref="A9:J9"/>
    <mergeCell ref="A16:J16"/>
  </mergeCells>
  <phoneticPr fontId="2" type="noConversion"/>
  <printOptions horizontalCentered="1"/>
  <pageMargins left="0.31496062992125984" right="0.31496062992125984" top="0.74803149606299213" bottom="0.74803149606299213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  <pageSetUpPr fitToPage="1"/>
  </sheetPr>
  <dimension ref="A1:L38"/>
  <sheetViews>
    <sheetView showGridLines="0" showZeros="0" tabSelected="1" zoomScale="70" zoomScaleNormal="70" zoomScaleSheetLayoutView="70" workbookViewId="0">
      <pane ySplit="5" topLeftCell="A6" activePane="bottomLeft" state="frozen"/>
      <selection activeCell="P146" sqref="P146"/>
      <selection pane="bottomLeft" activeCell="D13" sqref="D13"/>
    </sheetView>
  </sheetViews>
  <sheetFormatPr defaultRowHeight="24" customHeight="1"/>
  <cols>
    <col min="1" max="1" width="2" style="90" customWidth="1"/>
    <col min="2" max="2" width="12.75" style="90" customWidth="1"/>
    <col min="3" max="3" width="42.75" style="90" customWidth="1"/>
    <col min="4" max="4" width="19.375" style="90" customWidth="1"/>
    <col min="5" max="5" width="26.75" style="90" customWidth="1"/>
    <col min="6" max="6" width="2" style="90" customWidth="1"/>
    <col min="7" max="7" width="29.875" style="90" bestFit="1" customWidth="1"/>
    <col min="8" max="8" width="27.625" style="90" bestFit="1" customWidth="1"/>
    <col min="9" max="9" width="9" style="90"/>
    <col min="10" max="10" width="10.75" style="90" bestFit="1" customWidth="1"/>
    <col min="11" max="11" width="9" style="90"/>
    <col min="12" max="12" width="10.75" style="90" bestFit="1" customWidth="1"/>
    <col min="13" max="16384" width="9" style="90"/>
  </cols>
  <sheetData>
    <row r="1" spans="1:12" ht="24" customHeight="1">
      <c r="B1" s="357" t="s">
        <v>96</v>
      </c>
      <c r="C1" s="357"/>
      <c r="D1" s="357"/>
      <c r="E1" s="357"/>
      <c r="F1" s="357"/>
    </row>
    <row r="2" spans="1:12" ht="18" customHeight="1">
      <c r="A2" s="173"/>
      <c r="B2" s="89"/>
      <c r="C2" s="89"/>
      <c r="D2" s="89"/>
      <c r="E2" s="89"/>
    </row>
    <row r="3" spans="1:12" ht="26.25">
      <c r="B3" s="356" t="s">
        <v>80</v>
      </c>
      <c r="C3" s="356"/>
      <c r="D3" s="356"/>
      <c r="E3" s="356"/>
    </row>
    <row r="4" spans="1:12" ht="24" customHeight="1">
      <c r="B4" s="43" t="s">
        <v>79</v>
      </c>
      <c r="C4" s="91"/>
      <c r="D4" s="91"/>
      <c r="E4" s="145" t="s">
        <v>81</v>
      </c>
    </row>
    <row r="5" spans="1:12" ht="24" customHeight="1" thickBot="1">
      <c r="B5" s="92" t="s">
        <v>3</v>
      </c>
      <c r="C5" s="92" t="s">
        <v>1</v>
      </c>
      <c r="D5" s="92" t="s">
        <v>2</v>
      </c>
      <c r="E5" s="92" t="s">
        <v>5</v>
      </c>
    </row>
    <row r="6" spans="1:12" ht="24" customHeight="1" thickTop="1">
      <c r="B6" s="93" t="s">
        <v>56</v>
      </c>
      <c r="C6" s="94" t="s">
        <v>55</v>
      </c>
      <c r="D6" s="95"/>
      <c r="E6" s="96"/>
    </row>
    <row r="7" spans="1:12" ht="24" customHeight="1">
      <c r="B7" s="97" t="s">
        <v>57</v>
      </c>
      <c r="C7" s="98" t="s">
        <v>55</v>
      </c>
      <c r="D7" s="99">
        <f>'2.BOQ'!I7</f>
        <v>1133333.3333333333</v>
      </c>
      <c r="E7" s="100"/>
      <c r="G7" s="173" t="s">
        <v>110</v>
      </c>
    </row>
    <row r="8" spans="1:12" ht="24" customHeight="1">
      <c r="B8" s="93" t="s">
        <v>34</v>
      </c>
      <c r="C8" s="94" t="s">
        <v>35</v>
      </c>
      <c r="D8" s="95"/>
      <c r="E8" s="96"/>
      <c r="G8" s="173" t="s">
        <v>112</v>
      </c>
    </row>
    <row r="9" spans="1:12" ht="24" customHeight="1">
      <c r="B9" s="97">
        <v>1.1000000000000001</v>
      </c>
      <c r="C9" s="98" t="s">
        <v>36</v>
      </c>
      <c r="D9" s="99">
        <f>'8. Material'!F15</f>
        <v>0</v>
      </c>
      <c r="E9" s="101"/>
      <c r="G9" s="173" t="s">
        <v>113</v>
      </c>
      <c r="H9" s="175"/>
      <c r="I9" s="175"/>
      <c r="J9" s="175"/>
      <c r="K9" s="175"/>
      <c r="L9" s="175"/>
    </row>
    <row r="10" spans="1:12" ht="24" customHeight="1">
      <c r="B10" s="97">
        <v>1.2</v>
      </c>
      <c r="C10" s="98" t="s">
        <v>118</v>
      </c>
      <c r="D10" s="99">
        <f>'6.Equipment '!P18</f>
        <v>1072500</v>
      </c>
      <c r="E10" s="101"/>
      <c r="G10" s="173" t="s">
        <v>119</v>
      </c>
      <c r="H10" s="155" t="s">
        <v>83</v>
      </c>
      <c r="I10" s="155" t="s">
        <v>58</v>
      </c>
      <c r="J10" s="155" t="s">
        <v>59</v>
      </c>
      <c r="K10" s="155" t="s">
        <v>60</v>
      </c>
      <c r="L10" s="155" t="s">
        <v>61</v>
      </c>
    </row>
    <row r="11" spans="1:12" ht="24" customHeight="1">
      <c r="B11" s="97">
        <v>1.3</v>
      </c>
      <c r="C11" s="98" t="s">
        <v>37</v>
      </c>
      <c r="D11" s="106">
        <f>'5.Manpower'!R37</f>
        <v>487500</v>
      </c>
      <c r="E11" s="101"/>
      <c r="G11" s="173" t="s">
        <v>126</v>
      </c>
      <c r="H11" s="156" t="s">
        <v>62</v>
      </c>
      <c r="I11" s="151">
        <v>0.03</v>
      </c>
      <c r="J11" s="151">
        <v>0.02</v>
      </c>
      <c r="K11" s="151">
        <v>0.02</v>
      </c>
      <c r="L11" s="151">
        <v>0.02</v>
      </c>
    </row>
    <row r="12" spans="1:12" ht="24" customHeight="1">
      <c r="B12" s="97">
        <v>1.4</v>
      </c>
      <c r="C12" s="98" t="s">
        <v>38</v>
      </c>
      <c r="D12" s="106">
        <f>'6.Equipment '!Z18</f>
        <v>1135082</v>
      </c>
      <c r="E12" s="101"/>
      <c r="G12" s="173" t="s">
        <v>120</v>
      </c>
      <c r="H12" s="156" t="s">
        <v>63</v>
      </c>
      <c r="I12" s="151">
        <v>2E-3</v>
      </c>
      <c r="J12" s="151">
        <v>2E-3</v>
      </c>
      <c r="K12" s="151">
        <v>2E-3</v>
      </c>
      <c r="L12" s="151">
        <v>2E-3</v>
      </c>
    </row>
    <row r="13" spans="1:12" ht="24" customHeight="1">
      <c r="B13" s="97"/>
      <c r="C13" s="102"/>
      <c r="D13" s="106"/>
      <c r="E13" s="101"/>
      <c r="H13" s="156" t="s">
        <v>64</v>
      </c>
      <c r="I13" s="151">
        <v>0</v>
      </c>
      <c r="J13" s="151">
        <v>5.0000000000000001E-3</v>
      </c>
      <c r="K13" s="151">
        <v>0.01</v>
      </c>
      <c r="L13" s="151">
        <v>0</v>
      </c>
    </row>
    <row r="14" spans="1:12" ht="24" customHeight="1">
      <c r="B14" s="103" t="s">
        <v>39</v>
      </c>
      <c r="C14" s="104" t="s">
        <v>40</v>
      </c>
      <c r="D14" s="106"/>
      <c r="E14" s="101"/>
      <c r="G14" s="173" t="s">
        <v>112</v>
      </c>
      <c r="H14" s="156" t="s">
        <v>65</v>
      </c>
      <c r="I14" s="151">
        <v>0</v>
      </c>
      <c r="J14" s="151">
        <v>0</v>
      </c>
      <c r="K14" s="151">
        <v>0.01</v>
      </c>
      <c r="L14" s="151">
        <v>0</v>
      </c>
    </row>
    <row r="15" spans="1:12" ht="24" customHeight="1">
      <c r="B15" s="97">
        <v>2.1</v>
      </c>
      <c r="C15" s="105" t="s">
        <v>41</v>
      </c>
      <c r="D15" s="106">
        <v>0</v>
      </c>
      <c r="E15" s="101"/>
      <c r="G15" s="173" t="s">
        <v>127</v>
      </c>
      <c r="H15" s="156" t="s">
        <v>99</v>
      </c>
      <c r="I15" s="151">
        <v>0</v>
      </c>
      <c r="J15" s="151"/>
      <c r="K15" s="151"/>
      <c r="L15" s="151"/>
    </row>
    <row r="16" spans="1:12" ht="24" customHeight="1">
      <c r="B16" s="97">
        <v>2.2000000000000002</v>
      </c>
      <c r="C16" s="105" t="s">
        <v>42</v>
      </c>
      <c r="D16" s="106">
        <v>0</v>
      </c>
      <c r="E16" s="101"/>
      <c r="G16" s="173"/>
      <c r="H16" s="156" t="s">
        <v>66</v>
      </c>
      <c r="I16" s="151">
        <v>0</v>
      </c>
      <c r="J16" s="151">
        <v>0</v>
      </c>
      <c r="K16" s="151">
        <v>0</v>
      </c>
      <c r="L16" s="151">
        <v>0</v>
      </c>
    </row>
    <row r="17" spans="2:12" ht="24" customHeight="1">
      <c r="B17" s="97">
        <v>2.2999999999999998</v>
      </c>
      <c r="C17" s="105" t="s">
        <v>43</v>
      </c>
      <c r="D17" s="99">
        <v>0</v>
      </c>
      <c r="E17" s="101"/>
      <c r="G17" s="173" t="s">
        <v>114</v>
      </c>
      <c r="H17" s="156" t="s">
        <v>67</v>
      </c>
      <c r="I17" s="151">
        <v>0.03</v>
      </c>
      <c r="J17" s="151">
        <v>0.02</v>
      </c>
      <c r="K17" s="151">
        <v>0</v>
      </c>
      <c r="L17" s="151">
        <v>0.01</v>
      </c>
    </row>
    <row r="18" spans="2:12" ht="24" customHeight="1">
      <c r="B18" s="97"/>
      <c r="C18" s="105"/>
      <c r="D18" s="106"/>
      <c r="E18" s="101"/>
      <c r="H18" s="156" t="s">
        <v>68</v>
      </c>
      <c r="I18" s="151">
        <v>0.1</v>
      </c>
      <c r="J18" s="151">
        <v>0.08</v>
      </c>
      <c r="K18" s="151">
        <v>0.06</v>
      </c>
      <c r="L18" s="151">
        <v>0.06</v>
      </c>
    </row>
    <row r="19" spans="2:12" s="107" customFormat="1" ht="24" customHeight="1">
      <c r="B19" s="97" t="s">
        <v>44</v>
      </c>
      <c r="C19" s="104" t="s">
        <v>45</v>
      </c>
      <c r="D19" s="106">
        <v>0</v>
      </c>
      <c r="E19" s="101"/>
      <c r="H19" s="156" t="s">
        <v>100</v>
      </c>
      <c r="I19" s="151">
        <v>0.05</v>
      </c>
      <c r="J19" s="151">
        <v>0.01</v>
      </c>
      <c r="K19" s="151">
        <v>0.01</v>
      </c>
      <c r="L19" s="151">
        <v>0.01</v>
      </c>
    </row>
    <row r="20" spans="2:12" ht="24" customHeight="1">
      <c r="B20" s="97" t="s">
        <v>46</v>
      </c>
      <c r="C20" s="104" t="s">
        <v>47</v>
      </c>
      <c r="D20" s="106">
        <v>0</v>
      </c>
      <c r="E20" s="108"/>
      <c r="H20" s="156" t="s">
        <v>69</v>
      </c>
      <c r="I20" s="151">
        <v>0</v>
      </c>
      <c r="J20" s="151">
        <v>0</v>
      </c>
      <c r="K20" s="151">
        <v>0</v>
      </c>
      <c r="L20" s="151">
        <v>0</v>
      </c>
    </row>
    <row r="21" spans="2:12" ht="24" customHeight="1">
      <c r="B21" s="97">
        <v>4.0999999999999996</v>
      </c>
      <c r="C21" s="109" t="s">
        <v>48</v>
      </c>
      <c r="D21" s="106">
        <v>0</v>
      </c>
      <c r="E21" s="101"/>
      <c r="H21" s="156" t="s">
        <v>70</v>
      </c>
      <c r="I21" s="151">
        <v>1.2E-2</v>
      </c>
      <c r="J21" s="152">
        <f>I21</f>
        <v>1.2E-2</v>
      </c>
      <c r="K21" s="152">
        <f>J21</f>
        <v>1.2E-2</v>
      </c>
      <c r="L21" s="152">
        <f>K21</f>
        <v>1.2E-2</v>
      </c>
    </row>
    <row r="22" spans="2:12" ht="24" customHeight="1">
      <c r="B22" s="97">
        <v>4.2</v>
      </c>
      <c r="C22" s="109" t="s">
        <v>49</v>
      </c>
      <c r="D22" s="106">
        <v>0</v>
      </c>
      <c r="E22" s="101"/>
      <c r="H22" s="156" t="s">
        <v>101</v>
      </c>
      <c r="I22" s="151">
        <v>0</v>
      </c>
      <c r="J22" s="152"/>
      <c r="K22" s="152"/>
      <c r="L22" s="152"/>
    </row>
    <row r="23" spans="2:12" ht="24" customHeight="1">
      <c r="B23" s="97"/>
      <c r="C23" s="109"/>
      <c r="D23" s="106"/>
      <c r="E23" s="101"/>
      <c r="H23" s="156" t="s">
        <v>71</v>
      </c>
      <c r="I23" s="153">
        <f>SUM(I11:I22)</f>
        <v>0.22400000000000003</v>
      </c>
      <c r="J23" s="153">
        <f>SUM(J11:J22)</f>
        <v>0.14900000000000002</v>
      </c>
      <c r="K23" s="153">
        <f>SUM(K11:K22)</f>
        <v>0.124</v>
      </c>
      <c r="L23" s="153">
        <f>SUM(L11:L22)</f>
        <v>0.11399999999999999</v>
      </c>
    </row>
    <row r="24" spans="2:12" ht="24" customHeight="1">
      <c r="B24" s="93" t="s">
        <v>73</v>
      </c>
      <c r="C24" s="104" t="s">
        <v>28</v>
      </c>
      <c r="D24" s="95"/>
      <c r="E24" s="108"/>
      <c r="H24" s="156"/>
      <c r="I24" s="153"/>
      <c r="J24" s="153"/>
      <c r="K24" s="153"/>
      <c r="L24" s="153"/>
    </row>
    <row r="25" spans="2:12" ht="24" customHeight="1">
      <c r="B25" s="110" t="s">
        <v>51</v>
      </c>
      <c r="C25" s="98" t="s">
        <v>28</v>
      </c>
      <c r="D25" s="99">
        <f>'2.BOQ'!I8</f>
        <v>566666.66666666663</v>
      </c>
      <c r="E25" s="101"/>
      <c r="G25" s="173" t="s">
        <v>111</v>
      </c>
      <c r="H25" s="156" t="s">
        <v>72</v>
      </c>
      <c r="I25" s="154">
        <f>ROUND(1/(1-I23),3)</f>
        <v>1.2889999999999999</v>
      </c>
      <c r="J25" s="154">
        <f>ROUND(1/(1-J23),3)</f>
        <v>1.175</v>
      </c>
      <c r="K25" s="154">
        <f>ROUND(1/(1-K23),3)</f>
        <v>1.1419999999999999</v>
      </c>
      <c r="L25" s="154">
        <f>ROUND(1/(1-L23),3)</f>
        <v>1.129</v>
      </c>
    </row>
    <row r="26" spans="2:12" ht="24" customHeight="1">
      <c r="B26" s="97">
        <v>6</v>
      </c>
      <c r="C26" s="104" t="s">
        <v>50</v>
      </c>
      <c r="D26" s="99"/>
      <c r="E26" s="101"/>
      <c r="I26" s="111"/>
      <c r="L26" s="305">
        <f>L25-1</f>
        <v>0.129</v>
      </c>
    </row>
    <row r="27" spans="2:12" ht="24" customHeight="1">
      <c r="B27" s="97">
        <v>6.1</v>
      </c>
      <c r="C27" s="105" t="s">
        <v>50</v>
      </c>
      <c r="D27" s="112">
        <f>(D9+D10)*L26</f>
        <v>138352.5</v>
      </c>
      <c r="E27" s="101"/>
      <c r="G27" s="187" t="s">
        <v>125</v>
      </c>
    </row>
    <row r="28" spans="2:12" s="107" customFormat="1" ht="24" customHeight="1">
      <c r="B28" s="97"/>
      <c r="C28" s="98"/>
      <c r="D28" s="99"/>
      <c r="E28" s="101"/>
    </row>
    <row r="29" spans="2:12" ht="24" customHeight="1">
      <c r="B29" s="113"/>
      <c r="C29" s="113"/>
      <c r="D29" s="114"/>
      <c r="E29" s="115"/>
      <c r="G29" s="90">
        <f>15*1.35</f>
        <v>20.25</v>
      </c>
      <c r="I29" s="90">
        <f>D30*I25</f>
        <v>5843597.0704999994</v>
      </c>
    </row>
    <row r="30" spans="2:12" s="107" customFormat="1" ht="24" customHeight="1">
      <c r="B30" s="116"/>
      <c r="C30" s="117" t="s">
        <v>6</v>
      </c>
      <c r="D30" s="300">
        <f>SUM(D7:D29)</f>
        <v>4533434.5</v>
      </c>
      <c r="E30" s="117"/>
      <c r="H30" s="143"/>
      <c r="I30" s="107">
        <v>23000</v>
      </c>
    </row>
    <row r="31" spans="2:12" ht="24" customHeight="1">
      <c r="B31" s="118" t="s">
        <v>26</v>
      </c>
      <c r="C31" s="119"/>
      <c r="D31" s="120"/>
      <c r="E31" s="121"/>
      <c r="I31" s="90">
        <f>I30*1.15</f>
        <v>26449.999999999996</v>
      </c>
    </row>
    <row r="32" spans="2:12" ht="24" customHeight="1">
      <c r="B32" s="122"/>
      <c r="C32" s="123"/>
      <c r="D32" s="124"/>
      <c r="E32" s="125"/>
      <c r="I32" s="90">
        <v>28000</v>
      </c>
    </row>
    <row r="33" spans="2:9" ht="24" customHeight="1">
      <c r="B33" s="122"/>
      <c r="C33" s="123"/>
      <c r="D33" s="124"/>
      <c r="E33" s="125"/>
      <c r="I33" s="90">
        <f>I32/135</f>
        <v>207.40740740740742</v>
      </c>
    </row>
    <row r="34" spans="2:9" ht="24" customHeight="1">
      <c r="B34" s="122"/>
      <c r="C34" s="123"/>
      <c r="D34" s="124"/>
      <c r="E34" s="125"/>
      <c r="I34" s="90">
        <f>I33*1.15</f>
        <v>238.5185185185185</v>
      </c>
    </row>
    <row r="35" spans="2:9" ht="24" customHeight="1">
      <c r="B35" s="122"/>
      <c r="C35" s="297" t="s">
        <v>181</v>
      </c>
      <c r="D35" s="124">
        <f>'2.BOQ'!I18</f>
        <v>4992700</v>
      </c>
      <c r="E35" s="299" t="s">
        <v>182</v>
      </c>
    </row>
    <row r="36" spans="2:9" ht="24" customHeight="1">
      <c r="B36" s="122"/>
      <c r="C36" s="297" t="s">
        <v>179</v>
      </c>
      <c r="D36" s="124">
        <f>D35-D30</f>
        <v>459265.5</v>
      </c>
      <c r="E36" s="301">
        <f>D36/D35</f>
        <v>9.1987401606345262E-2</v>
      </c>
    </row>
    <row r="37" spans="2:9" ht="24" customHeight="1">
      <c r="B37" s="126"/>
      <c r="C37" s="298" t="s">
        <v>180</v>
      </c>
      <c r="D37" s="127">
        <f>'6.Equipment '!P18+'6.Equipment '!P18/6.5*2</f>
        <v>1402500</v>
      </c>
      <c r="E37" s="302">
        <f>D37/D35</f>
        <v>0.28091012878803051</v>
      </c>
    </row>
    <row r="38" spans="2:9" ht="24" customHeight="1">
      <c r="B38" s="128"/>
      <c r="C38" s="128"/>
      <c r="D38" s="128"/>
      <c r="E38" s="128"/>
    </row>
  </sheetData>
  <mergeCells count="2">
    <mergeCell ref="B3:E3"/>
    <mergeCell ref="B1:F1"/>
  </mergeCells>
  <phoneticPr fontId="3" type="noConversion"/>
  <pageMargins left="0.7" right="0.7" top="0.75" bottom="0.75" header="0.3" footer="0.3"/>
  <pageSetup paperSize="9" scale="7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2:Y31"/>
  <sheetViews>
    <sheetView showGridLines="0" showZeros="0" zoomScale="70" zoomScaleNormal="70" zoomScaleSheetLayoutView="85" workbookViewId="0">
      <pane xSplit="7" ySplit="5" topLeftCell="H6" activePane="bottomRight" state="frozen"/>
      <selection activeCell="G20" sqref="G20"/>
      <selection pane="topRight" activeCell="G20" sqref="G20"/>
      <selection pane="bottomLeft" activeCell="G20" sqref="G20"/>
      <selection pane="bottomRight" activeCell="H32" sqref="H32"/>
    </sheetView>
  </sheetViews>
  <sheetFormatPr defaultRowHeight="15"/>
  <cols>
    <col min="1" max="1" width="7.125" style="46" hidden="1" customWidth="1"/>
    <col min="2" max="2" width="3.5" style="46" customWidth="1"/>
    <col min="3" max="3" width="10.25" style="46" customWidth="1"/>
    <col min="4" max="4" width="40.375" style="46" customWidth="1"/>
    <col min="5" max="5" width="26.75" style="46" customWidth="1"/>
    <col min="6" max="6" width="7.625" style="46" customWidth="1"/>
    <col min="7" max="7" width="10.625" style="46" customWidth="1"/>
    <col min="8" max="9" width="15.625" style="46" customWidth="1"/>
    <col min="10" max="10" width="15.25" style="46" customWidth="1"/>
    <col min="11" max="11" width="3.5" style="188" customWidth="1"/>
    <col min="12" max="12" width="0" style="46" hidden="1" customWidth="1"/>
    <col min="13" max="13" width="11.375" style="46" hidden="1" customWidth="1"/>
    <col min="14" max="18" width="0" style="46" hidden="1" customWidth="1"/>
    <col min="19" max="19" width="10" style="46" hidden="1" customWidth="1"/>
    <col min="20" max="20" width="0" style="46" hidden="1" customWidth="1"/>
    <col min="21" max="24" width="9" style="46"/>
    <col min="25" max="25" width="9.375" style="46" bestFit="1" customWidth="1"/>
    <col min="26" max="16384" width="9" style="46"/>
  </cols>
  <sheetData>
    <row r="2" spans="1:25" ht="26.25">
      <c r="C2" s="1"/>
    </row>
    <row r="3" spans="1:25">
      <c r="C3" s="43" t="s">
        <v>193</v>
      </c>
      <c r="J3" s="4" t="s">
        <v>194</v>
      </c>
      <c r="K3" s="189"/>
    </row>
    <row r="4" spans="1:25" ht="20.100000000000001" customHeight="1">
      <c r="C4" s="360" t="s">
        <v>128</v>
      </c>
      <c r="D4" s="362" t="s">
        <v>129</v>
      </c>
      <c r="E4" s="362" t="s">
        <v>130</v>
      </c>
      <c r="F4" s="364" t="s">
        <v>131</v>
      </c>
      <c r="G4" s="362" t="s">
        <v>132</v>
      </c>
      <c r="H4" s="366" t="s">
        <v>133</v>
      </c>
      <c r="I4" s="367"/>
      <c r="J4" s="358" t="s">
        <v>134</v>
      </c>
      <c r="K4" s="190"/>
    </row>
    <row r="5" spans="1:25" ht="20.100000000000001" customHeight="1" thickBot="1">
      <c r="C5" s="361"/>
      <c r="D5" s="363"/>
      <c r="E5" s="363"/>
      <c r="F5" s="365"/>
      <c r="G5" s="363"/>
      <c r="H5" s="2" t="s">
        <v>4</v>
      </c>
      <c r="I5" s="3" t="s">
        <v>0</v>
      </c>
      <c r="J5" s="359"/>
      <c r="K5" s="190"/>
    </row>
    <row r="6" spans="1:25" s="14" customFormat="1" ht="15.75" thickTop="1">
      <c r="C6" s="191" t="s">
        <v>135</v>
      </c>
      <c r="D6" s="192" t="s">
        <v>136</v>
      </c>
      <c r="E6" s="44"/>
      <c r="F6" s="47"/>
      <c r="G6" s="193"/>
      <c r="H6" s="194"/>
      <c r="I6" s="195"/>
      <c r="J6" s="45"/>
      <c r="K6" s="196"/>
      <c r="M6" s="197"/>
    </row>
    <row r="7" spans="1:25" s="14" customFormat="1">
      <c r="C7" s="191"/>
      <c r="D7" s="198" t="s">
        <v>137</v>
      </c>
      <c r="E7" s="44"/>
      <c r="F7" s="47" t="s">
        <v>138</v>
      </c>
      <c r="G7" s="193">
        <v>1</v>
      </c>
      <c r="H7" s="194">
        <f>1700000*2/3</f>
        <v>1133333.3333333333</v>
      </c>
      <c r="I7" s="195">
        <f>G7*H7</f>
        <v>1133333.3333333333</v>
      </c>
      <c r="J7" s="45"/>
      <c r="K7" s="196"/>
      <c r="M7" s="197"/>
    </row>
    <row r="8" spans="1:25" s="14" customFormat="1">
      <c r="C8" s="191"/>
      <c r="D8" s="198" t="s">
        <v>139</v>
      </c>
      <c r="E8" s="44"/>
      <c r="F8" s="47" t="s">
        <v>138</v>
      </c>
      <c r="G8" s="193">
        <v>1</v>
      </c>
      <c r="H8" s="194">
        <f>1700000*1/3</f>
        <v>566666.66666666663</v>
      </c>
      <c r="I8" s="195">
        <f>G8*H8</f>
        <v>566666.66666666663</v>
      </c>
      <c r="J8" s="45"/>
      <c r="K8" s="196"/>
      <c r="M8" s="197"/>
    </row>
    <row r="9" spans="1:25" s="14" customFormat="1">
      <c r="A9" s="14" t="s">
        <v>140</v>
      </c>
      <c r="C9" s="191"/>
      <c r="D9" s="192"/>
      <c r="E9" s="44"/>
      <c r="F9" s="47"/>
      <c r="G9" s="193"/>
      <c r="H9" s="194"/>
      <c r="I9" s="195">
        <f t="shared" ref="I9:I17" si="0">ROUND(H9*G9,)</f>
        <v>0</v>
      </c>
      <c r="J9" s="45"/>
      <c r="K9" s="196"/>
      <c r="M9" s="197"/>
    </row>
    <row r="10" spans="1:25" s="14" customFormat="1">
      <c r="C10" s="204" t="s">
        <v>141</v>
      </c>
      <c r="D10" s="205" t="s">
        <v>186</v>
      </c>
      <c r="E10" s="44"/>
      <c r="F10" s="47"/>
      <c r="G10" s="200"/>
      <c r="H10" s="201"/>
      <c r="I10" s="195">
        <f t="shared" si="0"/>
        <v>0</v>
      </c>
      <c r="J10" s="45"/>
      <c r="K10" s="196"/>
      <c r="M10" s="197"/>
    </row>
    <row r="11" spans="1:25" s="14" customFormat="1">
      <c r="C11" s="191"/>
      <c r="D11" s="206" t="s">
        <v>187</v>
      </c>
      <c r="E11" s="44"/>
      <c r="F11" s="47" t="s">
        <v>191</v>
      </c>
      <c r="G11" s="207">
        <v>350</v>
      </c>
      <c r="H11" s="201">
        <v>1500</v>
      </c>
      <c r="I11" s="195">
        <f t="shared" ref="I11:I12" si="1">G11*H11</f>
        <v>525000</v>
      </c>
      <c r="J11" s="45"/>
      <c r="K11" s="196"/>
      <c r="M11" s="197"/>
    </row>
    <row r="12" spans="1:25" s="14" customFormat="1">
      <c r="C12" s="191"/>
      <c r="D12" s="206" t="s">
        <v>197</v>
      </c>
      <c r="E12" s="44"/>
      <c r="F12" s="47" t="s">
        <v>191</v>
      </c>
      <c r="G12" s="207">
        <v>8</v>
      </c>
      <c r="H12" s="201">
        <v>4400</v>
      </c>
      <c r="I12" s="195">
        <f t="shared" si="1"/>
        <v>35200</v>
      </c>
      <c r="J12" s="45"/>
      <c r="K12" s="196"/>
      <c r="M12" s="197"/>
      <c r="W12" s="14">
        <f>G12*2</f>
        <v>16</v>
      </c>
    </row>
    <row r="13" spans="1:25" s="14" customFormat="1">
      <c r="C13" s="191"/>
      <c r="D13" s="206"/>
      <c r="E13" s="44"/>
      <c r="F13" s="47"/>
      <c r="G13" s="207"/>
      <c r="H13" s="201"/>
      <c r="I13" s="195"/>
      <c r="J13" s="45"/>
      <c r="K13" s="196"/>
      <c r="M13" s="197"/>
    </row>
    <row r="14" spans="1:25" s="14" customFormat="1">
      <c r="C14" s="204" t="s">
        <v>143</v>
      </c>
      <c r="D14" s="205" t="s">
        <v>188</v>
      </c>
      <c r="E14" s="44"/>
      <c r="F14" s="47"/>
      <c r="G14" s="208"/>
      <c r="H14" s="201"/>
      <c r="I14" s="195">
        <f t="shared" si="0"/>
        <v>0</v>
      </c>
      <c r="J14" s="45"/>
      <c r="K14" s="196"/>
      <c r="M14" s="197"/>
      <c r="Y14" s="209"/>
    </row>
    <row r="15" spans="1:25" s="14" customFormat="1">
      <c r="C15" s="191"/>
      <c r="D15" s="206" t="s">
        <v>189</v>
      </c>
      <c r="E15" s="44"/>
      <c r="F15" s="47" t="s">
        <v>192</v>
      </c>
      <c r="G15" s="207">
        <v>1920</v>
      </c>
      <c r="H15" s="201">
        <v>1250</v>
      </c>
      <c r="I15" s="195">
        <f t="shared" ref="I15:I16" si="2">G15*H15</f>
        <v>2400000</v>
      </c>
      <c r="J15" s="45"/>
      <c r="K15" s="196"/>
      <c r="M15" s="197"/>
    </row>
    <row r="16" spans="1:25" s="14" customFormat="1">
      <c r="C16" s="191"/>
      <c r="D16" s="206" t="s">
        <v>190</v>
      </c>
      <c r="E16" s="44"/>
      <c r="F16" s="47" t="s">
        <v>191</v>
      </c>
      <c r="G16" s="207">
        <v>700</v>
      </c>
      <c r="H16" s="201">
        <v>475</v>
      </c>
      <c r="I16" s="195">
        <f t="shared" si="2"/>
        <v>332500</v>
      </c>
      <c r="J16" s="45"/>
      <c r="K16" s="196"/>
      <c r="M16" s="197"/>
    </row>
    <row r="17" spans="3:19" s="14" customFormat="1">
      <c r="C17" s="191"/>
      <c r="D17" s="199"/>
      <c r="E17" s="44"/>
      <c r="F17" s="47"/>
      <c r="G17" s="200"/>
      <c r="H17" s="201"/>
      <c r="I17" s="195">
        <f t="shared" si="0"/>
        <v>0</v>
      </c>
      <c r="J17" s="202"/>
      <c r="K17" s="203"/>
      <c r="M17" s="197"/>
    </row>
    <row r="18" spans="3:19" s="14" customFormat="1">
      <c r="C18" s="210"/>
      <c r="D18" s="211" t="s">
        <v>144</v>
      </c>
      <c r="E18" s="212"/>
      <c r="F18" s="213"/>
      <c r="G18" s="214"/>
      <c r="H18" s="215"/>
      <c r="I18" s="216">
        <f>SUM(I7:I16)</f>
        <v>4992700</v>
      </c>
      <c r="J18" s="217"/>
      <c r="K18" s="196"/>
      <c r="M18" s="197"/>
    </row>
    <row r="19" spans="3:19" s="14" customFormat="1" ht="7.5" customHeight="1">
      <c r="C19" s="218"/>
      <c r="D19" s="219"/>
      <c r="E19" s="48"/>
      <c r="F19" s="220"/>
      <c r="G19" s="221"/>
      <c r="H19" s="222"/>
      <c r="I19" s="223"/>
      <c r="J19" s="49"/>
      <c r="K19" s="196"/>
      <c r="M19" s="197"/>
    </row>
    <row r="20" spans="3:19">
      <c r="C20" s="14" t="s">
        <v>145</v>
      </c>
    </row>
    <row r="21" spans="3:19">
      <c r="C21" s="14" t="s">
        <v>146</v>
      </c>
    </row>
    <row r="22" spans="3:19">
      <c r="C22" s="14" t="s">
        <v>147</v>
      </c>
      <c r="I22" s="224"/>
    </row>
    <row r="23" spans="3:19">
      <c r="C23" s="46" t="s">
        <v>148</v>
      </c>
      <c r="E23" s="225">
        <v>1.109</v>
      </c>
      <c r="F23" s="46" t="s">
        <v>149</v>
      </c>
    </row>
    <row r="24" spans="3:19">
      <c r="C24" s="46" t="s">
        <v>150</v>
      </c>
      <c r="E24" s="225">
        <v>0.46700000000000003</v>
      </c>
      <c r="F24" s="46" t="s">
        <v>149</v>
      </c>
      <c r="L24" s="46" t="s">
        <v>151</v>
      </c>
      <c r="M24" s="226">
        <f>18.2*2+75.6</f>
        <v>112</v>
      </c>
      <c r="N24" s="226">
        <f>18.2*2+84.9</f>
        <v>121.30000000000001</v>
      </c>
      <c r="S24" s="227">
        <f>ROUND(+N24*M24,2)</f>
        <v>13585.6</v>
      </c>
    </row>
    <row r="25" spans="3:19">
      <c r="C25" s="14" t="s">
        <v>152</v>
      </c>
      <c r="L25" s="46" t="s">
        <v>153</v>
      </c>
      <c r="M25" s="46">
        <v>75.599999999999994</v>
      </c>
      <c r="N25" s="46">
        <v>84.9</v>
      </c>
      <c r="S25" s="228">
        <f>ROUND(+N25*M25,2)</f>
        <v>6418.44</v>
      </c>
    </row>
    <row r="26" spans="3:19">
      <c r="C26" s="14" t="s">
        <v>154</v>
      </c>
      <c r="L26" s="46" t="s">
        <v>142</v>
      </c>
      <c r="S26" s="228">
        <f>+S24-S25</f>
        <v>7167.1600000000008</v>
      </c>
    </row>
    <row r="27" spans="3:19">
      <c r="L27" s="46" t="s">
        <v>155</v>
      </c>
      <c r="M27" s="46">
        <v>5</v>
      </c>
      <c r="N27" s="46">
        <f>2.5+2+2.5+5</f>
        <v>12</v>
      </c>
      <c r="O27" s="46">
        <v>2</v>
      </c>
      <c r="P27" s="46">
        <f>+O27*N27*M27</f>
        <v>120</v>
      </c>
      <c r="Q27" s="46">
        <f>+P27+P28</f>
        <v>155</v>
      </c>
      <c r="R27" s="46">
        <v>4</v>
      </c>
      <c r="S27" s="228">
        <f>ROUND(+R27*Q27,2)</f>
        <v>620</v>
      </c>
    </row>
    <row r="28" spans="3:19">
      <c r="M28" s="46">
        <v>5</v>
      </c>
      <c r="N28" s="46">
        <f>2.5+2.5+2</f>
        <v>7</v>
      </c>
      <c r="P28" s="46">
        <f>+M28*N28</f>
        <v>35</v>
      </c>
    </row>
    <row r="31" spans="3:19" ht="26.25">
      <c r="C31" s="1"/>
    </row>
  </sheetData>
  <mergeCells count="7">
    <mergeCell ref="J4:J5"/>
    <mergeCell ref="C4:C5"/>
    <mergeCell ref="D4:D5"/>
    <mergeCell ref="E4:E5"/>
    <mergeCell ref="F4:F5"/>
    <mergeCell ref="G4:G5"/>
    <mergeCell ref="H4:I4"/>
  </mergeCells>
  <printOptions horizontalCentered="1"/>
  <pageMargins left="0.31496062992125984" right="0.31496062992125984" top="0.55118110236220474" bottom="0.15748031496062992" header="0" footer="0"/>
  <pageSetup paperSize="9" scale="5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  <pageSetUpPr fitToPage="1"/>
  </sheetPr>
  <dimension ref="B2:AK32"/>
  <sheetViews>
    <sheetView zoomScale="55" zoomScaleNormal="55" workbookViewId="0">
      <selection activeCell="AG24" sqref="AG24"/>
    </sheetView>
  </sheetViews>
  <sheetFormatPr defaultRowHeight="13.5"/>
  <cols>
    <col min="1" max="1" width="4.375" style="242" customWidth="1"/>
    <col min="2" max="5" width="9" style="242"/>
    <col min="6" max="7" width="0" style="242" hidden="1" customWidth="1"/>
    <col min="8" max="8" width="9.375" style="242" hidden="1" customWidth="1"/>
    <col min="9" max="9" width="9.125" style="242" customWidth="1"/>
    <col min="10" max="37" width="7.625" style="242" customWidth="1"/>
    <col min="38" max="16384" width="9" style="242"/>
  </cols>
  <sheetData>
    <row r="2" spans="2:37" ht="19.5" thickBot="1">
      <c r="B2" s="241"/>
    </row>
    <row r="3" spans="2:37" ht="15.75" customHeight="1" thickBot="1">
      <c r="B3" s="243"/>
      <c r="J3" s="374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28"/>
    </row>
    <row r="4" spans="2:37">
      <c r="B4" s="376" t="s">
        <v>172</v>
      </c>
      <c r="C4" s="378" t="s">
        <v>173</v>
      </c>
      <c r="D4" s="379"/>
      <c r="E4" s="379"/>
      <c r="F4" s="379"/>
      <c r="G4" s="379"/>
      <c r="H4" s="379"/>
      <c r="I4" s="381" t="s">
        <v>174</v>
      </c>
      <c r="J4" s="334"/>
      <c r="K4" s="329"/>
      <c r="L4" s="329"/>
      <c r="M4" s="245"/>
      <c r="N4" s="244"/>
      <c r="O4" s="329"/>
      <c r="P4" s="329"/>
      <c r="Q4" s="245"/>
      <c r="R4" s="244"/>
      <c r="S4" s="329"/>
      <c r="T4" s="329"/>
      <c r="U4" s="245"/>
      <c r="V4" s="329"/>
      <c r="W4" s="329"/>
      <c r="X4" s="329"/>
      <c r="Y4" s="329"/>
      <c r="Z4" s="244"/>
      <c r="AA4" s="329"/>
      <c r="AB4" s="329"/>
      <c r="AC4" s="245"/>
      <c r="AD4" s="329"/>
      <c r="AE4" s="329"/>
      <c r="AF4" s="329"/>
      <c r="AG4" s="329"/>
      <c r="AH4" s="329"/>
      <c r="AI4" s="329"/>
      <c r="AJ4" s="329"/>
      <c r="AK4" s="246"/>
    </row>
    <row r="5" spans="2:37" ht="14.25" customHeight="1" thickBot="1">
      <c r="B5" s="377"/>
      <c r="C5" s="380"/>
      <c r="D5" s="371"/>
      <c r="E5" s="371"/>
      <c r="F5" s="371"/>
      <c r="G5" s="371"/>
      <c r="H5" s="371"/>
      <c r="I5" s="382"/>
      <c r="J5" s="373">
        <v>1</v>
      </c>
      <c r="K5" s="371"/>
      <c r="L5" s="371"/>
      <c r="M5" s="372"/>
      <c r="N5" s="370">
        <v>2</v>
      </c>
      <c r="O5" s="371"/>
      <c r="P5" s="371"/>
      <c r="Q5" s="372"/>
      <c r="R5" s="370">
        <v>3</v>
      </c>
      <c r="S5" s="371"/>
      <c r="T5" s="371"/>
      <c r="U5" s="372"/>
      <c r="V5" s="370">
        <v>4</v>
      </c>
      <c r="W5" s="371"/>
      <c r="X5" s="371"/>
      <c r="Y5" s="372"/>
      <c r="Z5" s="370">
        <v>5</v>
      </c>
      <c r="AA5" s="371"/>
      <c r="AB5" s="371"/>
      <c r="AC5" s="372"/>
      <c r="AD5" s="370">
        <v>6</v>
      </c>
      <c r="AE5" s="371"/>
      <c r="AF5" s="371"/>
      <c r="AG5" s="372"/>
      <c r="AH5" s="370">
        <v>7</v>
      </c>
      <c r="AI5" s="371"/>
      <c r="AJ5" s="371"/>
      <c r="AK5" s="330"/>
    </row>
    <row r="6" spans="2:37" ht="15" customHeight="1" thickTop="1">
      <c r="B6" s="247"/>
      <c r="C6" s="248"/>
      <c r="D6" s="249"/>
      <c r="E6" s="248"/>
      <c r="F6" s="248"/>
      <c r="G6" s="248"/>
      <c r="H6" s="248"/>
      <c r="I6" s="248"/>
      <c r="J6" s="250" t="s">
        <v>168</v>
      </c>
      <c r="K6" s="252" t="s">
        <v>169</v>
      </c>
      <c r="L6" s="252" t="s">
        <v>170</v>
      </c>
      <c r="M6" s="251" t="s">
        <v>171</v>
      </c>
      <c r="N6" s="250" t="s">
        <v>168</v>
      </c>
      <c r="O6" s="252" t="s">
        <v>169</v>
      </c>
      <c r="P6" s="252" t="s">
        <v>170</v>
      </c>
      <c r="Q6" s="252" t="s">
        <v>171</v>
      </c>
      <c r="R6" s="340" t="s">
        <v>168</v>
      </c>
      <c r="S6" s="252" t="s">
        <v>169</v>
      </c>
      <c r="T6" s="252" t="s">
        <v>170</v>
      </c>
      <c r="U6" s="251" t="s">
        <v>171</v>
      </c>
      <c r="V6" s="250" t="s">
        <v>168</v>
      </c>
      <c r="W6" s="252" t="s">
        <v>169</v>
      </c>
      <c r="X6" s="252" t="s">
        <v>170</v>
      </c>
      <c r="Y6" s="251" t="s">
        <v>171</v>
      </c>
      <c r="Z6" s="250" t="s">
        <v>168</v>
      </c>
      <c r="AA6" s="252" t="s">
        <v>169</v>
      </c>
      <c r="AB6" s="252" t="s">
        <v>170</v>
      </c>
      <c r="AC6" s="251" t="s">
        <v>171</v>
      </c>
      <c r="AD6" s="250" t="s">
        <v>168</v>
      </c>
      <c r="AE6" s="252" t="s">
        <v>169</v>
      </c>
      <c r="AF6" s="252" t="s">
        <v>170</v>
      </c>
      <c r="AG6" s="253" t="s">
        <v>171</v>
      </c>
      <c r="AH6" s="250" t="s">
        <v>168</v>
      </c>
      <c r="AI6" s="252" t="s">
        <v>169</v>
      </c>
      <c r="AJ6" s="252" t="s">
        <v>170</v>
      </c>
      <c r="AK6" s="253" t="s">
        <v>171</v>
      </c>
    </row>
    <row r="7" spans="2:37" ht="15">
      <c r="B7" s="368" t="str">
        <f>'2.BOQ'!D7</f>
        <v>Mobilization</v>
      </c>
      <c r="C7" s="369"/>
      <c r="D7" s="369"/>
      <c r="E7" s="369"/>
      <c r="F7" s="254"/>
      <c r="G7" s="254"/>
      <c r="H7" s="254"/>
      <c r="I7" s="332">
        <v>1</v>
      </c>
      <c r="J7" s="338"/>
      <c r="K7" s="268"/>
      <c r="L7" s="268"/>
      <c r="M7" s="268"/>
      <c r="N7" s="268"/>
      <c r="O7" s="268"/>
      <c r="P7" s="268"/>
      <c r="Q7" s="268"/>
      <c r="R7" s="341"/>
      <c r="S7" s="256"/>
      <c r="T7" s="256"/>
      <c r="U7" s="257"/>
      <c r="V7" s="258"/>
      <c r="W7" s="256"/>
      <c r="X7" s="256"/>
      <c r="Y7" s="256"/>
      <c r="Z7" s="259"/>
      <c r="AA7" s="256"/>
      <c r="AB7" s="256"/>
      <c r="AC7" s="257"/>
      <c r="AD7" s="256"/>
      <c r="AE7" s="256"/>
      <c r="AF7" s="256"/>
      <c r="AG7" s="256"/>
      <c r="AH7" s="258"/>
      <c r="AI7" s="256"/>
      <c r="AJ7" s="256"/>
      <c r="AK7" s="260"/>
    </row>
    <row r="8" spans="2:37">
      <c r="B8" s="261"/>
      <c r="C8" s="254"/>
      <c r="D8" s="255"/>
      <c r="E8" s="254"/>
      <c r="F8" s="254"/>
      <c r="G8" s="254"/>
      <c r="H8" s="254"/>
      <c r="I8" s="262"/>
      <c r="J8" s="335"/>
      <c r="K8" s="263"/>
      <c r="L8" s="263"/>
      <c r="M8" s="263"/>
      <c r="N8" s="264"/>
      <c r="O8" s="263"/>
      <c r="P8" s="263"/>
      <c r="Q8" s="263"/>
      <c r="R8" s="342"/>
      <c r="S8" s="263"/>
      <c r="T8" s="263"/>
      <c r="U8" s="265"/>
      <c r="V8" s="266"/>
      <c r="W8" s="267"/>
      <c r="X8" s="267"/>
      <c r="Y8"/>
      <c r="Z8"/>
      <c r="AA8"/>
      <c r="AB8"/>
      <c r="AC8"/>
      <c r="AD8"/>
      <c r="AE8"/>
      <c r="AF8"/>
      <c r="AG8"/>
      <c r="AH8"/>
      <c r="AI8"/>
      <c r="AJ8"/>
      <c r="AK8" s="271"/>
    </row>
    <row r="9" spans="2:37" ht="15">
      <c r="B9" s="368" t="s">
        <v>198</v>
      </c>
      <c r="C9" s="369"/>
      <c r="D9" s="369"/>
      <c r="E9" s="369"/>
      <c r="F9" s="272"/>
      <c r="G9" s="272"/>
      <c r="H9" s="272"/>
      <c r="I9" s="333">
        <v>1</v>
      </c>
      <c r="J9" s="336"/>
      <c r="K9" s="273"/>
      <c r="L9" s="273"/>
      <c r="M9" s="273"/>
      <c r="N9" s="274"/>
      <c r="O9" s="273"/>
      <c r="P9" s="273"/>
      <c r="Q9" s="273"/>
      <c r="R9" s="338"/>
      <c r="S9" s="268"/>
      <c r="T9" s="268"/>
      <c r="U9" s="268"/>
      <c r="V9" s="338"/>
      <c r="W9" s="268"/>
      <c r="X9" s="268"/>
      <c r="Y9" s="268"/>
      <c r="Z9" s="338"/>
      <c r="AA9" s="268"/>
      <c r="AB9" s="268"/>
      <c r="AC9" s="268"/>
      <c r="AD9"/>
      <c r="AE9"/>
      <c r="AF9"/>
      <c r="AG9"/>
      <c r="AH9" s="275"/>
      <c r="AI9" s="273"/>
      <c r="AJ9" s="273"/>
      <c r="AK9" s="276"/>
    </row>
    <row r="10" spans="2:37" ht="15">
      <c r="B10" s="368" t="s">
        <v>195</v>
      </c>
      <c r="C10" s="369"/>
      <c r="D10" s="369"/>
      <c r="E10" s="369"/>
      <c r="F10" s="254"/>
      <c r="G10" s="254"/>
      <c r="H10" s="254"/>
      <c r="I10" s="277">
        <v>1</v>
      </c>
      <c r="J10" s="337"/>
      <c r="K10" s="269"/>
      <c r="L10" s="269"/>
      <c r="M10" s="269"/>
      <c r="N10" s="270"/>
      <c r="O10" s="269"/>
      <c r="P10" s="269"/>
      <c r="Q10" s="269"/>
      <c r="R10" s="343"/>
      <c r="S10" s="269"/>
      <c r="T10" s="269"/>
      <c r="U10" s="278"/>
      <c r="V10" s="279"/>
      <c r="W10" s="269"/>
      <c r="X10" s="269"/>
      <c r="Y10" s="269"/>
      <c r="Z10" s="270"/>
      <c r="AA10" s="269"/>
      <c r="AB10" s="269"/>
      <c r="AC10" s="278"/>
      <c r="AD10" s="268"/>
      <c r="AE10" s="269"/>
      <c r="AF10" s="269"/>
      <c r="AG10" s="269"/>
      <c r="AH10"/>
      <c r="AI10" s="269"/>
      <c r="AJ10" s="269"/>
      <c r="AK10" s="271"/>
    </row>
    <row r="11" spans="2:37" ht="15">
      <c r="B11" s="368" t="s">
        <v>196</v>
      </c>
      <c r="C11" s="369"/>
      <c r="D11" s="369"/>
      <c r="E11" s="369"/>
      <c r="F11" s="255"/>
      <c r="G11" s="255"/>
      <c r="H11" s="255"/>
      <c r="I11" s="277">
        <v>1</v>
      </c>
      <c r="J11" s="337"/>
      <c r="K11" s="269"/>
      <c r="L11" s="269"/>
      <c r="M11" s="269"/>
      <c r="N11" s="270"/>
      <c r="O11" s="269"/>
      <c r="P11" s="269"/>
      <c r="Q11" s="269"/>
      <c r="R11" s="343"/>
      <c r="S11" s="269"/>
      <c r="T11" s="269"/>
      <c r="U11" s="278"/>
      <c r="V11" s="279"/>
      <c r="W11" s="269"/>
      <c r="X11" s="269"/>
      <c r="Y11" s="269"/>
      <c r="Z11" s="270"/>
      <c r="AA11" s="269"/>
      <c r="AB11" s="269"/>
      <c r="AC11" s="278"/>
      <c r="AD11" s="269"/>
      <c r="AE11" s="268"/>
      <c r="AF11" s="268"/>
      <c r="AG11" s="268"/>
      <c r="AH11" s="268"/>
      <c r="AI11" s="268"/>
      <c r="AJ11" s="269"/>
      <c r="AK11" s="271"/>
    </row>
    <row r="12" spans="2:37" ht="14.25" thickBot="1">
      <c r="B12" s="280"/>
      <c r="C12" s="281"/>
      <c r="D12" s="284"/>
      <c r="E12" s="285"/>
      <c r="F12" s="285"/>
      <c r="G12" s="284"/>
      <c r="H12" s="284"/>
      <c r="I12" s="286"/>
      <c r="J12" s="339"/>
      <c r="K12" s="282"/>
      <c r="L12" s="282"/>
      <c r="M12" s="282"/>
      <c r="N12" s="283"/>
      <c r="O12" s="282"/>
      <c r="P12" s="282"/>
      <c r="Q12" s="282"/>
      <c r="R12" s="344"/>
      <c r="S12" s="282"/>
      <c r="T12" s="282"/>
      <c r="U12" s="287"/>
      <c r="V12" s="288"/>
      <c r="W12" s="282"/>
      <c r="X12" s="282"/>
      <c r="Y12" s="282"/>
      <c r="Z12" s="283"/>
      <c r="AA12" s="282"/>
      <c r="AB12" s="282"/>
      <c r="AC12" s="287"/>
      <c r="AD12" s="282"/>
      <c r="AE12" s="282"/>
      <c r="AF12" s="282"/>
      <c r="AG12" s="282"/>
      <c r="AH12" s="288"/>
      <c r="AI12" s="282"/>
      <c r="AJ12" s="282"/>
      <c r="AK12" s="289"/>
    </row>
    <row r="32" spans="32:36">
      <c r="AF32" s="269"/>
      <c r="AG32" s="269"/>
      <c r="AH32" s="269"/>
      <c r="AI32" s="279"/>
      <c r="AJ32" s="269"/>
    </row>
  </sheetData>
  <mergeCells count="15">
    <mergeCell ref="V5:Y5"/>
    <mergeCell ref="Z5:AC5"/>
    <mergeCell ref="N5:Q5"/>
    <mergeCell ref="J5:M5"/>
    <mergeCell ref="J3:AJ3"/>
    <mergeCell ref="AH5:AJ5"/>
    <mergeCell ref="AD5:AG5"/>
    <mergeCell ref="B7:E7"/>
    <mergeCell ref="B9:E9"/>
    <mergeCell ref="B10:E10"/>
    <mergeCell ref="B11:E11"/>
    <mergeCell ref="R5:U5"/>
    <mergeCell ref="B4:B5"/>
    <mergeCell ref="C4:H5"/>
    <mergeCell ref="I4:I5"/>
  </mergeCells>
  <pageMargins left="0.25" right="0.25" top="0.75" bottom="0.75" header="0.3" footer="0.3"/>
  <pageSetup paperSize="8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  <pageSetUpPr fitToPage="1"/>
  </sheetPr>
  <dimension ref="B1:AC40"/>
  <sheetViews>
    <sheetView showGridLines="0" zoomScale="75" zoomScaleNormal="75" workbookViewId="0">
      <selection activeCell="S45" sqref="S45"/>
    </sheetView>
  </sheetViews>
  <sheetFormatPr defaultColWidth="10" defaultRowHeight="15" customHeight="1"/>
  <cols>
    <col min="1" max="1" width="1.5" style="16" customWidth="1"/>
    <col min="2" max="2" width="4.25" style="16" customWidth="1"/>
    <col min="3" max="3" width="41.5" style="16" bestFit="1" customWidth="1"/>
    <col min="4" max="15" width="3.75" style="16" customWidth="1"/>
    <col min="16" max="16" width="12.5" style="16" customWidth="1"/>
    <col min="17" max="17" width="9.875" style="16" customWidth="1"/>
    <col min="18" max="19" width="11" style="16" customWidth="1"/>
    <col min="20" max="20" width="1.5" style="16" customWidth="1"/>
    <col min="21" max="21" width="10" style="16"/>
    <col min="22" max="22" width="10.625" style="16" bestFit="1" customWidth="1"/>
    <col min="23" max="23" width="10.375" style="16" customWidth="1"/>
    <col min="24" max="25" width="11.625" style="16" bestFit="1" customWidth="1"/>
    <col min="26" max="234" width="10" style="16"/>
    <col min="235" max="235" width="4.25" style="16" customWidth="1"/>
    <col min="236" max="236" width="28.25" style="16" customWidth="1"/>
    <col min="237" max="256" width="3.75" style="16" customWidth="1"/>
    <col min="257" max="257" width="12.5" style="16" customWidth="1"/>
    <col min="258" max="258" width="9.875" style="16" customWidth="1"/>
    <col min="259" max="260" width="11" style="16" customWidth="1"/>
    <col min="261" max="490" width="10" style="16"/>
    <col min="491" max="491" width="4.25" style="16" customWidth="1"/>
    <col min="492" max="492" width="28.25" style="16" customWidth="1"/>
    <col min="493" max="512" width="3.75" style="16" customWidth="1"/>
    <col min="513" max="513" width="12.5" style="16" customWidth="1"/>
    <col min="514" max="514" width="9.875" style="16" customWidth="1"/>
    <col min="515" max="516" width="11" style="16" customWidth="1"/>
    <col min="517" max="746" width="10" style="16"/>
    <col min="747" max="747" width="4.25" style="16" customWidth="1"/>
    <col min="748" max="748" width="28.25" style="16" customWidth="1"/>
    <col min="749" max="768" width="3.75" style="16" customWidth="1"/>
    <col min="769" max="769" width="12.5" style="16" customWidth="1"/>
    <col min="770" max="770" width="9.875" style="16" customWidth="1"/>
    <col min="771" max="772" width="11" style="16" customWidth="1"/>
    <col min="773" max="1002" width="10" style="16"/>
    <col min="1003" max="1003" width="4.25" style="16" customWidth="1"/>
    <col min="1004" max="1004" width="28.25" style="16" customWidth="1"/>
    <col min="1005" max="1024" width="3.75" style="16" customWidth="1"/>
    <col min="1025" max="1025" width="12.5" style="16" customWidth="1"/>
    <col min="1026" max="1026" width="9.875" style="16" customWidth="1"/>
    <col min="1027" max="1028" width="11" style="16" customWidth="1"/>
    <col min="1029" max="1258" width="10" style="16"/>
    <col min="1259" max="1259" width="4.25" style="16" customWidth="1"/>
    <col min="1260" max="1260" width="28.25" style="16" customWidth="1"/>
    <col min="1261" max="1280" width="3.75" style="16" customWidth="1"/>
    <col min="1281" max="1281" width="12.5" style="16" customWidth="1"/>
    <col min="1282" max="1282" width="9.875" style="16" customWidth="1"/>
    <col min="1283" max="1284" width="11" style="16" customWidth="1"/>
    <col min="1285" max="1514" width="10" style="16"/>
    <col min="1515" max="1515" width="4.25" style="16" customWidth="1"/>
    <col min="1516" max="1516" width="28.25" style="16" customWidth="1"/>
    <col min="1517" max="1536" width="3.75" style="16" customWidth="1"/>
    <col min="1537" max="1537" width="12.5" style="16" customWidth="1"/>
    <col min="1538" max="1538" width="9.875" style="16" customWidth="1"/>
    <col min="1539" max="1540" width="11" style="16" customWidth="1"/>
    <col min="1541" max="1770" width="10" style="16"/>
    <col min="1771" max="1771" width="4.25" style="16" customWidth="1"/>
    <col min="1772" max="1772" width="28.25" style="16" customWidth="1"/>
    <col min="1773" max="1792" width="3.75" style="16" customWidth="1"/>
    <col min="1793" max="1793" width="12.5" style="16" customWidth="1"/>
    <col min="1794" max="1794" width="9.875" style="16" customWidth="1"/>
    <col min="1795" max="1796" width="11" style="16" customWidth="1"/>
    <col min="1797" max="2026" width="10" style="16"/>
    <col min="2027" max="2027" width="4.25" style="16" customWidth="1"/>
    <col min="2028" max="2028" width="28.25" style="16" customWidth="1"/>
    <col min="2029" max="2048" width="3.75" style="16" customWidth="1"/>
    <col min="2049" max="2049" width="12.5" style="16" customWidth="1"/>
    <col min="2050" max="2050" width="9.875" style="16" customWidth="1"/>
    <col min="2051" max="2052" width="11" style="16" customWidth="1"/>
    <col min="2053" max="2282" width="10" style="16"/>
    <col min="2283" max="2283" width="4.25" style="16" customWidth="1"/>
    <col min="2284" max="2284" width="28.25" style="16" customWidth="1"/>
    <col min="2285" max="2304" width="3.75" style="16" customWidth="1"/>
    <col min="2305" max="2305" width="12.5" style="16" customWidth="1"/>
    <col min="2306" max="2306" width="9.875" style="16" customWidth="1"/>
    <col min="2307" max="2308" width="11" style="16" customWidth="1"/>
    <col min="2309" max="2538" width="10" style="16"/>
    <col min="2539" max="2539" width="4.25" style="16" customWidth="1"/>
    <col min="2540" max="2540" width="28.25" style="16" customWidth="1"/>
    <col min="2541" max="2560" width="3.75" style="16" customWidth="1"/>
    <col min="2561" max="2561" width="12.5" style="16" customWidth="1"/>
    <col min="2562" max="2562" width="9.875" style="16" customWidth="1"/>
    <col min="2563" max="2564" width="11" style="16" customWidth="1"/>
    <col min="2565" max="2794" width="10" style="16"/>
    <col min="2795" max="2795" width="4.25" style="16" customWidth="1"/>
    <col min="2796" max="2796" width="28.25" style="16" customWidth="1"/>
    <col min="2797" max="2816" width="3.75" style="16" customWidth="1"/>
    <col min="2817" max="2817" width="12.5" style="16" customWidth="1"/>
    <col min="2818" max="2818" width="9.875" style="16" customWidth="1"/>
    <col min="2819" max="2820" width="11" style="16" customWidth="1"/>
    <col min="2821" max="3050" width="10" style="16"/>
    <col min="3051" max="3051" width="4.25" style="16" customWidth="1"/>
    <col min="3052" max="3052" width="28.25" style="16" customWidth="1"/>
    <col min="3053" max="3072" width="3.75" style="16" customWidth="1"/>
    <col min="3073" max="3073" width="12.5" style="16" customWidth="1"/>
    <col min="3074" max="3074" width="9.875" style="16" customWidth="1"/>
    <col min="3075" max="3076" width="11" style="16" customWidth="1"/>
    <col min="3077" max="3306" width="10" style="16"/>
    <col min="3307" max="3307" width="4.25" style="16" customWidth="1"/>
    <col min="3308" max="3308" width="28.25" style="16" customWidth="1"/>
    <col min="3309" max="3328" width="3.75" style="16" customWidth="1"/>
    <col min="3329" max="3329" width="12.5" style="16" customWidth="1"/>
    <col min="3330" max="3330" width="9.875" style="16" customWidth="1"/>
    <col min="3331" max="3332" width="11" style="16" customWidth="1"/>
    <col min="3333" max="3562" width="10" style="16"/>
    <col min="3563" max="3563" width="4.25" style="16" customWidth="1"/>
    <col min="3564" max="3564" width="28.25" style="16" customWidth="1"/>
    <col min="3565" max="3584" width="3.75" style="16" customWidth="1"/>
    <col min="3585" max="3585" width="12.5" style="16" customWidth="1"/>
    <col min="3586" max="3586" width="9.875" style="16" customWidth="1"/>
    <col min="3587" max="3588" width="11" style="16" customWidth="1"/>
    <col min="3589" max="3818" width="10" style="16"/>
    <col min="3819" max="3819" width="4.25" style="16" customWidth="1"/>
    <col min="3820" max="3820" width="28.25" style="16" customWidth="1"/>
    <col min="3821" max="3840" width="3.75" style="16" customWidth="1"/>
    <col min="3841" max="3841" width="12.5" style="16" customWidth="1"/>
    <col min="3842" max="3842" width="9.875" style="16" customWidth="1"/>
    <col min="3843" max="3844" width="11" style="16" customWidth="1"/>
    <col min="3845" max="4074" width="10" style="16"/>
    <col min="4075" max="4075" width="4.25" style="16" customWidth="1"/>
    <col min="4076" max="4076" width="28.25" style="16" customWidth="1"/>
    <col min="4077" max="4096" width="3.75" style="16" customWidth="1"/>
    <col min="4097" max="4097" width="12.5" style="16" customWidth="1"/>
    <col min="4098" max="4098" width="9.875" style="16" customWidth="1"/>
    <col min="4099" max="4100" width="11" style="16" customWidth="1"/>
    <col min="4101" max="4330" width="10" style="16"/>
    <col min="4331" max="4331" width="4.25" style="16" customWidth="1"/>
    <col min="4332" max="4332" width="28.25" style="16" customWidth="1"/>
    <col min="4333" max="4352" width="3.75" style="16" customWidth="1"/>
    <col min="4353" max="4353" width="12.5" style="16" customWidth="1"/>
    <col min="4354" max="4354" width="9.875" style="16" customWidth="1"/>
    <col min="4355" max="4356" width="11" style="16" customWidth="1"/>
    <col min="4357" max="4586" width="10" style="16"/>
    <col min="4587" max="4587" width="4.25" style="16" customWidth="1"/>
    <col min="4588" max="4588" width="28.25" style="16" customWidth="1"/>
    <col min="4589" max="4608" width="3.75" style="16" customWidth="1"/>
    <col min="4609" max="4609" width="12.5" style="16" customWidth="1"/>
    <col min="4610" max="4610" width="9.875" style="16" customWidth="1"/>
    <col min="4611" max="4612" width="11" style="16" customWidth="1"/>
    <col min="4613" max="4842" width="10" style="16"/>
    <col min="4843" max="4843" width="4.25" style="16" customWidth="1"/>
    <col min="4844" max="4844" width="28.25" style="16" customWidth="1"/>
    <col min="4845" max="4864" width="3.75" style="16" customWidth="1"/>
    <col min="4865" max="4865" width="12.5" style="16" customWidth="1"/>
    <col min="4866" max="4866" width="9.875" style="16" customWidth="1"/>
    <col min="4867" max="4868" width="11" style="16" customWidth="1"/>
    <col min="4869" max="5098" width="10" style="16"/>
    <col min="5099" max="5099" width="4.25" style="16" customWidth="1"/>
    <col min="5100" max="5100" width="28.25" style="16" customWidth="1"/>
    <col min="5101" max="5120" width="3.75" style="16" customWidth="1"/>
    <col min="5121" max="5121" width="12.5" style="16" customWidth="1"/>
    <col min="5122" max="5122" width="9.875" style="16" customWidth="1"/>
    <col min="5123" max="5124" width="11" style="16" customWidth="1"/>
    <col min="5125" max="5354" width="10" style="16"/>
    <col min="5355" max="5355" width="4.25" style="16" customWidth="1"/>
    <col min="5356" max="5356" width="28.25" style="16" customWidth="1"/>
    <col min="5357" max="5376" width="3.75" style="16" customWidth="1"/>
    <col min="5377" max="5377" width="12.5" style="16" customWidth="1"/>
    <col min="5378" max="5378" width="9.875" style="16" customWidth="1"/>
    <col min="5379" max="5380" width="11" style="16" customWidth="1"/>
    <col min="5381" max="5610" width="10" style="16"/>
    <col min="5611" max="5611" width="4.25" style="16" customWidth="1"/>
    <col min="5612" max="5612" width="28.25" style="16" customWidth="1"/>
    <col min="5613" max="5632" width="3.75" style="16" customWidth="1"/>
    <col min="5633" max="5633" width="12.5" style="16" customWidth="1"/>
    <col min="5634" max="5634" width="9.875" style="16" customWidth="1"/>
    <col min="5635" max="5636" width="11" style="16" customWidth="1"/>
    <col min="5637" max="5866" width="10" style="16"/>
    <col min="5867" max="5867" width="4.25" style="16" customWidth="1"/>
    <col min="5868" max="5868" width="28.25" style="16" customWidth="1"/>
    <col min="5869" max="5888" width="3.75" style="16" customWidth="1"/>
    <col min="5889" max="5889" width="12.5" style="16" customWidth="1"/>
    <col min="5890" max="5890" width="9.875" style="16" customWidth="1"/>
    <col min="5891" max="5892" width="11" style="16" customWidth="1"/>
    <col min="5893" max="6122" width="10" style="16"/>
    <col min="6123" max="6123" width="4.25" style="16" customWidth="1"/>
    <col min="6124" max="6124" width="28.25" style="16" customWidth="1"/>
    <col min="6125" max="6144" width="3.75" style="16" customWidth="1"/>
    <col min="6145" max="6145" width="12.5" style="16" customWidth="1"/>
    <col min="6146" max="6146" width="9.875" style="16" customWidth="1"/>
    <col min="6147" max="6148" width="11" style="16" customWidth="1"/>
    <col min="6149" max="6378" width="10" style="16"/>
    <col min="6379" max="6379" width="4.25" style="16" customWidth="1"/>
    <col min="6380" max="6380" width="28.25" style="16" customWidth="1"/>
    <col min="6381" max="6400" width="3.75" style="16" customWidth="1"/>
    <col min="6401" max="6401" width="12.5" style="16" customWidth="1"/>
    <col min="6402" max="6402" width="9.875" style="16" customWidth="1"/>
    <col min="6403" max="6404" width="11" style="16" customWidth="1"/>
    <col min="6405" max="6634" width="10" style="16"/>
    <col min="6635" max="6635" width="4.25" style="16" customWidth="1"/>
    <col min="6636" max="6636" width="28.25" style="16" customWidth="1"/>
    <col min="6637" max="6656" width="3.75" style="16" customWidth="1"/>
    <col min="6657" max="6657" width="12.5" style="16" customWidth="1"/>
    <col min="6658" max="6658" width="9.875" style="16" customWidth="1"/>
    <col min="6659" max="6660" width="11" style="16" customWidth="1"/>
    <col min="6661" max="6890" width="10" style="16"/>
    <col min="6891" max="6891" width="4.25" style="16" customWidth="1"/>
    <col min="6892" max="6892" width="28.25" style="16" customWidth="1"/>
    <col min="6893" max="6912" width="3.75" style="16" customWidth="1"/>
    <col min="6913" max="6913" width="12.5" style="16" customWidth="1"/>
    <col min="6914" max="6914" width="9.875" style="16" customWidth="1"/>
    <col min="6915" max="6916" width="11" style="16" customWidth="1"/>
    <col min="6917" max="7146" width="10" style="16"/>
    <col min="7147" max="7147" width="4.25" style="16" customWidth="1"/>
    <col min="7148" max="7148" width="28.25" style="16" customWidth="1"/>
    <col min="7149" max="7168" width="3.75" style="16" customWidth="1"/>
    <col min="7169" max="7169" width="12.5" style="16" customWidth="1"/>
    <col min="7170" max="7170" width="9.875" style="16" customWidth="1"/>
    <col min="7171" max="7172" width="11" style="16" customWidth="1"/>
    <col min="7173" max="7402" width="10" style="16"/>
    <col min="7403" max="7403" width="4.25" style="16" customWidth="1"/>
    <col min="7404" max="7404" width="28.25" style="16" customWidth="1"/>
    <col min="7405" max="7424" width="3.75" style="16" customWidth="1"/>
    <col min="7425" max="7425" width="12.5" style="16" customWidth="1"/>
    <col min="7426" max="7426" width="9.875" style="16" customWidth="1"/>
    <col min="7427" max="7428" width="11" style="16" customWidth="1"/>
    <col min="7429" max="7658" width="10" style="16"/>
    <col min="7659" max="7659" width="4.25" style="16" customWidth="1"/>
    <col min="7660" max="7660" width="28.25" style="16" customWidth="1"/>
    <col min="7661" max="7680" width="3.75" style="16" customWidth="1"/>
    <col min="7681" max="7681" width="12.5" style="16" customWidth="1"/>
    <col min="7682" max="7682" width="9.875" style="16" customWidth="1"/>
    <col min="7683" max="7684" width="11" style="16" customWidth="1"/>
    <col min="7685" max="7914" width="10" style="16"/>
    <col min="7915" max="7915" width="4.25" style="16" customWidth="1"/>
    <col min="7916" max="7916" width="28.25" style="16" customWidth="1"/>
    <col min="7917" max="7936" width="3.75" style="16" customWidth="1"/>
    <col min="7937" max="7937" width="12.5" style="16" customWidth="1"/>
    <col min="7938" max="7938" width="9.875" style="16" customWidth="1"/>
    <col min="7939" max="7940" width="11" style="16" customWidth="1"/>
    <col min="7941" max="8170" width="10" style="16"/>
    <col min="8171" max="8171" width="4.25" style="16" customWidth="1"/>
    <col min="8172" max="8172" width="28.25" style="16" customWidth="1"/>
    <col min="8173" max="8192" width="3.75" style="16" customWidth="1"/>
    <col min="8193" max="8193" width="12.5" style="16" customWidth="1"/>
    <col min="8194" max="8194" width="9.875" style="16" customWidth="1"/>
    <col min="8195" max="8196" width="11" style="16" customWidth="1"/>
    <col min="8197" max="8426" width="10" style="16"/>
    <col min="8427" max="8427" width="4.25" style="16" customWidth="1"/>
    <col min="8428" max="8428" width="28.25" style="16" customWidth="1"/>
    <col min="8429" max="8448" width="3.75" style="16" customWidth="1"/>
    <col min="8449" max="8449" width="12.5" style="16" customWidth="1"/>
    <col min="8450" max="8450" width="9.875" style="16" customWidth="1"/>
    <col min="8451" max="8452" width="11" style="16" customWidth="1"/>
    <col min="8453" max="8682" width="10" style="16"/>
    <col min="8683" max="8683" width="4.25" style="16" customWidth="1"/>
    <col min="8684" max="8684" width="28.25" style="16" customWidth="1"/>
    <col min="8685" max="8704" width="3.75" style="16" customWidth="1"/>
    <col min="8705" max="8705" width="12.5" style="16" customWidth="1"/>
    <col min="8706" max="8706" width="9.875" style="16" customWidth="1"/>
    <col min="8707" max="8708" width="11" style="16" customWidth="1"/>
    <col min="8709" max="8938" width="10" style="16"/>
    <col min="8939" max="8939" width="4.25" style="16" customWidth="1"/>
    <col min="8940" max="8940" width="28.25" style="16" customWidth="1"/>
    <col min="8941" max="8960" width="3.75" style="16" customWidth="1"/>
    <col min="8961" max="8961" width="12.5" style="16" customWidth="1"/>
    <col min="8962" max="8962" width="9.875" style="16" customWidth="1"/>
    <col min="8963" max="8964" width="11" style="16" customWidth="1"/>
    <col min="8965" max="9194" width="10" style="16"/>
    <col min="9195" max="9195" width="4.25" style="16" customWidth="1"/>
    <col min="9196" max="9196" width="28.25" style="16" customWidth="1"/>
    <col min="9197" max="9216" width="3.75" style="16" customWidth="1"/>
    <col min="9217" max="9217" width="12.5" style="16" customWidth="1"/>
    <col min="9218" max="9218" width="9.875" style="16" customWidth="1"/>
    <col min="9219" max="9220" width="11" style="16" customWidth="1"/>
    <col min="9221" max="9450" width="10" style="16"/>
    <col min="9451" max="9451" width="4.25" style="16" customWidth="1"/>
    <col min="9452" max="9452" width="28.25" style="16" customWidth="1"/>
    <col min="9453" max="9472" width="3.75" style="16" customWidth="1"/>
    <col min="9473" max="9473" width="12.5" style="16" customWidth="1"/>
    <col min="9474" max="9474" width="9.875" style="16" customWidth="1"/>
    <col min="9475" max="9476" width="11" style="16" customWidth="1"/>
    <col min="9477" max="9706" width="10" style="16"/>
    <col min="9707" max="9707" width="4.25" style="16" customWidth="1"/>
    <col min="9708" max="9708" width="28.25" style="16" customWidth="1"/>
    <col min="9709" max="9728" width="3.75" style="16" customWidth="1"/>
    <col min="9729" max="9729" width="12.5" style="16" customWidth="1"/>
    <col min="9730" max="9730" width="9.875" style="16" customWidth="1"/>
    <col min="9731" max="9732" width="11" style="16" customWidth="1"/>
    <col min="9733" max="9962" width="10" style="16"/>
    <col min="9963" max="9963" width="4.25" style="16" customWidth="1"/>
    <col min="9964" max="9964" width="28.25" style="16" customWidth="1"/>
    <col min="9965" max="9984" width="3.75" style="16" customWidth="1"/>
    <col min="9985" max="9985" width="12.5" style="16" customWidth="1"/>
    <col min="9986" max="9986" width="9.875" style="16" customWidth="1"/>
    <col min="9987" max="9988" width="11" style="16" customWidth="1"/>
    <col min="9989" max="10218" width="10" style="16"/>
    <col min="10219" max="10219" width="4.25" style="16" customWidth="1"/>
    <col min="10220" max="10220" width="28.25" style="16" customWidth="1"/>
    <col min="10221" max="10240" width="3.75" style="16" customWidth="1"/>
    <col min="10241" max="10241" width="12.5" style="16" customWidth="1"/>
    <col min="10242" max="10242" width="9.875" style="16" customWidth="1"/>
    <col min="10243" max="10244" width="11" style="16" customWidth="1"/>
    <col min="10245" max="10474" width="10" style="16"/>
    <col min="10475" max="10475" width="4.25" style="16" customWidth="1"/>
    <col min="10476" max="10476" width="28.25" style="16" customWidth="1"/>
    <col min="10477" max="10496" width="3.75" style="16" customWidth="1"/>
    <col min="10497" max="10497" width="12.5" style="16" customWidth="1"/>
    <col min="10498" max="10498" width="9.875" style="16" customWidth="1"/>
    <col min="10499" max="10500" width="11" style="16" customWidth="1"/>
    <col min="10501" max="10730" width="10" style="16"/>
    <col min="10731" max="10731" width="4.25" style="16" customWidth="1"/>
    <col min="10732" max="10732" width="28.25" style="16" customWidth="1"/>
    <col min="10733" max="10752" width="3.75" style="16" customWidth="1"/>
    <col min="10753" max="10753" width="12.5" style="16" customWidth="1"/>
    <col min="10754" max="10754" width="9.875" style="16" customWidth="1"/>
    <col min="10755" max="10756" width="11" style="16" customWidth="1"/>
    <col min="10757" max="10986" width="10" style="16"/>
    <col min="10987" max="10987" width="4.25" style="16" customWidth="1"/>
    <col min="10988" max="10988" width="28.25" style="16" customWidth="1"/>
    <col min="10989" max="11008" width="3.75" style="16" customWidth="1"/>
    <col min="11009" max="11009" width="12.5" style="16" customWidth="1"/>
    <col min="11010" max="11010" width="9.875" style="16" customWidth="1"/>
    <col min="11011" max="11012" width="11" style="16" customWidth="1"/>
    <col min="11013" max="11242" width="10" style="16"/>
    <col min="11243" max="11243" width="4.25" style="16" customWidth="1"/>
    <col min="11244" max="11244" width="28.25" style="16" customWidth="1"/>
    <col min="11245" max="11264" width="3.75" style="16" customWidth="1"/>
    <col min="11265" max="11265" width="12.5" style="16" customWidth="1"/>
    <col min="11266" max="11266" width="9.875" style="16" customWidth="1"/>
    <col min="11267" max="11268" width="11" style="16" customWidth="1"/>
    <col min="11269" max="11498" width="10" style="16"/>
    <col min="11499" max="11499" width="4.25" style="16" customWidth="1"/>
    <col min="11500" max="11500" width="28.25" style="16" customWidth="1"/>
    <col min="11501" max="11520" width="3.75" style="16" customWidth="1"/>
    <col min="11521" max="11521" width="12.5" style="16" customWidth="1"/>
    <col min="11522" max="11522" width="9.875" style="16" customWidth="1"/>
    <col min="11523" max="11524" width="11" style="16" customWidth="1"/>
    <col min="11525" max="11754" width="10" style="16"/>
    <col min="11755" max="11755" width="4.25" style="16" customWidth="1"/>
    <col min="11756" max="11756" width="28.25" style="16" customWidth="1"/>
    <col min="11757" max="11776" width="3.75" style="16" customWidth="1"/>
    <col min="11777" max="11777" width="12.5" style="16" customWidth="1"/>
    <col min="11778" max="11778" width="9.875" style="16" customWidth="1"/>
    <col min="11779" max="11780" width="11" style="16" customWidth="1"/>
    <col min="11781" max="12010" width="10" style="16"/>
    <col min="12011" max="12011" width="4.25" style="16" customWidth="1"/>
    <col min="12012" max="12012" width="28.25" style="16" customWidth="1"/>
    <col min="12013" max="12032" width="3.75" style="16" customWidth="1"/>
    <col min="12033" max="12033" width="12.5" style="16" customWidth="1"/>
    <col min="12034" max="12034" width="9.875" style="16" customWidth="1"/>
    <col min="12035" max="12036" width="11" style="16" customWidth="1"/>
    <col min="12037" max="12266" width="10" style="16"/>
    <col min="12267" max="12267" width="4.25" style="16" customWidth="1"/>
    <col min="12268" max="12268" width="28.25" style="16" customWidth="1"/>
    <col min="12269" max="12288" width="3.75" style="16" customWidth="1"/>
    <col min="12289" max="12289" width="12.5" style="16" customWidth="1"/>
    <col min="12290" max="12290" width="9.875" style="16" customWidth="1"/>
    <col min="12291" max="12292" width="11" style="16" customWidth="1"/>
    <col min="12293" max="12522" width="10" style="16"/>
    <col min="12523" max="12523" width="4.25" style="16" customWidth="1"/>
    <col min="12524" max="12524" width="28.25" style="16" customWidth="1"/>
    <col min="12525" max="12544" width="3.75" style="16" customWidth="1"/>
    <col min="12545" max="12545" width="12.5" style="16" customWidth="1"/>
    <col min="12546" max="12546" width="9.875" style="16" customWidth="1"/>
    <col min="12547" max="12548" width="11" style="16" customWidth="1"/>
    <col min="12549" max="12778" width="10" style="16"/>
    <col min="12779" max="12779" width="4.25" style="16" customWidth="1"/>
    <col min="12780" max="12780" width="28.25" style="16" customWidth="1"/>
    <col min="12781" max="12800" width="3.75" style="16" customWidth="1"/>
    <col min="12801" max="12801" width="12.5" style="16" customWidth="1"/>
    <col min="12802" max="12802" width="9.875" style="16" customWidth="1"/>
    <col min="12803" max="12804" width="11" style="16" customWidth="1"/>
    <col min="12805" max="13034" width="10" style="16"/>
    <col min="13035" max="13035" width="4.25" style="16" customWidth="1"/>
    <col min="13036" max="13036" width="28.25" style="16" customWidth="1"/>
    <col min="13037" max="13056" width="3.75" style="16" customWidth="1"/>
    <col min="13057" max="13057" width="12.5" style="16" customWidth="1"/>
    <col min="13058" max="13058" width="9.875" style="16" customWidth="1"/>
    <col min="13059" max="13060" width="11" style="16" customWidth="1"/>
    <col min="13061" max="13290" width="10" style="16"/>
    <col min="13291" max="13291" width="4.25" style="16" customWidth="1"/>
    <col min="13292" max="13292" width="28.25" style="16" customWidth="1"/>
    <col min="13293" max="13312" width="3.75" style="16" customWidth="1"/>
    <col min="13313" max="13313" width="12.5" style="16" customWidth="1"/>
    <col min="13314" max="13314" width="9.875" style="16" customWidth="1"/>
    <col min="13315" max="13316" width="11" style="16" customWidth="1"/>
    <col min="13317" max="13546" width="10" style="16"/>
    <col min="13547" max="13547" width="4.25" style="16" customWidth="1"/>
    <col min="13548" max="13548" width="28.25" style="16" customWidth="1"/>
    <col min="13549" max="13568" width="3.75" style="16" customWidth="1"/>
    <col min="13569" max="13569" width="12.5" style="16" customWidth="1"/>
    <col min="13570" max="13570" width="9.875" style="16" customWidth="1"/>
    <col min="13571" max="13572" width="11" style="16" customWidth="1"/>
    <col min="13573" max="13802" width="10" style="16"/>
    <col min="13803" max="13803" width="4.25" style="16" customWidth="1"/>
    <col min="13804" max="13804" width="28.25" style="16" customWidth="1"/>
    <col min="13805" max="13824" width="3.75" style="16" customWidth="1"/>
    <col min="13825" max="13825" width="12.5" style="16" customWidth="1"/>
    <col min="13826" max="13826" width="9.875" style="16" customWidth="1"/>
    <col min="13827" max="13828" width="11" style="16" customWidth="1"/>
    <col min="13829" max="14058" width="10" style="16"/>
    <col min="14059" max="14059" width="4.25" style="16" customWidth="1"/>
    <col min="14060" max="14060" width="28.25" style="16" customWidth="1"/>
    <col min="14061" max="14080" width="3.75" style="16" customWidth="1"/>
    <col min="14081" max="14081" width="12.5" style="16" customWidth="1"/>
    <col min="14082" max="14082" width="9.875" style="16" customWidth="1"/>
    <col min="14083" max="14084" width="11" style="16" customWidth="1"/>
    <col min="14085" max="14314" width="10" style="16"/>
    <col min="14315" max="14315" width="4.25" style="16" customWidth="1"/>
    <col min="14316" max="14316" width="28.25" style="16" customWidth="1"/>
    <col min="14317" max="14336" width="3.75" style="16" customWidth="1"/>
    <col min="14337" max="14337" width="12.5" style="16" customWidth="1"/>
    <col min="14338" max="14338" width="9.875" style="16" customWidth="1"/>
    <col min="14339" max="14340" width="11" style="16" customWidth="1"/>
    <col min="14341" max="14570" width="10" style="16"/>
    <col min="14571" max="14571" width="4.25" style="16" customWidth="1"/>
    <col min="14572" max="14572" width="28.25" style="16" customWidth="1"/>
    <col min="14573" max="14592" width="3.75" style="16" customWidth="1"/>
    <col min="14593" max="14593" width="12.5" style="16" customWidth="1"/>
    <col min="14594" max="14594" width="9.875" style="16" customWidth="1"/>
    <col min="14595" max="14596" width="11" style="16" customWidth="1"/>
    <col min="14597" max="14826" width="10" style="16"/>
    <col min="14827" max="14827" width="4.25" style="16" customWidth="1"/>
    <col min="14828" max="14828" width="28.25" style="16" customWidth="1"/>
    <col min="14829" max="14848" width="3.75" style="16" customWidth="1"/>
    <col min="14849" max="14849" width="12.5" style="16" customWidth="1"/>
    <col min="14850" max="14850" width="9.875" style="16" customWidth="1"/>
    <col min="14851" max="14852" width="11" style="16" customWidth="1"/>
    <col min="14853" max="15082" width="10" style="16"/>
    <col min="15083" max="15083" width="4.25" style="16" customWidth="1"/>
    <col min="15084" max="15084" width="28.25" style="16" customWidth="1"/>
    <col min="15085" max="15104" width="3.75" style="16" customWidth="1"/>
    <col min="15105" max="15105" width="12.5" style="16" customWidth="1"/>
    <col min="15106" max="15106" width="9.875" style="16" customWidth="1"/>
    <col min="15107" max="15108" width="11" style="16" customWidth="1"/>
    <col min="15109" max="15338" width="10" style="16"/>
    <col min="15339" max="15339" width="4.25" style="16" customWidth="1"/>
    <col min="15340" max="15340" width="28.25" style="16" customWidth="1"/>
    <col min="15341" max="15360" width="3.75" style="16" customWidth="1"/>
    <col min="15361" max="15361" width="12.5" style="16" customWidth="1"/>
    <col min="15362" max="15362" width="9.875" style="16" customWidth="1"/>
    <col min="15363" max="15364" width="11" style="16" customWidth="1"/>
    <col min="15365" max="15594" width="10" style="16"/>
    <col min="15595" max="15595" width="4.25" style="16" customWidth="1"/>
    <col min="15596" max="15596" width="28.25" style="16" customWidth="1"/>
    <col min="15597" max="15616" width="3.75" style="16" customWidth="1"/>
    <col min="15617" max="15617" width="12.5" style="16" customWidth="1"/>
    <col min="15618" max="15618" width="9.875" style="16" customWidth="1"/>
    <col min="15619" max="15620" width="11" style="16" customWidth="1"/>
    <col min="15621" max="15850" width="10" style="16"/>
    <col min="15851" max="15851" width="4.25" style="16" customWidth="1"/>
    <col min="15852" max="15852" width="28.25" style="16" customWidth="1"/>
    <col min="15853" max="15872" width="3.75" style="16" customWidth="1"/>
    <col min="15873" max="15873" width="12.5" style="16" customWidth="1"/>
    <col min="15874" max="15874" width="9.875" style="16" customWidth="1"/>
    <col min="15875" max="15876" width="11" style="16" customWidth="1"/>
    <col min="15877" max="16106" width="10" style="16"/>
    <col min="16107" max="16107" width="4.25" style="16" customWidth="1"/>
    <col min="16108" max="16108" width="28.25" style="16" customWidth="1"/>
    <col min="16109" max="16128" width="3.75" style="16" customWidth="1"/>
    <col min="16129" max="16129" width="12.5" style="16" customWidth="1"/>
    <col min="16130" max="16130" width="9.875" style="16" customWidth="1"/>
    <col min="16131" max="16132" width="11" style="16" customWidth="1"/>
    <col min="16133" max="16384" width="10" style="16"/>
  </cols>
  <sheetData>
    <row r="1" spans="2:29" s="83" customFormat="1" ht="12.75">
      <c r="B1" s="79"/>
      <c r="C1" s="80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2"/>
      <c r="S1" s="81"/>
    </row>
    <row r="2" spans="2:29" ht="31.5" customHeight="1"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2:29" ht="15" customHeight="1">
      <c r="B3" s="37" t="s">
        <v>13</v>
      </c>
      <c r="D3" s="383" t="s">
        <v>54</v>
      </c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</row>
    <row r="4" spans="2:29" ht="15" customHeight="1" thickBot="1">
      <c r="B4" s="18" t="s">
        <v>79</v>
      </c>
    </row>
    <row r="5" spans="2:29" s="18" customFormat="1" ht="13.5" customHeight="1">
      <c r="B5" s="389" t="s">
        <v>16</v>
      </c>
      <c r="C5" s="391" t="s">
        <v>23</v>
      </c>
      <c r="D5" s="395">
        <v>2018</v>
      </c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87"/>
      <c r="P5" s="52" t="s">
        <v>8</v>
      </c>
      <c r="Q5" s="393" t="s">
        <v>30</v>
      </c>
      <c r="R5" s="394"/>
      <c r="S5" s="387" t="s">
        <v>22</v>
      </c>
      <c r="U5" s="148" t="s">
        <v>8</v>
      </c>
      <c r="V5" s="384" t="s">
        <v>52</v>
      </c>
      <c r="W5" s="385"/>
      <c r="X5" s="384" t="s">
        <v>54</v>
      </c>
      <c r="Y5" s="386"/>
    </row>
    <row r="6" spans="2:29" s="18" customFormat="1" ht="13.5" thickBot="1">
      <c r="B6" s="390"/>
      <c r="C6" s="392"/>
      <c r="D6" s="237">
        <v>1</v>
      </c>
      <c r="E6" s="238">
        <v>2</v>
      </c>
      <c r="F6" s="238">
        <v>3</v>
      </c>
      <c r="G6" s="177">
        <v>4</v>
      </c>
      <c r="H6" s="177">
        <v>5</v>
      </c>
      <c r="I6" s="177">
        <v>6</v>
      </c>
      <c r="J6" s="177">
        <v>7</v>
      </c>
      <c r="K6" s="177">
        <v>8</v>
      </c>
      <c r="L6" s="177">
        <v>9</v>
      </c>
      <c r="M6" s="177">
        <v>10</v>
      </c>
      <c r="N6" s="177">
        <v>11</v>
      </c>
      <c r="O6" s="238">
        <v>12</v>
      </c>
      <c r="P6" s="32" t="s">
        <v>27</v>
      </c>
      <c r="Q6" s="35" t="s">
        <v>19</v>
      </c>
      <c r="R6" s="31" t="s">
        <v>18</v>
      </c>
      <c r="S6" s="388"/>
      <c r="U6" s="149" t="s">
        <v>21</v>
      </c>
      <c r="V6" s="75" t="s">
        <v>31</v>
      </c>
      <c r="W6" s="75" t="s">
        <v>32</v>
      </c>
      <c r="X6" s="75" t="s">
        <v>31</v>
      </c>
      <c r="Y6" s="150" t="s">
        <v>32</v>
      </c>
    </row>
    <row r="7" spans="2:29" ht="13.5" thickTop="1">
      <c r="B7" s="306" t="s">
        <v>9</v>
      </c>
      <c r="C7" s="307" t="s">
        <v>11</v>
      </c>
      <c r="D7" s="309"/>
      <c r="E7" s="310"/>
      <c r="F7" s="310"/>
      <c r="G7" s="311"/>
      <c r="H7" s="311"/>
      <c r="I7" s="311"/>
      <c r="J7" s="311"/>
      <c r="K7" s="311"/>
      <c r="L7" s="311"/>
      <c r="M7" s="311"/>
      <c r="N7" s="311"/>
      <c r="O7" s="312"/>
      <c r="P7" s="315"/>
      <c r="Q7" s="316"/>
      <c r="R7" s="317"/>
      <c r="S7" s="318"/>
      <c r="U7" s="319"/>
      <c r="V7" s="320"/>
      <c r="W7" s="321"/>
      <c r="X7" s="311"/>
      <c r="Y7" s="322"/>
      <c r="AA7" s="304" t="s">
        <v>66</v>
      </c>
      <c r="AB7" s="304" t="s">
        <v>185</v>
      </c>
      <c r="AC7" s="327" t="str">
        <f t="shared" ref="AC7:AC17" si="0">C7</f>
        <v>INDIRECT LABOR</v>
      </c>
    </row>
    <row r="8" spans="2:29" ht="12.75">
      <c r="B8" s="61"/>
      <c r="C8" s="62" t="s">
        <v>201</v>
      </c>
      <c r="D8" s="410">
        <v>1</v>
      </c>
      <c r="E8" s="411">
        <v>1</v>
      </c>
      <c r="F8" s="411">
        <v>1</v>
      </c>
      <c r="G8" s="412">
        <v>1</v>
      </c>
      <c r="H8" s="412">
        <v>1</v>
      </c>
      <c r="I8" s="412">
        <v>1</v>
      </c>
      <c r="J8" s="412">
        <v>0.5</v>
      </c>
      <c r="K8" s="60"/>
      <c r="L8" s="60"/>
      <c r="M8" s="60"/>
      <c r="N8" s="60"/>
      <c r="O8" s="240"/>
      <c r="P8" s="33">
        <f t="shared" ref="P8:P11" si="1">SUM(D8:O8)</f>
        <v>6.5</v>
      </c>
      <c r="Q8" s="417">
        <v>8500</v>
      </c>
      <c r="R8" s="418">
        <f t="shared" ref="R8:R17" si="2">P8*Q8</f>
        <v>55250</v>
      </c>
      <c r="S8" s="29"/>
      <c r="U8" s="186">
        <f t="shared" ref="U8:U17" si="3">P8</f>
        <v>6.5</v>
      </c>
      <c r="V8" s="421">
        <v>0</v>
      </c>
      <c r="W8" s="421">
        <v>0</v>
      </c>
      <c r="X8" s="422">
        <f t="shared" ref="X8:X17" si="4">U8*V8</f>
        <v>0</v>
      </c>
      <c r="Y8" s="423">
        <f t="shared" ref="Y8:Y17" si="5">W8*U8</f>
        <v>0</v>
      </c>
      <c r="Z8" s="86"/>
      <c r="AA8" s="326">
        <f>Q8*4.66</f>
        <v>39610</v>
      </c>
      <c r="AB8" s="326">
        <f>AA8/1.35</f>
        <v>29340.740740740737</v>
      </c>
      <c r="AC8" s="327" t="str">
        <f t="shared" si="0"/>
        <v>Project Manager</v>
      </c>
    </row>
    <row r="9" spans="2:29" ht="12.75">
      <c r="B9" s="61"/>
      <c r="C9" s="62" t="s">
        <v>184</v>
      </c>
      <c r="D9" s="410">
        <v>1</v>
      </c>
      <c r="E9" s="411">
        <v>1</v>
      </c>
      <c r="F9" s="411">
        <v>1</v>
      </c>
      <c r="G9" s="412">
        <v>1</v>
      </c>
      <c r="H9" s="412">
        <v>1</v>
      </c>
      <c r="I9" s="412">
        <v>1</v>
      </c>
      <c r="J9" s="412">
        <v>0.5</v>
      </c>
      <c r="K9" s="60"/>
      <c r="L9" s="60"/>
      <c r="M9" s="60"/>
      <c r="N9" s="60"/>
      <c r="O9" s="240"/>
      <c r="P9" s="33">
        <f t="shared" si="1"/>
        <v>6.5</v>
      </c>
      <c r="Q9" s="417">
        <v>6500</v>
      </c>
      <c r="R9" s="418">
        <f t="shared" si="2"/>
        <v>42250</v>
      </c>
      <c r="S9" s="29"/>
      <c r="U9" s="186">
        <f t="shared" si="3"/>
        <v>6.5</v>
      </c>
      <c r="V9" s="421">
        <v>0</v>
      </c>
      <c r="W9" s="421">
        <v>0</v>
      </c>
      <c r="X9" s="422">
        <f t="shared" si="4"/>
        <v>0</v>
      </c>
      <c r="Y9" s="423">
        <f t="shared" si="5"/>
        <v>0</v>
      </c>
      <c r="AA9" s="326">
        <f t="shared" ref="AA9:AA17" si="6">Q9*4.66</f>
        <v>30290</v>
      </c>
      <c r="AB9" s="326">
        <f t="shared" ref="AB9:AB17" si="7">AA9/1.35</f>
        <v>22437.037037037036</v>
      </c>
      <c r="AC9" s="327" t="str">
        <f t="shared" si="0"/>
        <v>Site Chief</v>
      </c>
    </row>
    <row r="10" spans="2:29" s="140" customFormat="1" ht="12.75">
      <c r="B10" s="142"/>
      <c r="C10" s="78" t="s">
        <v>121</v>
      </c>
      <c r="D10" s="410">
        <v>1</v>
      </c>
      <c r="E10" s="411">
        <v>1</v>
      </c>
      <c r="F10" s="411">
        <v>1</v>
      </c>
      <c r="G10" s="412">
        <v>1</v>
      </c>
      <c r="H10" s="412">
        <v>1</v>
      </c>
      <c r="I10" s="412">
        <v>1</v>
      </c>
      <c r="J10" s="412">
        <v>0.5</v>
      </c>
      <c r="K10" s="60"/>
      <c r="L10" s="60"/>
      <c r="M10" s="60"/>
      <c r="N10" s="60"/>
      <c r="O10" s="240"/>
      <c r="P10" s="33">
        <f t="shared" si="1"/>
        <v>6.5</v>
      </c>
      <c r="Q10" s="417">
        <v>4500</v>
      </c>
      <c r="R10" s="418">
        <f>P10*Q10</f>
        <v>29250</v>
      </c>
      <c r="S10" s="29"/>
      <c r="T10" s="16"/>
      <c r="U10" s="186">
        <f>P10</f>
        <v>6.5</v>
      </c>
      <c r="V10" s="421">
        <v>0</v>
      </c>
      <c r="W10" s="421">
        <v>0</v>
      </c>
      <c r="X10" s="422">
        <f>U10*V10</f>
        <v>0</v>
      </c>
      <c r="Y10" s="423">
        <f>W10*U10</f>
        <v>0</v>
      </c>
      <c r="AA10" s="326">
        <f t="shared" si="6"/>
        <v>20970</v>
      </c>
      <c r="AB10" s="326">
        <f t="shared" si="7"/>
        <v>15533.333333333332</v>
      </c>
      <c r="AC10" s="327" t="str">
        <f t="shared" si="0"/>
        <v>Site Engineer</v>
      </c>
    </row>
    <row r="11" spans="2:29" ht="12.75">
      <c r="B11" s="61"/>
      <c r="C11" s="178" t="s">
        <v>124</v>
      </c>
      <c r="D11" s="410">
        <v>1</v>
      </c>
      <c r="E11" s="411">
        <v>1</v>
      </c>
      <c r="F11" s="411">
        <v>1</v>
      </c>
      <c r="G11" s="412">
        <v>1</v>
      </c>
      <c r="H11" s="412">
        <v>1</v>
      </c>
      <c r="I11" s="412">
        <v>1</v>
      </c>
      <c r="J11" s="412">
        <v>0.5</v>
      </c>
      <c r="K11" s="60"/>
      <c r="L11" s="60"/>
      <c r="M11" s="60"/>
      <c r="N11" s="60"/>
      <c r="O11" s="240"/>
      <c r="P11" s="33">
        <f t="shared" si="1"/>
        <v>6.5</v>
      </c>
      <c r="Q11" s="417">
        <v>5500</v>
      </c>
      <c r="R11" s="418">
        <f t="shared" si="2"/>
        <v>35750</v>
      </c>
      <c r="S11" s="29"/>
      <c r="U11" s="186">
        <f t="shared" si="3"/>
        <v>6.5</v>
      </c>
      <c r="V11" s="421">
        <v>0</v>
      </c>
      <c r="W11" s="421">
        <v>0</v>
      </c>
      <c r="X11" s="422">
        <f t="shared" si="4"/>
        <v>0</v>
      </c>
      <c r="Y11" s="423">
        <f t="shared" si="5"/>
        <v>0</v>
      </c>
      <c r="AA11" s="326">
        <f t="shared" si="6"/>
        <v>25630</v>
      </c>
      <c r="AB11" s="326">
        <f t="shared" si="7"/>
        <v>18985.185185185182</v>
      </c>
      <c r="AC11" s="327" t="str">
        <f t="shared" si="0"/>
        <v>Technical Office Chief</v>
      </c>
    </row>
    <row r="12" spans="2:29" ht="13.5">
      <c r="B12" s="61"/>
      <c r="C12" s="55"/>
      <c r="D12" s="410"/>
      <c r="E12" s="411"/>
      <c r="F12" s="411"/>
      <c r="G12" s="412"/>
      <c r="H12" s="412"/>
      <c r="I12" s="412"/>
      <c r="J12" s="412"/>
      <c r="K12" s="19"/>
      <c r="L12" s="19"/>
      <c r="M12" s="19"/>
      <c r="N12" s="19"/>
      <c r="O12" s="23"/>
      <c r="P12" s="33"/>
      <c r="Q12" s="417"/>
      <c r="R12" s="418"/>
      <c r="S12" s="29"/>
      <c r="U12" s="186"/>
      <c r="V12" s="421"/>
      <c r="W12" s="421">
        <v>0</v>
      </c>
      <c r="X12" s="422"/>
      <c r="Y12" s="423"/>
      <c r="AA12" s="326"/>
      <c r="AB12" s="326"/>
      <c r="AC12" s="327">
        <f t="shared" si="0"/>
        <v>0</v>
      </c>
    </row>
    <row r="13" spans="2:29" ht="12.75">
      <c r="B13" s="308" t="s">
        <v>10</v>
      </c>
      <c r="C13" s="307" t="s">
        <v>183</v>
      </c>
      <c r="D13" s="413"/>
      <c r="E13" s="414"/>
      <c r="F13" s="414"/>
      <c r="G13" s="415"/>
      <c r="H13" s="415"/>
      <c r="I13" s="415"/>
      <c r="J13" s="415"/>
      <c r="K13" s="313"/>
      <c r="L13" s="313"/>
      <c r="M13" s="313"/>
      <c r="N13" s="313"/>
      <c r="O13" s="314"/>
      <c r="P13" s="323"/>
      <c r="Q13" s="419"/>
      <c r="R13" s="420"/>
      <c r="S13" s="324"/>
      <c r="U13" s="325"/>
      <c r="V13" s="424"/>
      <c r="W13" s="424"/>
      <c r="X13" s="425"/>
      <c r="Y13" s="426"/>
      <c r="AA13" s="326"/>
      <c r="AB13" s="326"/>
      <c r="AC13" s="327" t="str">
        <f t="shared" si="0"/>
        <v>DIRECT LABOR</v>
      </c>
    </row>
    <row r="14" spans="2:29" ht="12.75">
      <c r="B14" s="63"/>
      <c r="C14" s="78" t="s">
        <v>167</v>
      </c>
      <c r="D14" s="410">
        <v>2</v>
      </c>
      <c r="E14" s="411">
        <v>2</v>
      </c>
      <c r="F14" s="411">
        <v>2</v>
      </c>
      <c r="G14" s="412">
        <v>2</v>
      </c>
      <c r="H14" s="412">
        <v>2</v>
      </c>
      <c r="I14" s="412">
        <v>2</v>
      </c>
      <c r="J14" s="412">
        <v>1</v>
      </c>
      <c r="K14" s="60"/>
      <c r="L14" s="60"/>
      <c r="M14" s="60"/>
      <c r="N14" s="60"/>
      <c r="O14" s="240"/>
      <c r="P14" s="33">
        <f t="shared" ref="P14:P17" si="8">SUM(D14:O14)</f>
        <v>13</v>
      </c>
      <c r="Q14" s="417">
        <v>3000</v>
      </c>
      <c r="R14" s="418">
        <f t="shared" si="2"/>
        <v>39000</v>
      </c>
      <c r="S14" s="29"/>
      <c r="U14" s="186">
        <f t="shared" si="3"/>
        <v>13</v>
      </c>
      <c r="V14" s="421">
        <v>0</v>
      </c>
      <c r="W14" s="421">
        <v>0</v>
      </c>
      <c r="X14" s="422">
        <f t="shared" si="4"/>
        <v>0</v>
      </c>
      <c r="Y14" s="423">
        <f t="shared" si="5"/>
        <v>0</v>
      </c>
      <c r="AA14" s="326">
        <f t="shared" si="6"/>
        <v>13980</v>
      </c>
      <c r="AB14" s="326">
        <f t="shared" si="7"/>
        <v>10355.555555555555</v>
      </c>
      <c r="AC14" s="327" t="str">
        <f t="shared" si="0"/>
        <v>Formen</v>
      </c>
    </row>
    <row r="15" spans="2:29" ht="12.75">
      <c r="B15" s="63"/>
      <c r="C15" s="232" t="s">
        <v>165</v>
      </c>
      <c r="D15" s="410">
        <v>10</v>
      </c>
      <c r="E15" s="411">
        <v>10</v>
      </c>
      <c r="F15" s="411">
        <v>10</v>
      </c>
      <c r="G15" s="412">
        <v>10</v>
      </c>
      <c r="H15" s="412">
        <v>10</v>
      </c>
      <c r="I15" s="412">
        <v>10</v>
      </c>
      <c r="J15" s="412">
        <v>5</v>
      </c>
      <c r="K15" s="60"/>
      <c r="L15" s="60"/>
      <c r="M15" s="60"/>
      <c r="N15" s="60"/>
      <c r="O15" s="240"/>
      <c r="P15" s="33">
        <f t="shared" si="8"/>
        <v>65</v>
      </c>
      <c r="Q15" s="417">
        <v>2500</v>
      </c>
      <c r="R15" s="418">
        <f t="shared" si="2"/>
        <v>162500</v>
      </c>
      <c r="S15" s="29"/>
      <c r="U15" s="186">
        <f t="shared" si="3"/>
        <v>65</v>
      </c>
      <c r="V15" s="421">
        <v>0</v>
      </c>
      <c r="W15" s="421">
        <v>0</v>
      </c>
      <c r="X15" s="422">
        <f t="shared" si="4"/>
        <v>0</v>
      </c>
      <c r="Y15" s="423">
        <f t="shared" si="5"/>
        <v>0</v>
      </c>
      <c r="AA15" s="326">
        <f t="shared" si="6"/>
        <v>11650</v>
      </c>
      <c r="AB15" s="326">
        <f t="shared" si="7"/>
        <v>8629.6296296296296</v>
      </c>
      <c r="AC15" s="327" t="str">
        <f t="shared" si="0"/>
        <v>Tug Boat</v>
      </c>
    </row>
    <row r="16" spans="2:29" ht="12.75">
      <c r="B16" s="63"/>
      <c r="C16" s="230" t="s">
        <v>164</v>
      </c>
      <c r="D16" s="410">
        <v>6</v>
      </c>
      <c r="E16" s="412">
        <v>6</v>
      </c>
      <c r="F16" s="412">
        <v>6</v>
      </c>
      <c r="G16" s="412">
        <v>6</v>
      </c>
      <c r="H16" s="416">
        <v>6</v>
      </c>
      <c r="I16" s="416">
        <v>6</v>
      </c>
      <c r="J16" s="416">
        <v>3</v>
      </c>
      <c r="K16" s="60"/>
      <c r="L16" s="60"/>
      <c r="M16" s="60"/>
      <c r="N16" s="60"/>
      <c r="O16" s="240"/>
      <c r="P16" s="33">
        <f t="shared" si="8"/>
        <v>39</v>
      </c>
      <c r="Q16" s="417">
        <v>2000</v>
      </c>
      <c r="R16" s="418">
        <f t="shared" si="2"/>
        <v>78000</v>
      </c>
      <c r="S16" s="29"/>
      <c r="U16" s="186">
        <f t="shared" si="3"/>
        <v>39</v>
      </c>
      <c r="V16" s="421">
        <v>0</v>
      </c>
      <c r="W16" s="421">
        <v>0</v>
      </c>
      <c r="X16" s="422">
        <f t="shared" si="4"/>
        <v>0</v>
      </c>
      <c r="Y16" s="423">
        <f t="shared" si="5"/>
        <v>0</v>
      </c>
      <c r="AA16" s="326">
        <f t="shared" si="6"/>
        <v>9320</v>
      </c>
      <c r="AB16" s="326">
        <f t="shared" si="7"/>
        <v>6903.7037037037035</v>
      </c>
      <c r="AC16" s="327" t="str">
        <f t="shared" si="0"/>
        <v xml:space="preserve">Floating Crane </v>
      </c>
    </row>
    <row r="17" spans="2:29" ht="12.75">
      <c r="B17" s="63"/>
      <c r="C17" s="78" t="s">
        <v>202</v>
      </c>
      <c r="D17" s="410">
        <v>4</v>
      </c>
      <c r="E17" s="412">
        <v>4</v>
      </c>
      <c r="F17" s="412">
        <v>4</v>
      </c>
      <c r="G17" s="416">
        <v>4</v>
      </c>
      <c r="H17" s="416">
        <v>4</v>
      </c>
      <c r="I17" s="416">
        <v>4</v>
      </c>
      <c r="J17" s="416">
        <v>2</v>
      </c>
      <c r="K17" s="19"/>
      <c r="L17" s="19"/>
      <c r="M17" s="19"/>
      <c r="N17" s="19"/>
      <c r="O17" s="23"/>
      <c r="P17" s="33">
        <f t="shared" si="8"/>
        <v>26</v>
      </c>
      <c r="Q17" s="417">
        <v>1750</v>
      </c>
      <c r="R17" s="418">
        <f t="shared" si="2"/>
        <v>45500</v>
      </c>
      <c r="S17" s="184"/>
      <c r="U17" s="186">
        <f t="shared" si="3"/>
        <v>26</v>
      </c>
      <c r="V17" s="421">
        <v>0</v>
      </c>
      <c r="W17" s="421">
        <v>0</v>
      </c>
      <c r="X17" s="422">
        <f t="shared" si="4"/>
        <v>0</v>
      </c>
      <c r="Y17" s="423">
        <f t="shared" si="5"/>
        <v>0</v>
      </c>
      <c r="AA17" s="326">
        <f t="shared" si="6"/>
        <v>8155</v>
      </c>
      <c r="AB17" s="326">
        <f t="shared" si="7"/>
        <v>6040.74074074074</v>
      </c>
      <c r="AC17" s="327" t="str">
        <f t="shared" si="0"/>
        <v>service boat</v>
      </c>
    </row>
    <row r="18" spans="2:29" ht="12.75">
      <c r="B18" s="61"/>
      <c r="C18" s="232"/>
      <c r="D18" s="26"/>
      <c r="E18" s="58"/>
      <c r="F18" s="58"/>
      <c r="G18" s="19"/>
      <c r="H18" s="19"/>
      <c r="I18" s="19"/>
      <c r="J18" s="19"/>
      <c r="K18" s="19"/>
      <c r="L18" s="19"/>
      <c r="M18" s="19"/>
      <c r="N18" s="19"/>
      <c r="O18" s="23"/>
      <c r="P18" s="33"/>
      <c r="Q18" s="73"/>
      <c r="R18" s="74"/>
      <c r="S18" s="84"/>
      <c r="U18" s="186"/>
      <c r="V18" s="85"/>
      <c r="W18" s="85"/>
      <c r="X18" s="293"/>
      <c r="Y18" s="146"/>
      <c r="AA18" s="86"/>
    </row>
    <row r="19" spans="2:29" ht="12.75">
      <c r="B19" s="63"/>
      <c r="C19" s="230"/>
      <c r="D19" s="179"/>
      <c r="E19" s="19"/>
      <c r="F19" s="19"/>
      <c r="G19" s="19"/>
      <c r="H19" s="50"/>
      <c r="I19" s="59"/>
      <c r="J19" s="59"/>
      <c r="K19" s="59"/>
      <c r="L19" s="59"/>
      <c r="M19" s="59"/>
      <c r="N19" s="57"/>
      <c r="O19" s="23"/>
      <c r="P19" s="33"/>
      <c r="Q19" s="73"/>
      <c r="R19" s="74"/>
      <c r="S19" s="29"/>
      <c r="U19" s="186"/>
      <c r="V19" s="85"/>
      <c r="W19" s="85"/>
      <c r="X19" s="293"/>
      <c r="Y19" s="146"/>
    </row>
    <row r="20" spans="2:29" s="140" customFormat="1" ht="12.75">
      <c r="B20" s="141"/>
      <c r="C20" s="232"/>
      <c r="D20" s="179"/>
      <c r="E20" s="19"/>
      <c r="F20" s="19"/>
      <c r="G20" s="19"/>
      <c r="H20" s="137"/>
      <c r="I20" s="138"/>
      <c r="J20" s="138"/>
      <c r="K20" s="138"/>
      <c r="L20" s="138"/>
      <c r="M20" s="138"/>
      <c r="N20" s="139"/>
      <c r="O20" s="239"/>
      <c r="P20" s="33"/>
      <c r="Q20" s="73"/>
      <c r="R20" s="74"/>
      <c r="S20" s="29"/>
      <c r="T20" s="16"/>
      <c r="U20" s="186"/>
      <c r="V20" s="85"/>
      <c r="W20" s="85"/>
      <c r="X20" s="293"/>
      <c r="Y20" s="146"/>
    </row>
    <row r="21" spans="2:29" s="140" customFormat="1" ht="12.75">
      <c r="B21" s="141"/>
      <c r="C21" s="78"/>
      <c r="D21" s="179"/>
      <c r="E21" s="19"/>
      <c r="F21" s="19"/>
      <c r="G21" s="19"/>
      <c r="H21" s="137"/>
      <c r="I21" s="138"/>
      <c r="J21" s="138"/>
      <c r="K21" s="138"/>
      <c r="L21" s="138"/>
      <c r="M21" s="138"/>
      <c r="N21" s="139"/>
      <c r="O21" s="239"/>
      <c r="P21" s="33"/>
      <c r="Q21" s="73"/>
      <c r="R21" s="74"/>
      <c r="S21" s="29"/>
      <c r="T21" s="16"/>
      <c r="U21" s="186"/>
      <c r="V21" s="85"/>
      <c r="W21" s="85"/>
      <c r="X21" s="293"/>
      <c r="Y21" s="146"/>
    </row>
    <row r="22" spans="2:29" s="140" customFormat="1" ht="12.75">
      <c r="B22" s="141"/>
      <c r="C22" s="78"/>
      <c r="D22" s="179"/>
      <c r="E22" s="19"/>
      <c r="F22" s="19"/>
      <c r="G22" s="19"/>
      <c r="H22" s="137"/>
      <c r="I22" s="138"/>
      <c r="J22" s="138"/>
      <c r="K22" s="138"/>
      <c r="L22" s="138"/>
      <c r="M22" s="138"/>
      <c r="N22" s="139"/>
      <c r="O22" s="239"/>
      <c r="P22" s="33"/>
      <c r="Q22" s="73"/>
      <c r="R22" s="74"/>
      <c r="S22" s="29"/>
      <c r="T22" s="16"/>
      <c r="U22" s="186"/>
      <c r="V22" s="85"/>
      <c r="W22" s="85"/>
      <c r="X22" s="293"/>
      <c r="Y22" s="146"/>
    </row>
    <row r="23" spans="2:29" s="140" customFormat="1" ht="12.75">
      <c r="B23" s="141"/>
      <c r="C23" s="78"/>
      <c r="D23" s="179"/>
      <c r="E23" s="19"/>
      <c r="F23" s="19"/>
      <c r="G23" s="19"/>
      <c r="H23" s="137"/>
      <c r="I23" s="138"/>
      <c r="J23" s="138"/>
      <c r="K23" s="138"/>
      <c r="L23" s="138"/>
      <c r="M23" s="138"/>
      <c r="N23" s="139"/>
      <c r="O23" s="239"/>
      <c r="P23" s="33"/>
      <c r="Q23" s="73"/>
      <c r="R23" s="74"/>
      <c r="S23" s="29"/>
      <c r="T23" s="16"/>
      <c r="U23" s="186"/>
      <c r="V23" s="85"/>
      <c r="W23" s="85"/>
      <c r="X23" s="293"/>
      <c r="Y23" s="146"/>
    </row>
    <row r="24" spans="2:29" ht="12.75">
      <c r="B24" s="63"/>
      <c r="C24" s="78"/>
      <c r="D24" s="179"/>
      <c r="E24" s="19"/>
      <c r="F24" s="19"/>
      <c r="G24" s="19"/>
      <c r="H24" s="50"/>
      <c r="I24" s="59"/>
      <c r="J24" s="59"/>
      <c r="K24" s="59"/>
      <c r="L24" s="59"/>
      <c r="M24" s="59"/>
      <c r="N24" s="57"/>
      <c r="O24" s="23"/>
      <c r="P24" s="33"/>
      <c r="Q24" s="73"/>
      <c r="R24" s="74"/>
      <c r="S24" s="29"/>
      <c r="U24" s="186"/>
      <c r="V24" s="85"/>
      <c r="W24" s="85"/>
      <c r="X24" s="293"/>
      <c r="Y24" s="146"/>
    </row>
    <row r="25" spans="2:29" ht="12.75">
      <c r="B25" s="63"/>
      <c r="C25" s="78"/>
      <c r="D25" s="179"/>
      <c r="E25" s="19"/>
      <c r="F25" s="19"/>
      <c r="G25" s="19"/>
      <c r="H25" s="50"/>
      <c r="I25" s="59"/>
      <c r="J25" s="59"/>
      <c r="K25" s="59"/>
      <c r="L25" s="59"/>
      <c r="M25" s="59"/>
      <c r="N25" s="57"/>
      <c r="O25" s="23"/>
      <c r="P25" s="33"/>
      <c r="Q25" s="73"/>
      <c r="R25" s="74"/>
      <c r="S25" s="29"/>
      <c r="U25" s="186"/>
      <c r="V25" s="85"/>
      <c r="W25" s="85"/>
      <c r="X25" s="293"/>
      <c r="Y25" s="146"/>
    </row>
    <row r="26" spans="2:29" s="140" customFormat="1" ht="12.75">
      <c r="B26" s="141"/>
      <c r="C26" s="78"/>
      <c r="D26" s="136"/>
      <c r="E26" s="137"/>
      <c r="F26" s="137"/>
      <c r="G26" s="137"/>
      <c r="H26" s="137"/>
      <c r="I26" s="138"/>
      <c r="J26" s="138"/>
      <c r="K26" s="138"/>
      <c r="L26" s="138"/>
      <c r="M26" s="138"/>
      <c r="N26" s="139"/>
      <c r="O26" s="239"/>
      <c r="P26" s="33"/>
      <c r="Q26" s="73"/>
      <c r="R26" s="74"/>
      <c r="S26" s="29"/>
      <c r="T26" s="16"/>
      <c r="U26" s="186"/>
      <c r="V26" s="85"/>
      <c r="W26" s="85"/>
      <c r="X26" s="293"/>
      <c r="Y26" s="146"/>
    </row>
    <row r="27" spans="2:29" ht="12.75">
      <c r="B27" s="63"/>
      <c r="C27" s="62"/>
      <c r="D27" s="26"/>
      <c r="E27" s="19"/>
      <c r="F27" s="19"/>
      <c r="G27" s="19"/>
      <c r="H27" s="50"/>
      <c r="I27" s="59"/>
      <c r="J27" s="59"/>
      <c r="K27" s="59"/>
      <c r="L27" s="59"/>
      <c r="M27" s="59"/>
      <c r="N27" s="57"/>
      <c r="O27" s="23"/>
      <c r="P27" s="33"/>
      <c r="Q27" s="73"/>
      <c r="R27" s="74"/>
      <c r="S27" s="29"/>
      <c r="U27" s="186"/>
      <c r="V27" s="85"/>
      <c r="W27" s="85"/>
      <c r="X27" s="293"/>
      <c r="Y27" s="146"/>
    </row>
    <row r="28" spans="2:29" ht="12.75">
      <c r="B28" s="63"/>
      <c r="C28" s="62"/>
      <c r="D28" s="26"/>
      <c r="E28" s="19"/>
      <c r="F28" s="19"/>
      <c r="G28" s="19"/>
      <c r="H28" s="50"/>
      <c r="I28" s="59"/>
      <c r="J28" s="59"/>
      <c r="K28" s="59"/>
      <c r="L28" s="59"/>
      <c r="M28" s="59"/>
      <c r="N28" s="57"/>
      <c r="O28" s="23"/>
      <c r="P28" s="33"/>
      <c r="Q28" s="73"/>
      <c r="R28" s="74"/>
      <c r="S28" s="29"/>
      <c r="U28" s="186"/>
      <c r="V28" s="85"/>
      <c r="W28" s="85"/>
      <c r="X28" s="293"/>
      <c r="Y28" s="146"/>
    </row>
    <row r="29" spans="2:29" ht="12.75">
      <c r="B29" s="63"/>
      <c r="C29" s="62"/>
      <c r="D29" s="26"/>
      <c r="E29" s="19"/>
      <c r="F29" s="19"/>
      <c r="G29" s="19"/>
      <c r="H29" s="50"/>
      <c r="I29" s="59"/>
      <c r="J29" s="59"/>
      <c r="K29" s="59"/>
      <c r="L29" s="59"/>
      <c r="M29" s="59"/>
      <c r="N29" s="57"/>
      <c r="O29" s="23"/>
      <c r="P29" s="33"/>
      <c r="Q29" s="73"/>
      <c r="R29" s="74"/>
      <c r="S29" s="29"/>
      <c r="U29" s="186"/>
      <c r="V29" s="85"/>
      <c r="W29" s="85"/>
      <c r="X29" s="293"/>
      <c r="Y29" s="146"/>
    </row>
    <row r="30" spans="2:29" ht="12.75">
      <c r="B30" s="63"/>
      <c r="C30" s="62"/>
      <c r="D30" s="26"/>
      <c r="E30" s="19"/>
      <c r="F30" s="19"/>
      <c r="G30" s="19"/>
      <c r="H30" s="50"/>
      <c r="I30" s="59"/>
      <c r="J30" s="59"/>
      <c r="K30" s="59"/>
      <c r="L30" s="59"/>
      <c r="M30" s="59"/>
      <c r="N30" s="57"/>
      <c r="O30" s="23"/>
      <c r="P30" s="33"/>
      <c r="Q30" s="73"/>
      <c r="R30" s="74"/>
      <c r="S30" s="29"/>
      <c r="U30" s="186"/>
      <c r="V30" s="85"/>
      <c r="W30" s="85"/>
      <c r="X30" s="293"/>
      <c r="Y30" s="146"/>
    </row>
    <row r="31" spans="2:29" ht="12.75">
      <c r="B31" s="63"/>
      <c r="C31" s="78"/>
      <c r="D31" s="26"/>
      <c r="E31" s="19"/>
      <c r="F31" s="19"/>
      <c r="G31" s="19"/>
      <c r="H31" s="50"/>
      <c r="I31" s="59"/>
      <c r="J31" s="59"/>
      <c r="K31" s="59"/>
      <c r="L31" s="59"/>
      <c r="M31" s="59"/>
      <c r="N31" s="57"/>
      <c r="O31" s="23"/>
      <c r="P31" s="33"/>
      <c r="Q31" s="73"/>
      <c r="R31" s="74"/>
      <c r="S31" s="29"/>
      <c r="U31" s="186"/>
      <c r="V31" s="85"/>
      <c r="W31" s="85"/>
      <c r="X31" s="293"/>
      <c r="Y31" s="146"/>
    </row>
    <row r="32" spans="2:29" ht="12.75">
      <c r="B32" s="63"/>
      <c r="C32" s="78"/>
      <c r="D32" s="26"/>
      <c r="E32" s="19"/>
      <c r="F32" s="19"/>
      <c r="G32" s="19"/>
      <c r="H32" s="50"/>
      <c r="I32" s="59"/>
      <c r="J32" s="59"/>
      <c r="K32" s="59"/>
      <c r="L32" s="59"/>
      <c r="M32" s="59"/>
      <c r="N32" s="57"/>
      <c r="O32" s="23"/>
      <c r="P32" s="33"/>
      <c r="Q32" s="73"/>
      <c r="R32" s="74"/>
      <c r="S32" s="29"/>
      <c r="U32" s="186"/>
      <c r="V32" s="85"/>
      <c r="W32" s="85"/>
      <c r="X32" s="293"/>
      <c r="Y32" s="146"/>
    </row>
    <row r="33" spans="2:27" ht="12.75">
      <c r="B33" s="64"/>
      <c r="C33" s="65"/>
      <c r="D33" s="2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3"/>
      <c r="P33" s="33"/>
      <c r="Q33" s="291"/>
      <c r="R33" s="292"/>
      <c r="S33" s="29"/>
      <c r="U33" s="186"/>
      <c r="V33" s="293"/>
      <c r="W33" s="293"/>
      <c r="X33" s="293"/>
      <c r="Y33" s="146"/>
      <c r="AA33" s="86"/>
    </row>
    <row r="34" spans="2:27" ht="12.75">
      <c r="B34" s="64"/>
      <c r="C34" s="66"/>
      <c r="D34" s="2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3"/>
      <c r="P34" s="33"/>
      <c r="Q34" s="291"/>
      <c r="R34" s="292"/>
      <c r="S34" s="29"/>
      <c r="U34" s="147"/>
      <c r="V34" s="293"/>
      <c r="W34" s="293"/>
      <c r="X34" s="293"/>
      <c r="Y34" s="146"/>
    </row>
    <row r="35" spans="2:27" ht="12.75">
      <c r="B35" s="64"/>
      <c r="C35" s="66"/>
      <c r="D35" s="2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3"/>
      <c r="P35" s="33"/>
      <c r="Q35" s="291"/>
      <c r="R35" s="292"/>
      <c r="S35" s="184"/>
      <c r="U35" s="147"/>
      <c r="V35" s="293"/>
      <c r="W35" s="293"/>
      <c r="X35" s="293"/>
      <c r="Y35" s="146"/>
    </row>
    <row r="36" spans="2:27" ht="12.75">
      <c r="B36" s="64"/>
      <c r="C36" s="66"/>
      <c r="D36" s="2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3"/>
      <c r="P36" s="33"/>
      <c r="Q36" s="291"/>
      <c r="R36" s="292"/>
      <c r="S36" s="29"/>
      <c r="U36" s="147"/>
      <c r="V36" s="293"/>
      <c r="W36" s="293"/>
      <c r="X36" s="293"/>
      <c r="Y36" s="146"/>
    </row>
    <row r="37" spans="2:27" ht="13.5" thickBot="1">
      <c r="B37" s="20"/>
      <c r="C37" s="24" t="s">
        <v>12</v>
      </c>
      <c r="D37" s="27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36"/>
      <c r="P37" s="34"/>
      <c r="Q37" s="290"/>
      <c r="R37" s="427">
        <f>SUM(R8:R29)</f>
        <v>487500</v>
      </c>
      <c r="S37" s="180"/>
      <c r="T37" s="181"/>
      <c r="U37" s="182"/>
      <c r="V37" s="183"/>
      <c r="W37" s="183"/>
      <c r="X37" s="290">
        <f>SUM(X8:X32)</f>
        <v>0</v>
      </c>
      <c r="Y37" s="294">
        <f>SUM(Y8:Y32)</f>
        <v>0</v>
      </c>
    </row>
    <row r="40" spans="2:27" ht="15" customHeight="1">
      <c r="Q40" s="86"/>
    </row>
  </sheetData>
  <mergeCells count="8">
    <mergeCell ref="D3:P3"/>
    <mergeCell ref="V5:W5"/>
    <mergeCell ref="X5:Y5"/>
    <mergeCell ref="S5:S6"/>
    <mergeCell ref="B5:B6"/>
    <mergeCell ref="C5:C6"/>
    <mergeCell ref="Q5:R5"/>
    <mergeCell ref="D5:O5"/>
  </mergeCells>
  <phoneticPr fontId="2" type="noConversion"/>
  <printOptions horizontalCentered="1"/>
  <pageMargins left="0.31496062992125984" right="0.31496062992125984" top="0.74803149606299213" bottom="0.74803149606299213" header="0.31496062992125984" footer="0.31496062992125984"/>
  <pageSetup paperSize="8" scale="8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B1:AA24"/>
  <sheetViews>
    <sheetView showGridLines="0" zoomScale="85" zoomScaleNormal="85" workbookViewId="0">
      <selection activeCell="O31" sqref="O31"/>
    </sheetView>
  </sheetViews>
  <sheetFormatPr defaultColWidth="10" defaultRowHeight="15" customHeight="1"/>
  <cols>
    <col min="1" max="1" width="1.5" style="16" customWidth="1"/>
    <col min="2" max="2" width="4.25" style="16" customWidth="1"/>
    <col min="3" max="3" width="35" style="16" customWidth="1"/>
    <col min="4" max="4" width="21.875" style="16" customWidth="1"/>
    <col min="5" max="5" width="15.375" style="16" customWidth="1"/>
    <col min="6" max="13" width="3.75" style="16" customWidth="1"/>
    <col min="14" max="14" width="12.5" style="16" customWidth="1"/>
    <col min="15" max="15" width="10.75" style="16" bestFit="1" customWidth="1"/>
    <col min="16" max="16" width="12" style="16" bestFit="1" customWidth="1"/>
    <col min="17" max="17" width="11" style="16" customWidth="1"/>
    <col min="18" max="18" width="1.5" style="16" customWidth="1"/>
    <col min="19" max="21" width="10" style="16"/>
    <col min="22" max="22" width="11.625" style="16" bestFit="1" customWidth="1"/>
    <col min="23" max="24" width="10" style="16"/>
    <col min="25" max="25" width="10.75" style="16" bestFit="1" customWidth="1"/>
    <col min="26" max="26" width="12.125" style="16" bestFit="1" customWidth="1"/>
    <col min="27" max="250" width="10" style="16"/>
    <col min="251" max="251" width="4.25" style="16" customWidth="1"/>
    <col min="252" max="252" width="28.25" style="16" customWidth="1"/>
    <col min="253" max="272" width="3.75" style="16" customWidth="1"/>
    <col min="273" max="273" width="12.5" style="16" customWidth="1"/>
    <col min="274" max="274" width="9.875" style="16" customWidth="1"/>
    <col min="275" max="276" width="11" style="16" customWidth="1"/>
    <col min="277" max="506" width="10" style="16"/>
    <col min="507" max="507" width="4.25" style="16" customWidth="1"/>
    <col min="508" max="508" width="28.25" style="16" customWidth="1"/>
    <col min="509" max="528" width="3.75" style="16" customWidth="1"/>
    <col min="529" max="529" width="12.5" style="16" customWidth="1"/>
    <col min="530" max="530" width="9.875" style="16" customWidth="1"/>
    <col min="531" max="532" width="11" style="16" customWidth="1"/>
    <col min="533" max="762" width="10" style="16"/>
    <col min="763" max="763" width="4.25" style="16" customWidth="1"/>
    <col min="764" max="764" width="28.25" style="16" customWidth="1"/>
    <col min="765" max="784" width="3.75" style="16" customWidth="1"/>
    <col min="785" max="785" width="12.5" style="16" customWidth="1"/>
    <col min="786" max="786" width="9.875" style="16" customWidth="1"/>
    <col min="787" max="788" width="11" style="16" customWidth="1"/>
    <col min="789" max="1018" width="10" style="16"/>
    <col min="1019" max="1019" width="4.25" style="16" customWidth="1"/>
    <col min="1020" max="1020" width="28.25" style="16" customWidth="1"/>
    <col min="1021" max="1040" width="3.75" style="16" customWidth="1"/>
    <col min="1041" max="1041" width="12.5" style="16" customWidth="1"/>
    <col min="1042" max="1042" width="9.875" style="16" customWidth="1"/>
    <col min="1043" max="1044" width="11" style="16" customWidth="1"/>
    <col min="1045" max="1274" width="10" style="16"/>
    <col min="1275" max="1275" width="4.25" style="16" customWidth="1"/>
    <col min="1276" max="1276" width="28.25" style="16" customWidth="1"/>
    <col min="1277" max="1296" width="3.75" style="16" customWidth="1"/>
    <col min="1297" max="1297" width="12.5" style="16" customWidth="1"/>
    <col min="1298" max="1298" width="9.875" style="16" customWidth="1"/>
    <col min="1299" max="1300" width="11" style="16" customWidth="1"/>
    <col min="1301" max="1530" width="10" style="16"/>
    <col min="1531" max="1531" width="4.25" style="16" customWidth="1"/>
    <col min="1532" max="1532" width="28.25" style="16" customWidth="1"/>
    <col min="1533" max="1552" width="3.75" style="16" customWidth="1"/>
    <col min="1553" max="1553" width="12.5" style="16" customWidth="1"/>
    <col min="1554" max="1554" width="9.875" style="16" customWidth="1"/>
    <col min="1555" max="1556" width="11" style="16" customWidth="1"/>
    <col min="1557" max="1786" width="10" style="16"/>
    <col min="1787" max="1787" width="4.25" style="16" customWidth="1"/>
    <col min="1788" max="1788" width="28.25" style="16" customWidth="1"/>
    <col min="1789" max="1808" width="3.75" style="16" customWidth="1"/>
    <col min="1809" max="1809" width="12.5" style="16" customWidth="1"/>
    <col min="1810" max="1810" width="9.875" style="16" customWidth="1"/>
    <col min="1811" max="1812" width="11" style="16" customWidth="1"/>
    <col min="1813" max="2042" width="10" style="16"/>
    <col min="2043" max="2043" width="4.25" style="16" customWidth="1"/>
    <col min="2044" max="2044" width="28.25" style="16" customWidth="1"/>
    <col min="2045" max="2064" width="3.75" style="16" customWidth="1"/>
    <col min="2065" max="2065" width="12.5" style="16" customWidth="1"/>
    <col min="2066" max="2066" width="9.875" style="16" customWidth="1"/>
    <col min="2067" max="2068" width="11" style="16" customWidth="1"/>
    <col min="2069" max="2298" width="10" style="16"/>
    <col min="2299" max="2299" width="4.25" style="16" customWidth="1"/>
    <col min="2300" max="2300" width="28.25" style="16" customWidth="1"/>
    <col min="2301" max="2320" width="3.75" style="16" customWidth="1"/>
    <col min="2321" max="2321" width="12.5" style="16" customWidth="1"/>
    <col min="2322" max="2322" width="9.875" style="16" customWidth="1"/>
    <col min="2323" max="2324" width="11" style="16" customWidth="1"/>
    <col min="2325" max="2554" width="10" style="16"/>
    <col min="2555" max="2555" width="4.25" style="16" customWidth="1"/>
    <col min="2556" max="2556" width="28.25" style="16" customWidth="1"/>
    <col min="2557" max="2576" width="3.75" style="16" customWidth="1"/>
    <col min="2577" max="2577" width="12.5" style="16" customWidth="1"/>
    <col min="2578" max="2578" width="9.875" style="16" customWidth="1"/>
    <col min="2579" max="2580" width="11" style="16" customWidth="1"/>
    <col min="2581" max="2810" width="10" style="16"/>
    <col min="2811" max="2811" width="4.25" style="16" customWidth="1"/>
    <col min="2812" max="2812" width="28.25" style="16" customWidth="1"/>
    <col min="2813" max="2832" width="3.75" style="16" customWidth="1"/>
    <col min="2833" max="2833" width="12.5" style="16" customWidth="1"/>
    <col min="2834" max="2834" width="9.875" style="16" customWidth="1"/>
    <col min="2835" max="2836" width="11" style="16" customWidth="1"/>
    <col min="2837" max="3066" width="10" style="16"/>
    <col min="3067" max="3067" width="4.25" style="16" customWidth="1"/>
    <col min="3068" max="3068" width="28.25" style="16" customWidth="1"/>
    <col min="3069" max="3088" width="3.75" style="16" customWidth="1"/>
    <col min="3089" max="3089" width="12.5" style="16" customWidth="1"/>
    <col min="3090" max="3090" width="9.875" style="16" customWidth="1"/>
    <col min="3091" max="3092" width="11" style="16" customWidth="1"/>
    <col min="3093" max="3322" width="10" style="16"/>
    <col min="3323" max="3323" width="4.25" style="16" customWidth="1"/>
    <col min="3324" max="3324" width="28.25" style="16" customWidth="1"/>
    <col min="3325" max="3344" width="3.75" style="16" customWidth="1"/>
    <col min="3345" max="3345" width="12.5" style="16" customWidth="1"/>
    <col min="3346" max="3346" width="9.875" style="16" customWidth="1"/>
    <col min="3347" max="3348" width="11" style="16" customWidth="1"/>
    <col min="3349" max="3578" width="10" style="16"/>
    <col min="3579" max="3579" width="4.25" style="16" customWidth="1"/>
    <col min="3580" max="3580" width="28.25" style="16" customWidth="1"/>
    <col min="3581" max="3600" width="3.75" style="16" customWidth="1"/>
    <col min="3601" max="3601" width="12.5" style="16" customWidth="1"/>
    <col min="3602" max="3602" width="9.875" style="16" customWidth="1"/>
    <col min="3603" max="3604" width="11" style="16" customWidth="1"/>
    <col min="3605" max="3834" width="10" style="16"/>
    <col min="3835" max="3835" width="4.25" style="16" customWidth="1"/>
    <col min="3836" max="3836" width="28.25" style="16" customWidth="1"/>
    <col min="3837" max="3856" width="3.75" style="16" customWidth="1"/>
    <col min="3857" max="3857" width="12.5" style="16" customWidth="1"/>
    <col min="3858" max="3858" width="9.875" style="16" customWidth="1"/>
    <col min="3859" max="3860" width="11" style="16" customWidth="1"/>
    <col min="3861" max="4090" width="10" style="16"/>
    <col min="4091" max="4091" width="4.25" style="16" customWidth="1"/>
    <col min="4092" max="4092" width="28.25" style="16" customWidth="1"/>
    <col min="4093" max="4112" width="3.75" style="16" customWidth="1"/>
    <col min="4113" max="4113" width="12.5" style="16" customWidth="1"/>
    <col min="4114" max="4114" width="9.875" style="16" customWidth="1"/>
    <col min="4115" max="4116" width="11" style="16" customWidth="1"/>
    <col min="4117" max="4346" width="10" style="16"/>
    <col min="4347" max="4347" width="4.25" style="16" customWidth="1"/>
    <col min="4348" max="4348" width="28.25" style="16" customWidth="1"/>
    <col min="4349" max="4368" width="3.75" style="16" customWidth="1"/>
    <col min="4369" max="4369" width="12.5" style="16" customWidth="1"/>
    <col min="4370" max="4370" width="9.875" style="16" customWidth="1"/>
    <col min="4371" max="4372" width="11" style="16" customWidth="1"/>
    <col min="4373" max="4602" width="10" style="16"/>
    <col min="4603" max="4603" width="4.25" style="16" customWidth="1"/>
    <col min="4604" max="4604" width="28.25" style="16" customWidth="1"/>
    <col min="4605" max="4624" width="3.75" style="16" customWidth="1"/>
    <col min="4625" max="4625" width="12.5" style="16" customWidth="1"/>
    <col min="4626" max="4626" width="9.875" style="16" customWidth="1"/>
    <col min="4627" max="4628" width="11" style="16" customWidth="1"/>
    <col min="4629" max="4858" width="10" style="16"/>
    <col min="4859" max="4859" width="4.25" style="16" customWidth="1"/>
    <col min="4860" max="4860" width="28.25" style="16" customWidth="1"/>
    <col min="4861" max="4880" width="3.75" style="16" customWidth="1"/>
    <col min="4881" max="4881" width="12.5" style="16" customWidth="1"/>
    <col min="4882" max="4882" width="9.875" style="16" customWidth="1"/>
    <col min="4883" max="4884" width="11" style="16" customWidth="1"/>
    <col min="4885" max="5114" width="10" style="16"/>
    <col min="5115" max="5115" width="4.25" style="16" customWidth="1"/>
    <col min="5116" max="5116" width="28.25" style="16" customWidth="1"/>
    <col min="5117" max="5136" width="3.75" style="16" customWidth="1"/>
    <col min="5137" max="5137" width="12.5" style="16" customWidth="1"/>
    <col min="5138" max="5138" width="9.875" style="16" customWidth="1"/>
    <col min="5139" max="5140" width="11" style="16" customWidth="1"/>
    <col min="5141" max="5370" width="10" style="16"/>
    <col min="5371" max="5371" width="4.25" style="16" customWidth="1"/>
    <col min="5372" max="5372" width="28.25" style="16" customWidth="1"/>
    <col min="5373" max="5392" width="3.75" style="16" customWidth="1"/>
    <col min="5393" max="5393" width="12.5" style="16" customWidth="1"/>
    <col min="5394" max="5394" width="9.875" style="16" customWidth="1"/>
    <col min="5395" max="5396" width="11" style="16" customWidth="1"/>
    <col min="5397" max="5626" width="10" style="16"/>
    <col min="5627" max="5627" width="4.25" style="16" customWidth="1"/>
    <col min="5628" max="5628" width="28.25" style="16" customWidth="1"/>
    <col min="5629" max="5648" width="3.75" style="16" customWidth="1"/>
    <col min="5649" max="5649" width="12.5" style="16" customWidth="1"/>
    <col min="5650" max="5650" width="9.875" style="16" customWidth="1"/>
    <col min="5651" max="5652" width="11" style="16" customWidth="1"/>
    <col min="5653" max="5882" width="10" style="16"/>
    <col min="5883" max="5883" width="4.25" style="16" customWidth="1"/>
    <col min="5884" max="5884" width="28.25" style="16" customWidth="1"/>
    <col min="5885" max="5904" width="3.75" style="16" customWidth="1"/>
    <col min="5905" max="5905" width="12.5" style="16" customWidth="1"/>
    <col min="5906" max="5906" width="9.875" style="16" customWidth="1"/>
    <col min="5907" max="5908" width="11" style="16" customWidth="1"/>
    <col min="5909" max="6138" width="10" style="16"/>
    <col min="6139" max="6139" width="4.25" style="16" customWidth="1"/>
    <col min="6140" max="6140" width="28.25" style="16" customWidth="1"/>
    <col min="6141" max="6160" width="3.75" style="16" customWidth="1"/>
    <col min="6161" max="6161" width="12.5" style="16" customWidth="1"/>
    <col min="6162" max="6162" width="9.875" style="16" customWidth="1"/>
    <col min="6163" max="6164" width="11" style="16" customWidth="1"/>
    <col min="6165" max="6394" width="10" style="16"/>
    <col min="6395" max="6395" width="4.25" style="16" customWidth="1"/>
    <col min="6396" max="6396" width="28.25" style="16" customWidth="1"/>
    <col min="6397" max="6416" width="3.75" style="16" customWidth="1"/>
    <col min="6417" max="6417" width="12.5" style="16" customWidth="1"/>
    <col min="6418" max="6418" width="9.875" style="16" customWidth="1"/>
    <col min="6419" max="6420" width="11" style="16" customWidth="1"/>
    <col min="6421" max="6650" width="10" style="16"/>
    <col min="6651" max="6651" width="4.25" style="16" customWidth="1"/>
    <col min="6652" max="6652" width="28.25" style="16" customWidth="1"/>
    <col min="6653" max="6672" width="3.75" style="16" customWidth="1"/>
    <col min="6673" max="6673" width="12.5" style="16" customWidth="1"/>
    <col min="6674" max="6674" width="9.875" style="16" customWidth="1"/>
    <col min="6675" max="6676" width="11" style="16" customWidth="1"/>
    <col min="6677" max="6906" width="10" style="16"/>
    <col min="6907" max="6907" width="4.25" style="16" customWidth="1"/>
    <col min="6908" max="6908" width="28.25" style="16" customWidth="1"/>
    <col min="6909" max="6928" width="3.75" style="16" customWidth="1"/>
    <col min="6929" max="6929" width="12.5" style="16" customWidth="1"/>
    <col min="6930" max="6930" width="9.875" style="16" customWidth="1"/>
    <col min="6931" max="6932" width="11" style="16" customWidth="1"/>
    <col min="6933" max="7162" width="10" style="16"/>
    <col min="7163" max="7163" width="4.25" style="16" customWidth="1"/>
    <col min="7164" max="7164" width="28.25" style="16" customWidth="1"/>
    <col min="7165" max="7184" width="3.75" style="16" customWidth="1"/>
    <col min="7185" max="7185" width="12.5" style="16" customWidth="1"/>
    <col min="7186" max="7186" width="9.875" style="16" customWidth="1"/>
    <col min="7187" max="7188" width="11" style="16" customWidth="1"/>
    <col min="7189" max="7418" width="10" style="16"/>
    <col min="7419" max="7419" width="4.25" style="16" customWidth="1"/>
    <col min="7420" max="7420" width="28.25" style="16" customWidth="1"/>
    <col min="7421" max="7440" width="3.75" style="16" customWidth="1"/>
    <col min="7441" max="7441" width="12.5" style="16" customWidth="1"/>
    <col min="7442" max="7442" width="9.875" style="16" customWidth="1"/>
    <col min="7443" max="7444" width="11" style="16" customWidth="1"/>
    <col min="7445" max="7674" width="10" style="16"/>
    <col min="7675" max="7675" width="4.25" style="16" customWidth="1"/>
    <col min="7676" max="7676" width="28.25" style="16" customWidth="1"/>
    <col min="7677" max="7696" width="3.75" style="16" customWidth="1"/>
    <col min="7697" max="7697" width="12.5" style="16" customWidth="1"/>
    <col min="7698" max="7698" width="9.875" style="16" customWidth="1"/>
    <col min="7699" max="7700" width="11" style="16" customWidth="1"/>
    <col min="7701" max="7930" width="10" style="16"/>
    <col min="7931" max="7931" width="4.25" style="16" customWidth="1"/>
    <col min="7932" max="7932" width="28.25" style="16" customWidth="1"/>
    <col min="7933" max="7952" width="3.75" style="16" customWidth="1"/>
    <col min="7953" max="7953" width="12.5" style="16" customWidth="1"/>
    <col min="7954" max="7954" width="9.875" style="16" customWidth="1"/>
    <col min="7955" max="7956" width="11" style="16" customWidth="1"/>
    <col min="7957" max="8186" width="10" style="16"/>
    <col min="8187" max="8187" width="4.25" style="16" customWidth="1"/>
    <col min="8188" max="8188" width="28.25" style="16" customWidth="1"/>
    <col min="8189" max="8208" width="3.75" style="16" customWidth="1"/>
    <col min="8209" max="8209" width="12.5" style="16" customWidth="1"/>
    <col min="8210" max="8210" width="9.875" style="16" customWidth="1"/>
    <col min="8211" max="8212" width="11" style="16" customWidth="1"/>
    <col min="8213" max="8442" width="10" style="16"/>
    <col min="8443" max="8443" width="4.25" style="16" customWidth="1"/>
    <col min="8444" max="8444" width="28.25" style="16" customWidth="1"/>
    <col min="8445" max="8464" width="3.75" style="16" customWidth="1"/>
    <col min="8465" max="8465" width="12.5" style="16" customWidth="1"/>
    <col min="8466" max="8466" width="9.875" style="16" customWidth="1"/>
    <col min="8467" max="8468" width="11" style="16" customWidth="1"/>
    <col min="8469" max="8698" width="10" style="16"/>
    <col min="8699" max="8699" width="4.25" style="16" customWidth="1"/>
    <col min="8700" max="8700" width="28.25" style="16" customWidth="1"/>
    <col min="8701" max="8720" width="3.75" style="16" customWidth="1"/>
    <col min="8721" max="8721" width="12.5" style="16" customWidth="1"/>
    <col min="8722" max="8722" width="9.875" style="16" customWidth="1"/>
    <col min="8723" max="8724" width="11" style="16" customWidth="1"/>
    <col min="8725" max="8954" width="10" style="16"/>
    <col min="8955" max="8955" width="4.25" style="16" customWidth="1"/>
    <col min="8956" max="8956" width="28.25" style="16" customWidth="1"/>
    <col min="8957" max="8976" width="3.75" style="16" customWidth="1"/>
    <col min="8977" max="8977" width="12.5" style="16" customWidth="1"/>
    <col min="8978" max="8978" width="9.875" style="16" customWidth="1"/>
    <col min="8979" max="8980" width="11" style="16" customWidth="1"/>
    <col min="8981" max="9210" width="10" style="16"/>
    <col min="9211" max="9211" width="4.25" style="16" customWidth="1"/>
    <col min="9212" max="9212" width="28.25" style="16" customWidth="1"/>
    <col min="9213" max="9232" width="3.75" style="16" customWidth="1"/>
    <col min="9233" max="9233" width="12.5" style="16" customWidth="1"/>
    <col min="9234" max="9234" width="9.875" style="16" customWidth="1"/>
    <col min="9235" max="9236" width="11" style="16" customWidth="1"/>
    <col min="9237" max="9466" width="10" style="16"/>
    <col min="9467" max="9467" width="4.25" style="16" customWidth="1"/>
    <col min="9468" max="9468" width="28.25" style="16" customWidth="1"/>
    <col min="9469" max="9488" width="3.75" style="16" customWidth="1"/>
    <col min="9489" max="9489" width="12.5" style="16" customWidth="1"/>
    <col min="9490" max="9490" width="9.875" style="16" customWidth="1"/>
    <col min="9491" max="9492" width="11" style="16" customWidth="1"/>
    <col min="9493" max="9722" width="10" style="16"/>
    <col min="9723" max="9723" width="4.25" style="16" customWidth="1"/>
    <col min="9724" max="9724" width="28.25" style="16" customWidth="1"/>
    <col min="9725" max="9744" width="3.75" style="16" customWidth="1"/>
    <col min="9745" max="9745" width="12.5" style="16" customWidth="1"/>
    <col min="9746" max="9746" width="9.875" style="16" customWidth="1"/>
    <col min="9747" max="9748" width="11" style="16" customWidth="1"/>
    <col min="9749" max="9978" width="10" style="16"/>
    <col min="9979" max="9979" width="4.25" style="16" customWidth="1"/>
    <col min="9980" max="9980" width="28.25" style="16" customWidth="1"/>
    <col min="9981" max="10000" width="3.75" style="16" customWidth="1"/>
    <col min="10001" max="10001" width="12.5" style="16" customWidth="1"/>
    <col min="10002" max="10002" width="9.875" style="16" customWidth="1"/>
    <col min="10003" max="10004" width="11" style="16" customWidth="1"/>
    <col min="10005" max="10234" width="10" style="16"/>
    <col min="10235" max="10235" width="4.25" style="16" customWidth="1"/>
    <col min="10236" max="10236" width="28.25" style="16" customWidth="1"/>
    <col min="10237" max="10256" width="3.75" style="16" customWidth="1"/>
    <col min="10257" max="10257" width="12.5" style="16" customWidth="1"/>
    <col min="10258" max="10258" width="9.875" style="16" customWidth="1"/>
    <col min="10259" max="10260" width="11" style="16" customWidth="1"/>
    <col min="10261" max="10490" width="10" style="16"/>
    <col min="10491" max="10491" width="4.25" style="16" customWidth="1"/>
    <col min="10492" max="10492" width="28.25" style="16" customWidth="1"/>
    <col min="10493" max="10512" width="3.75" style="16" customWidth="1"/>
    <col min="10513" max="10513" width="12.5" style="16" customWidth="1"/>
    <col min="10514" max="10514" width="9.875" style="16" customWidth="1"/>
    <col min="10515" max="10516" width="11" style="16" customWidth="1"/>
    <col min="10517" max="10746" width="10" style="16"/>
    <col min="10747" max="10747" width="4.25" style="16" customWidth="1"/>
    <col min="10748" max="10748" width="28.25" style="16" customWidth="1"/>
    <col min="10749" max="10768" width="3.75" style="16" customWidth="1"/>
    <col min="10769" max="10769" width="12.5" style="16" customWidth="1"/>
    <col min="10770" max="10770" width="9.875" style="16" customWidth="1"/>
    <col min="10771" max="10772" width="11" style="16" customWidth="1"/>
    <col min="10773" max="11002" width="10" style="16"/>
    <col min="11003" max="11003" width="4.25" style="16" customWidth="1"/>
    <col min="11004" max="11004" width="28.25" style="16" customWidth="1"/>
    <col min="11005" max="11024" width="3.75" style="16" customWidth="1"/>
    <col min="11025" max="11025" width="12.5" style="16" customWidth="1"/>
    <col min="11026" max="11026" width="9.875" style="16" customWidth="1"/>
    <col min="11027" max="11028" width="11" style="16" customWidth="1"/>
    <col min="11029" max="11258" width="10" style="16"/>
    <col min="11259" max="11259" width="4.25" style="16" customWidth="1"/>
    <col min="11260" max="11260" width="28.25" style="16" customWidth="1"/>
    <col min="11261" max="11280" width="3.75" style="16" customWidth="1"/>
    <col min="11281" max="11281" width="12.5" style="16" customWidth="1"/>
    <col min="11282" max="11282" width="9.875" style="16" customWidth="1"/>
    <col min="11283" max="11284" width="11" style="16" customWidth="1"/>
    <col min="11285" max="11514" width="10" style="16"/>
    <col min="11515" max="11515" width="4.25" style="16" customWidth="1"/>
    <col min="11516" max="11516" width="28.25" style="16" customWidth="1"/>
    <col min="11517" max="11536" width="3.75" style="16" customWidth="1"/>
    <col min="11537" max="11537" width="12.5" style="16" customWidth="1"/>
    <col min="11538" max="11538" width="9.875" style="16" customWidth="1"/>
    <col min="11539" max="11540" width="11" style="16" customWidth="1"/>
    <col min="11541" max="11770" width="10" style="16"/>
    <col min="11771" max="11771" width="4.25" style="16" customWidth="1"/>
    <col min="11772" max="11772" width="28.25" style="16" customWidth="1"/>
    <col min="11773" max="11792" width="3.75" style="16" customWidth="1"/>
    <col min="11793" max="11793" width="12.5" style="16" customWidth="1"/>
    <col min="11794" max="11794" width="9.875" style="16" customWidth="1"/>
    <col min="11795" max="11796" width="11" style="16" customWidth="1"/>
    <col min="11797" max="12026" width="10" style="16"/>
    <col min="12027" max="12027" width="4.25" style="16" customWidth="1"/>
    <col min="12028" max="12028" width="28.25" style="16" customWidth="1"/>
    <col min="12029" max="12048" width="3.75" style="16" customWidth="1"/>
    <col min="12049" max="12049" width="12.5" style="16" customWidth="1"/>
    <col min="12050" max="12050" width="9.875" style="16" customWidth="1"/>
    <col min="12051" max="12052" width="11" style="16" customWidth="1"/>
    <col min="12053" max="12282" width="10" style="16"/>
    <col min="12283" max="12283" width="4.25" style="16" customWidth="1"/>
    <col min="12284" max="12284" width="28.25" style="16" customWidth="1"/>
    <col min="12285" max="12304" width="3.75" style="16" customWidth="1"/>
    <col min="12305" max="12305" width="12.5" style="16" customWidth="1"/>
    <col min="12306" max="12306" width="9.875" style="16" customWidth="1"/>
    <col min="12307" max="12308" width="11" style="16" customWidth="1"/>
    <col min="12309" max="12538" width="10" style="16"/>
    <col min="12539" max="12539" width="4.25" style="16" customWidth="1"/>
    <col min="12540" max="12540" width="28.25" style="16" customWidth="1"/>
    <col min="12541" max="12560" width="3.75" style="16" customWidth="1"/>
    <col min="12561" max="12561" width="12.5" style="16" customWidth="1"/>
    <col min="12562" max="12562" width="9.875" style="16" customWidth="1"/>
    <col min="12563" max="12564" width="11" style="16" customWidth="1"/>
    <col min="12565" max="12794" width="10" style="16"/>
    <col min="12795" max="12795" width="4.25" style="16" customWidth="1"/>
    <col min="12796" max="12796" width="28.25" style="16" customWidth="1"/>
    <col min="12797" max="12816" width="3.75" style="16" customWidth="1"/>
    <col min="12817" max="12817" width="12.5" style="16" customWidth="1"/>
    <col min="12818" max="12818" width="9.875" style="16" customWidth="1"/>
    <col min="12819" max="12820" width="11" style="16" customWidth="1"/>
    <col min="12821" max="13050" width="10" style="16"/>
    <col min="13051" max="13051" width="4.25" style="16" customWidth="1"/>
    <col min="13052" max="13052" width="28.25" style="16" customWidth="1"/>
    <col min="13053" max="13072" width="3.75" style="16" customWidth="1"/>
    <col min="13073" max="13073" width="12.5" style="16" customWidth="1"/>
    <col min="13074" max="13074" width="9.875" style="16" customWidth="1"/>
    <col min="13075" max="13076" width="11" style="16" customWidth="1"/>
    <col min="13077" max="13306" width="10" style="16"/>
    <col min="13307" max="13307" width="4.25" style="16" customWidth="1"/>
    <col min="13308" max="13308" width="28.25" style="16" customWidth="1"/>
    <col min="13309" max="13328" width="3.75" style="16" customWidth="1"/>
    <col min="13329" max="13329" width="12.5" style="16" customWidth="1"/>
    <col min="13330" max="13330" width="9.875" style="16" customWidth="1"/>
    <col min="13331" max="13332" width="11" style="16" customWidth="1"/>
    <col min="13333" max="13562" width="10" style="16"/>
    <col min="13563" max="13563" width="4.25" style="16" customWidth="1"/>
    <col min="13564" max="13564" width="28.25" style="16" customWidth="1"/>
    <col min="13565" max="13584" width="3.75" style="16" customWidth="1"/>
    <col min="13585" max="13585" width="12.5" style="16" customWidth="1"/>
    <col min="13586" max="13586" width="9.875" style="16" customWidth="1"/>
    <col min="13587" max="13588" width="11" style="16" customWidth="1"/>
    <col min="13589" max="13818" width="10" style="16"/>
    <col min="13819" max="13819" width="4.25" style="16" customWidth="1"/>
    <col min="13820" max="13820" width="28.25" style="16" customWidth="1"/>
    <col min="13821" max="13840" width="3.75" style="16" customWidth="1"/>
    <col min="13841" max="13841" width="12.5" style="16" customWidth="1"/>
    <col min="13842" max="13842" width="9.875" style="16" customWidth="1"/>
    <col min="13843" max="13844" width="11" style="16" customWidth="1"/>
    <col min="13845" max="14074" width="10" style="16"/>
    <col min="14075" max="14075" width="4.25" style="16" customWidth="1"/>
    <col min="14076" max="14076" width="28.25" style="16" customWidth="1"/>
    <col min="14077" max="14096" width="3.75" style="16" customWidth="1"/>
    <col min="14097" max="14097" width="12.5" style="16" customWidth="1"/>
    <col min="14098" max="14098" width="9.875" style="16" customWidth="1"/>
    <col min="14099" max="14100" width="11" style="16" customWidth="1"/>
    <col min="14101" max="14330" width="10" style="16"/>
    <col min="14331" max="14331" width="4.25" style="16" customWidth="1"/>
    <col min="14332" max="14332" width="28.25" style="16" customWidth="1"/>
    <col min="14333" max="14352" width="3.75" style="16" customWidth="1"/>
    <col min="14353" max="14353" width="12.5" style="16" customWidth="1"/>
    <col min="14354" max="14354" width="9.875" style="16" customWidth="1"/>
    <col min="14355" max="14356" width="11" style="16" customWidth="1"/>
    <col min="14357" max="14586" width="10" style="16"/>
    <col min="14587" max="14587" width="4.25" style="16" customWidth="1"/>
    <col min="14588" max="14588" width="28.25" style="16" customWidth="1"/>
    <col min="14589" max="14608" width="3.75" style="16" customWidth="1"/>
    <col min="14609" max="14609" width="12.5" style="16" customWidth="1"/>
    <col min="14610" max="14610" width="9.875" style="16" customWidth="1"/>
    <col min="14611" max="14612" width="11" style="16" customWidth="1"/>
    <col min="14613" max="14842" width="10" style="16"/>
    <col min="14843" max="14843" width="4.25" style="16" customWidth="1"/>
    <col min="14844" max="14844" width="28.25" style="16" customWidth="1"/>
    <col min="14845" max="14864" width="3.75" style="16" customWidth="1"/>
    <col min="14865" max="14865" width="12.5" style="16" customWidth="1"/>
    <col min="14866" max="14866" width="9.875" style="16" customWidth="1"/>
    <col min="14867" max="14868" width="11" style="16" customWidth="1"/>
    <col min="14869" max="15098" width="10" style="16"/>
    <col min="15099" max="15099" width="4.25" style="16" customWidth="1"/>
    <col min="15100" max="15100" width="28.25" style="16" customWidth="1"/>
    <col min="15101" max="15120" width="3.75" style="16" customWidth="1"/>
    <col min="15121" max="15121" width="12.5" style="16" customWidth="1"/>
    <col min="15122" max="15122" width="9.875" style="16" customWidth="1"/>
    <col min="15123" max="15124" width="11" style="16" customWidth="1"/>
    <col min="15125" max="15354" width="10" style="16"/>
    <col min="15355" max="15355" width="4.25" style="16" customWidth="1"/>
    <col min="15356" max="15356" width="28.25" style="16" customWidth="1"/>
    <col min="15357" max="15376" width="3.75" style="16" customWidth="1"/>
    <col min="15377" max="15377" width="12.5" style="16" customWidth="1"/>
    <col min="15378" max="15378" width="9.875" style="16" customWidth="1"/>
    <col min="15379" max="15380" width="11" style="16" customWidth="1"/>
    <col min="15381" max="15610" width="10" style="16"/>
    <col min="15611" max="15611" width="4.25" style="16" customWidth="1"/>
    <col min="15612" max="15612" width="28.25" style="16" customWidth="1"/>
    <col min="15613" max="15632" width="3.75" style="16" customWidth="1"/>
    <col min="15633" max="15633" width="12.5" style="16" customWidth="1"/>
    <col min="15634" max="15634" width="9.875" style="16" customWidth="1"/>
    <col min="15635" max="15636" width="11" style="16" customWidth="1"/>
    <col min="15637" max="15866" width="10" style="16"/>
    <col min="15867" max="15867" width="4.25" style="16" customWidth="1"/>
    <col min="15868" max="15868" width="28.25" style="16" customWidth="1"/>
    <col min="15869" max="15888" width="3.75" style="16" customWidth="1"/>
    <col min="15889" max="15889" width="12.5" style="16" customWidth="1"/>
    <col min="15890" max="15890" width="9.875" style="16" customWidth="1"/>
    <col min="15891" max="15892" width="11" style="16" customWidth="1"/>
    <col min="15893" max="16122" width="10" style="16"/>
    <col min="16123" max="16123" width="4.25" style="16" customWidth="1"/>
    <col min="16124" max="16124" width="28.25" style="16" customWidth="1"/>
    <col min="16125" max="16144" width="3.75" style="16" customWidth="1"/>
    <col min="16145" max="16145" width="12.5" style="16" customWidth="1"/>
    <col min="16146" max="16146" width="9.875" style="16" customWidth="1"/>
    <col min="16147" max="16148" width="11" style="16" customWidth="1"/>
    <col min="16149" max="16384" width="10" style="16"/>
  </cols>
  <sheetData>
    <row r="1" spans="2:27" s="17" customFormat="1" ht="11.25" customHeight="1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2:27" s="17" customFormat="1" ht="24" customHeight="1">
      <c r="B2" s="36"/>
      <c r="C2" s="36"/>
      <c r="D2" s="174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2:27" ht="29.25" customHeight="1">
      <c r="B3" s="37" t="s">
        <v>25</v>
      </c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51"/>
      <c r="T3" s="51"/>
      <c r="U3" s="51"/>
      <c r="V3" s="51"/>
      <c r="W3" s="51"/>
      <c r="X3" s="51"/>
      <c r="Y3" s="51"/>
    </row>
    <row r="4" spans="2:27" ht="12.75">
      <c r="B4" s="18" t="s">
        <v>79</v>
      </c>
      <c r="F4" s="400" t="s">
        <v>24</v>
      </c>
      <c r="G4" s="401"/>
      <c r="H4" s="401"/>
      <c r="I4" s="401"/>
      <c r="J4" s="401"/>
      <c r="K4" s="401"/>
      <c r="L4" s="401"/>
      <c r="M4" s="402"/>
      <c r="Q4" s="40" t="s">
        <v>194</v>
      </c>
      <c r="AA4" s="40" t="s">
        <v>194</v>
      </c>
    </row>
    <row r="6" spans="2:27" ht="15" customHeight="1" thickBot="1">
      <c r="F6" s="397" t="s">
        <v>53</v>
      </c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</row>
    <row r="7" spans="2:27" s="18" customFormat="1" ht="13.5" customHeight="1">
      <c r="B7" s="389" t="s">
        <v>16</v>
      </c>
      <c r="C7" s="403" t="s">
        <v>17</v>
      </c>
      <c r="D7" s="404" t="s">
        <v>14</v>
      </c>
      <c r="E7" s="404" t="s">
        <v>15</v>
      </c>
      <c r="F7" s="395">
        <v>2018</v>
      </c>
      <c r="G7" s="396"/>
      <c r="H7" s="396"/>
      <c r="I7" s="396"/>
      <c r="J7" s="396"/>
      <c r="K7" s="396"/>
      <c r="L7" s="396"/>
      <c r="M7" s="396"/>
      <c r="N7" s="88" t="s">
        <v>8</v>
      </c>
      <c r="O7" s="393" t="s">
        <v>20</v>
      </c>
      <c r="P7" s="394"/>
      <c r="Q7" s="387" t="s">
        <v>22</v>
      </c>
      <c r="S7" s="87" t="s">
        <v>8</v>
      </c>
      <c r="T7" s="176" t="s">
        <v>109</v>
      </c>
      <c r="U7" s="185" t="s">
        <v>109</v>
      </c>
      <c r="V7" s="88" t="s">
        <v>123</v>
      </c>
      <c r="W7" s="144" t="s">
        <v>98</v>
      </c>
      <c r="X7" s="144" t="s">
        <v>97</v>
      </c>
      <c r="Y7" s="393" t="s">
        <v>82</v>
      </c>
      <c r="Z7" s="394"/>
      <c r="AA7" s="387" t="s">
        <v>22</v>
      </c>
    </row>
    <row r="8" spans="2:27" s="18" customFormat="1" ht="13.5" thickBot="1">
      <c r="B8" s="390"/>
      <c r="C8" s="392"/>
      <c r="D8" s="405"/>
      <c r="E8" s="405"/>
      <c r="F8" s="237">
        <v>1</v>
      </c>
      <c r="G8" s="238">
        <v>2</v>
      </c>
      <c r="H8" s="238">
        <v>3</v>
      </c>
      <c r="I8" s="177">
        <v>4</v>
      </c>
      <c r="J8" s="177">
        <v>5</v>
      </c>
      <c r="K8" s="177">
        <v>6</v>
      </c>
      <c r="L8" s="177">
        <v>7</v>
      </c>
      <c r="M8" s="177">
        <v>8</v>
      </c>
      <c r="N8" s="32" t="s">
        <v>21</v>
      </c>
      <c r="O8" s="35" t="s">
        <v>19</v>
      </c>
      <c r="P8" s="31" t="s">
        <v>18</v>
      </c>
      <c r="Q8" s="388"/>
      <c r="S8" s="75" t="s">
        <v>21</v>
      </c>
      <c r="T8" s="32" t="s">
        <v>33</v>
      </c>
      <c r="U8" s="32" t="s">
        <v>52</v>
      </c>
      <c r="V8" s="32" t="s">
        <v>178</v>
      </c>
      <c r="W8" s="32" t="s">
        <v>178</v>
      </c>
      <c r="X8" s="32" t="s">
        <v>178</v>
      </c>
      <c r="Y8" s="35" t="s">
        <v>19</v>
      </c>
      <c r="Z8" s="31" t="s">
        <v>18</v>
      </c>
      <c r="AA8" s="388"/>
    </row>
    <row r="9" spans="2:27" ht="13.5" thickTop="1">
      <c r="B9" s="229" t="s">
        <v>29</v>
      </c>
      <c r="C9" s="232" t="s">
        <v>165</v>
      </c>
      <c r="D9" s="233" t="s">
        <v>199</v>
      </c>
      <c r="E9" s="234" t="s">
        <v>122</v>
      </c>
      <c r="F9" s="25">
        <v>1</v>
      </c>
      <c r="G9" s="235">
        <v>1</v>
      </c>
      <c r="H9" s="235">
        <v>1</v>
      </c>
      <c r="I9" s="22">
        <v>1</v>
      </c>
      <c r="J9" s="22">
        <v>1</v>
      </c>
      <c r="K9" s="71">
        <v>1</v>
      </c>
      <c r="L9" s="71">
        <v>0.5</v>
      </c>
      <c r="M9" s="71"/>
      <c r="N9" s="67">
        <f>SUM(F9:M9)</f>
        <v>6.5</v>
      </c>
      <c r="O9" s="345">
        <v>90000</v>
      </c>
      <c r="P9" s="346">
        <f>N9*O9</f>
        <v>585000</v>
      </c>
      <c r="Q9" s="28"/>
      <c r="S9" s="76">
        <f t="shared" ref="S9:S11" si="0">N9</f>
        <v>6.5</v>
      </c>
      <c r="T9" s="67">
        <v>150</v>
      </c>
      <c r="U9" s="67">
        <f>T9*640</f>
        <v>96000</v>
      </c>
      <c r="V9" s="67">
        <v>20000</v>
      </c>
      <c r="W9" s="67">
        <v>10000</v>
      </c>
      <c r="X9" s="67">
        <v>0</v>
      </c>
      <c r="Y9" s="349">
        <f>SUM(U9:X9)</f>
        <v>126000</v>
      </c>
      <c r="Z9" s="350">
        <f>S9*Y9</f>
        <v>819000</v>
      </c>
      <c r="AA9" s="28"/>
    </row>
    <row r="10" spans="2:27" ht="12.75">
      <c r="B10" s="231"/>
      <c r="C10" s="230" t="s">
        <v>164</v>
      </c>
      <c r="D10" s="233" t="s">
        <v>200</v>
      </c>
      <c r="E10" s="234" t="s">
        <v>122</v>
      </c>
      <c r="F10" s="25">
        <v>1</v>
      </c>
      <c r="G10" s="235">
        <v>1</v>
      </c>
      <c r="H10" s="235">
        <v>1</v>
      </c>
      <c r="I10" s="22">
        <v>1</v>
      </c>
      <c r="J10" s="22">
        <v>1</v>
      </c>
      <c r="K10" s="71">
        <v>1</v>
      </c>
      <c r="L10" s="71">
        <v>0.5</v>
      </c>
      <c r="M10" s="60"/>
      <c r="N10" s="67">
        <f>SUM(F10:M10)</f>
        <v>6.5</v>
      </c>
      <c r="O10" s="347">
        <v>60000</v>
      </c>
      <c r="P10" s="346">
        <f t="shared" ref="P10:P11" si="1">N10*O10</f>
        <v>390000</v>
      </c>
      <c r="Q10" s="29"/>
      <c r="S10" s="76">
        <f t="shared" si="0"/>
        <v>6.5</v>
      </c>
      <c r="T10" s="67">
        <v>15</v>
      </c>
      <c r="U10" s="67">
        <f>T10*972</f>
        <v>14580</v>
      </c>
      <c r="V10" s="68">
        <v>10000</v>
      </c>
      <c r="W10" s="68">
        <v>5000</v>
      </c>
      <c r="X10" s="68">
        <v>0</v>
      </c>
      <c r="Y10" s="349">
        <f t="shared" ref="Y10:Y11" si="2">SUM(U10:X10)</f>
        <v>29580</v>
      </c>
      <c r="Z10" s="350">
        <f t="shared" ref="Z10:Z11" si="3">S10*Y10</f>
        <v>192270</v>
      </c>
      <c r="AA10" s="29"/>
    </row>
    <row r="11" spans="2:27" ht="12.75">
      <c r="B11" s="231"/>
      <c r="C11" s="232" t="s">
        <v>162</v>
      </c>
      <c r="D11" s="233" t="s">
        <v>166</v>
      </c>
      <c r="E11" s="234" t="s">
        <v>122</v>
      </c>
      <c r="F11" s="25">
        <v>1</v>
      </c>
      <c r="G11" s="235">
        <v>1</v>
      </c>
      <c r="H11" s="235">
        <v>1</v>
      </c>
      <c r="I11" s="22">
        <v>1</v>
      </c>
      <c r="J11" s="22">
        <v>1</v>
      </c>
      <c r="K11" s="71">
        <v>1</v>
      </c>
      <c r="L11" s="71">
        <v>0.5</v>
      </c>
      <c r="M11" s="60"/>
      <c r="N11" s="67">
        <f>SUM(F11:M11)</f>
        <v>6.5</v>
      </c>
      <c r="O11" s="347">
        <v>15000</v>
      </c>
      <c r="P11" s="346">
        <f t="shared" si="1"/>
        <v>97500</v>
      </c>
      <c r="Q11" s="29"/>
      <c r="S11" s="76">
        <f t="shared" si="0"/>
        <v>6.5</v>
      </c>
      <c r="T11" s="67">
        <v>9</v>
      </c>
      <c r="U11" s="67">
        <f>T11*672</f>
        <v>6048</v>
      </c>
      <c r="V11" s="68">
        <v>10000</v>
      </c>
      <c r="W11" s="68">
        <v>3000</v>
      </c>
      <c r="X11" s="68">
        <v>0</v>
      </c>
      <c r="Y11" s="349">
        <f t="shared" si="2"/>
        <v>19048</v>
      </c>
      <c r="Z11" s="350">
        <f t="shared" si="3"/>
        <v>123812</v>
      </c>
      <c r="AA11" s="29"/>
    </row>
    <row r="12" spans="2:27" ht="13.5">
      <c r="B12" s="53"/>
      <c r="C12" s="55"/>
      <c r="D12" s="56"/>
      <c r="E12" s="69"/>
      <c r="F12" s="26"/>
      <c r="G12" s="19"/>
      <c r="H12" s="19"/>
      <c r="I12" s="19"/>
      <c r="J12" s="23"/>
      <c r="K12" s="50"/>
      <c r="L12" s="50"/>
      <c r="M12" s="50"/>
      <c r="N12" s="67"/>
      <c r="O12" s="347"/>
      <c r="P12" s="346"/>
      <c r="Q12" s="29"/>
      <c r="S12" s="76"/>
      <c r="T12" s="67"/>
      <c r="U12" s="67"/>
      <c r="V12" s="68"/>
      <c r="W12" s="68"/>
      <c r="X12" s="68"/>
      <c r="Y12" s="349"/>
      <c r="Z12" s="350"/>
      <c r="AA12" s="29"/>
    </row>
    <row r="13" spans="2:27" ht="13.5">
      <c r="B13" s="53"/>
      <c r="C13" s="55"/>
      <c r="D13" s="56"/>
      <c r="E13" s="69"/>
      <c r="F13" s="26"/>
      <c r="G13" s="19"/>
      <c r="H13" s="19"/>
      <c r="I13" s="19"/>
      <c r="J13" s="23"/>
      <c r="K13" s="50"/>
      <c r="L13" s="50"/>
      <c r="M13" s="50"/>
      <c r="N13" s="67"/>
      <c r="O13" s="73"/>
      <c r="P13" s="72"/>
      <c r="Q13" s="29"/>
      <c r="S13" s="76"/>
      <c r="T13" s="67"/>
      <c r="U13" s="67"/>
      <c r="V13" s="68"/>
      <c r="W13" s="68"/>
      <c r="X13" s="68"/>
      <c r="Y13" s="349"/>
      <c r="Z13" s="350"/>
      <c r="AA13" s="29"/>
    </row>
    <row r="14" spans="2:27" ht="13.5">
      <c r="B14" s="54"/>
      <c r="C14" s="55"/>
      <c r="D14" s="56"/>
      <c r="E14" s="69"/>
      <c r="F14" s="26"/>
      <c r="G14" s="19"/>
      <c r="H14" s="19"/>
      <c r="I14" s="19"/>
      <c r="J14" s="19"/>
      <c r="K14" s="19"/>
      <c r="L14" s="19"/>
      <c r="M14" s="19"/>
      <c r="N14" s="67"/>
      <c r="O14" s="73"/>
      <c r="P14" s="72"/>
      <c r="Q14" s="29"/>
      <c r="S14" s="76"/>
      <c r="T14" s="67"/>
      <c r="U14" s="67"/>
      <c r="V14" s="68"/>
      <c r="W14" s="68"/>
      <c r="X14" s="68"/>
      <c r="Y14" s="349"/>
      <c r="Z14" s="350"/>
      <c r="AA14" s="29"/>
    </row>
    <row r="15" spans="2:27" ht="13.5">
      <c r="B15" s="53"/>
      <c r="C15" s="55"/>
      <c r="D15" s="56"/>
      <c r="E15" s="69"/>
      <c r="F15" s="26"/>
      <c r="G15" s="19"/>
      <c r="H15" s="19"/>
      <c r="I15" s="19"/>
      <c r="J15" s="19"/>
      <c r="K15" s="19"/>
      <c r="L15" s="19"/>
      <c r="M15" s="19"/>
      <c r="N15" s="67"/>
      <c r="O15" s="73"/>
      <c r="P15" s="72"/>
      <c r="Q15" s="29"/>
      <c r="S15" s="76"/>
      <c r="T15" s="67"/>
      <c r="U15" s="67"/>
      <c r="V15" s="68"/>
      <c r="W15" s="68"/>
      <c r="X15" s="68"/>
      <c r="Y15" s="349"/>
      <c r="Z15" s="350"/>
      <c r="AA15" s="29"/>
    </row>
    <row r="16" spans="2:27" ht="13.5">
      <c r="B16" s="53"/>
      <c r="C16" s="55"/>
      <c r="D16" s="56"/>
      <c r="E16" s="70"/>
      <c r="F16" s="26"/>
      <c r="G16" s="19"/>
      <c r="H16" s="19"/>
      <c r="I16" s="19"/>
      <c r="J16" s="19"/>
      <c r="K16" s="19"/>
      <c r="L16" s="19"/>
      <c r="M16" s="19"/>
      <c r="N16" s="67"/>
      <c r="O16" s="73"/>
      <c r="P16" s="72"/>
      <c r="Q16" s="29"/>
      <c r="S16" s="76"/>
      <c r="T16" s="67"/>
      <c r="U16" s="67"/>
      <c r="V16" s="68"/>
      <c r="W16" s="68"/>
      <c r="X16" s="68"/>
      <c r="Y16" s="349"/>
      <c r="Z16" s="350"/>
      <c r="AA16" s="29"/>
    </row>
    <row r="17" spans="2:27" ht="13.5">
      <c r="B17" s="53"/>
      <c r="C17" s="55"/>
      <c r="D17" s="56"/>
      <c r="E17" s="70"/>
      <c r="F17" s="26"/>
      <c r="G17" s="19"/>
      <c r="H17" s="19"/>
      <c r="I17" s="19"/>
      <c r="J17" s="19"/>
      <c r="K17" s="19"/>
      <c r="L17" s="19"/>
      <c r="M17" s="19"/>
      <c r="N17" s="67"/>
      <c r="O17" s="73"/>
      <c r="P17" s="72"/>
      <c r="Q17" s="29"/>
      <c r="S17" s="76"/>
      <c r="T17" s="67"/>
      <c r="U17" s="67"/>
      <c r="V17" s="68"/>
      <c r="W17" s="68"/>
      <c r="X17" s="68"/>
      <c r="Y17" s="349"/>
      <c r="Z17" s="350"/>
      <c r="AA17" s="29"/>
    </row>
    <row r="18" spans="2:27" ht="13.5" thickBot="1">
      <c r="B18" s="20"/>
      <c r="C18" s="24" t="s">
        <v>8</v>
      </c>
      <c r="D18" s="38"/>
      <c r="E18" s="39"/>
      <c r="F18" s="27"/>
      <c r="G18" s="21"/>
      <c r="H18" s="21"/>
      <c r="I18" s="21"/>
      <c r="J18" s="21"/>
      <c r="K18" s="21"/>
      <c r="L18" s="21"/>
      <c r="M18" s="21"/>
      <c r="N18" s="34"/>
      <c r="O18" s="290"/>
      <c r="P18" s="348">
        <f>SUM(P9:P17)</f>
        <v>1072500</v>
      </c>
      <c r="Q18" s="30"/>
      <c r="S18" s="77"/>
      <c r="T18" s="34"/>
      <c r="U18" s="34"/>
      <c r="V18" s="34"/>
      <c r="W18" s="34"/>
      <c r="X18" s="34"/>
      <c r="Y18" s="351"/>
      <c r="Z18" s="348">
        <f>SUM(Z9:Z17)</f>
        <v>1135082</v>
      </c>
      <c r="AA18" s="30"/>
    </row>
    <row r="21" spans="2:27" ht="15" customHeight="1">
      <c r="O21" s="86"/>
      <c r="Z21" s="86"/>
    </row>
    <row r="22" spans="2:27" ht="15" customHeight="1">
      <c r="H22" s="398"/>
      <c r="I22" s="398"/>
      <c r="J22" s="398"/>
      <c r="O22" s="86"/>
    </row>
    <row r="23" spans="2:27" ht="15" customHeight="1">
      <c r="H23" s="398"/>
      <c r="I23" s="398"/>
      <c r="J23" s="398"/>
    </row>
    <row r="24" spans="2:27" ht="15" customHeight="1">
      <c r="H24" s="398"/>
      <c r="I24" s="398"/>
      <c r="J24" s="398"/>
    </row>
  </sheetData>
  <mergeCells count="15">
    <mergeCell ref="H23:J23"/>
    <mergeCell ref="H24:J24"/>
    <mergeCell ref="F3:R3"/>
    <mergeCell ref="F4:M4"/>
    <mergeCell ref="B7:B8"/>
    <mergeCell ref="C7:C8"/>
    <mergeCell ref="D7:D8"/>
    <mergeCell ref="E7:E8"/>
    <mergeCell ref="H22:J22"/>
    <mergeCell ref="AA7:AA8"/>
    <mergeCell ref="F6:Q6"/>
    <mergeCell ref="O7:P7"/>
    <mergeCell ref="Q7:Q8"/>
    <mergeCell ref="Y7:Z7"/>
    <mergeCell ref="F7:M7"/>
  </mergeCells>
  <printOptions horizontalCentered="1"/>
  <pageMargins left="0.31496062992125984" right="0.31496062992125984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B1:F10"/>
  <sheetViews>
    <sheetView zoomScaleNormal="100" zoomScaleSheetLayoutView="100" workbookViewId="0">
      <selection activeCell="I8" sqref="I8"/>
    </sheetView>
  </sheetViews>
  <sheetFormatPr defaultRowHeight="24" customHeight="1"/>
  <cols>
    <col min="1" max="1" width="4.25" style="159" customWidth="1"/>
    <col min="2" max="2" width="34.625" style="159" customWidth="1"/>
    <col min="3" max="4" width="10.75" style="159" customWidth="1"/>
    <col min="5" max="5" width="14.625" style="159" customWidth="1"/>
    <col min="6" max="6" width="24.25" style="159" customWidth="1"/>
    <col min="7" max="7" width="2.875" style="159" customWidth="1"/>
    <col min="8" max="8" width="14.125" style="159" customWidth="1"/>
    <col min="9" max="9" width="15.875" style="159" customWidth="1"/>
    <col min="10" max="10" width="13.5" style="159" customWidth="1"/>
    <col min="11" max="11" width="15.625" style="159" customWidth="1"/>
    <col min="12" max="13" width="13.25" style="159" customWidth="1"/>
    <col min="14" max="15" width="12" style="159" customWidth="1"/>
    <col min="16" max="16" width="13" style="159" customWidth="1"/>
    <col min="17" max="256" width="9" style="159"/>
    <col min="257" max="257" width="4.25" style="159" customWidth="1"/>
    <col min="258" max="258" width="34.625" style="159" customWidth="1"/>
    <col min="259" max="260" width="10.75" style="159" customWidth="1"/>
    <col min="261" max="261" width="14.625" style="159" customWidth="1"/>
    <col min="262" max="262" width="24.25" style="159" customWidth="1"/>
    <col min="263" max="263" width="2.875" style="159" customWidth="1"/>
    <col min="264" max="264" width="14.125" style="159" customWidth="1"/>
    <col min="265" max="265" width="15.875" style="159" customWidth="1"/>
    <col min="266" max="266" width="13.5" style="159" customWidth="1"/>
    <col min="267" max="267" width="15.625" style="159" customWidth="1"/>
    <col min="268" max="269" width="13.25" style="159" customWidth="1"/>
    <col min="270" max="271" width="12" style="159" customWidth="1"/>
    <col min="272" max="272" width="13" style="159" customWidth="1"/>
    <col min="273" max="512" width="9" style="159"/>
    <col min="513" max="513" width="4.25" style="159" customWidth="1"/>
    <col min="514" max="514" width="34.625" style="159" customWidth="1"/>
    <col min="515" max="516" width="10.75" style="159" customWidth="1"/>
    <col min="517" max="517" width="14.625" style="159" customWidth="1"/>
    <col min="518" max="518" width="24.25" style="159" customWidth="1"/>
    <col min="519" max="519" width="2.875" style="159" customWidth="1"/>
    <col min="520" max="520" width="14.125" style="159" customWidth="1"/>
    <col min="521" max="521" width="15.875" style="159" customWidth="1"/>
    <col min="522" max="522" width="13.5" style="159" customWidth="1"/>
    <col min="523" max="523" width="15.625" style="159" customWidth="1"/>
    <col min="524" max="525" width="13.25" style="159" customWidth="1"/>
    <col min="526" max="527" width="12" style="159" customWidth="1"/>
    <col min="528" max="528" width="13" style="159" customWidth="1"/>
    <col min="529" max="768" width="9" style="159"/>
    <col min="769" max="769" width="4.25" style="159" customWidth="1"/>
    <col min="770" max="770" width="34.625" style="159" customWidth="1"/>
    <col min="771" max="772" width="10.75" style="159" customWidth="1"/>
    <col min="773" max="773" width="14.625" style="159" customWidth="1"/>
    <col min="774" max="774" width="24.25" style="159" customWidth="1"/>
    <col min="775" max="775" width="2.875" style="159" customWidth="1"/>
    <col min="776" max="776" width="14.125" style="159" customWidth="1"/>
    <col min="777" max="777" width="15.875" style="159" customWidth="1"/>
    <col min="778" max="778" width="13.5" style="159" customWidth="1"/>
    <col min="779" max="779" width="15.625" style="159" customWidth="1"/>
    <col min="780" max="781" width="13.25" style="159" customWidth="1"/>
    <col min="782" max="783" width="12" style="159" customWidth="1"/>
    <col min="784" max="784" width="13" style="159" customWidth="1"/>
    <col min="785" max="1024" width="9" style="159"/>
    <col min="1025" max="1025" width="4.25" style="159" customWidth="1"/>
    <col min="1026" max="1026" width="34.625" style="159" customWidth="1"/>
    <col min="1027" max="1028" width="10.75" style="159" customWidth="1"/>
    <col min="1029" max="1029" width="14.625" style="159" customWidth="1"/>
    <col min="1030" max="1030" width="24.25" style="159" customWidth="1"/>
    <col min="1031" max="1031" width="2.875" style="159" customWidth="1"/>
    <col min="1032" max="1032" width="14.125" style="159" customWidth="1"/>
    <col min="1033" max="1033" width="15.875" style="159" customWidth="1"/>
    <col min="1034" max="1034" width="13.5" style="159" customWidth="1"/>
    <col min="1035" max="1035" width="15.625" style="159" customWidth="1"/>
    <col min="1036" max="1037" width="13.25" style="159" customWidth="1"/>
    <col min="1038" max="1039" width="12" style="159" customWidth="1"/>
    <col min="1040" max="1040" width="13" style="159" customWidth="1"/>
    <col min="1041" max="1280" width="9" style="159"/>
    <col min="1281" max="1281" width="4.25" style="159" customWidth="1"/>
    <col min="1282" max="1282" width="34.625" style="159" customWidth="1"/>
    <col min="1283" max="1284" width="10.75" style="159" customWidth="1"/>
    <col min="1285" max="1285" width="14.625" style="159" customWidth="1"/>
    <col min="1286" max="1286" width="24.25" style="159" customWidth="1"/>
    <col min="1287" max="1287" width="2.875" style="159" customWidth="1"/>
    <col min="1288" max="1288" width="14.125" style="159" customWidth="1"/>
    <col min="1289" max="1289" width="15.875" style="159" customWidth="1"/>
    <col min="1290" max="1290" width="13.5" style="159" customWidth="1"/>
    <col min="1291" max="1291" width="15.625" style="159" customWidth="1"/>
    <col min="1292" max="1293" width="13.25" style="159" customWidth="1"/>
    <col min="1294" max="1295" width="12" style="159" customWidth="1"/>
    <col min="1296" max="1296" width="13" style="159" customWidth="1"/>
    <col min="1297" max="1536" width="9" style="159"/>
    <col min="1537" max="1537" width="4.25" style="159" customWidth="1"/>
    <col min="1538" max="1538" width="34.625" style="159" customWidth="1"/>
    <col min="1539" max="1540" width="10.75" style="159" customWidth="1"/>
    <col min="1541" max="1541" width="14.625" style="159" customWidth="1"/>
    <col min="1542" max="1542" width="24.25" style="159" customWidth="1"/>
    <col min="1543" max="1543" width="2.875" style="159" customWidth="1"/>
    <col min="1544" max="1544" width="14.125" style="159" customWidth="1"/>
    <col min="1545" max="1545" width="15.875" style="159" customWidth="1"/>
    <col min="1546" max="1546" width="13.5" style="159" customWidth="1"/>
    <col min="1547" max="1547" width="15.625" style="159" customWidth="1"/>
    <col min="1548" max="1549" width="13.25" style="159" customWidth="1"/>
    <col min="1550" max="1551" width="12" style="159" customWidth="1"/>
    <col min="1552" max="1552" width="13" style="159" customWidth="1"/>
    <col min="1553" max="1792" width="9" style="159"/>
    <col min="1793" max="1793" width="4.25" style="159" customWidth="1"/>
    <col min="1794" max="1794" width="34.625" style="159" customWidth="1"/>
    <col min="1795" max="1796" width="10.75" style="159" customWidth="1"/>
    <col min="1797" max="1797" width="14.625" style="159" customWidth="1"/>
    <col min="1798" max="1798" width="24.25" style="159" customWidth="1"/>
    <col min="1799" max="1799" width="2.875" style="159" customWidth="1"/>
    <col min="1800" max="1800" width="14.125" style="159" customWidth="1"/>
    <col min="1801" max="1801" width="15.875" style="159" customWidth="1"/>
    <col min="1802" max="1802" width="13.5" style="159" customWidth="1"/>
    <col min="1803" max="1803" width="15.625" style="159" customWidth="1"/>
    <col min="1804" max="1805" width="13.25" style="159" customWidth="1"/>
    <col min="1806" max="1807" width="12" style="159" customWidth="1"/>
    <col min="1808" max="1808" width="13" style="159" customWidth="1"/>
    <col min="1809" max="2048" width="9" style="159"/>
    <col min="2049" max="2049" width="4.25" style="159" customWidth="1"/>
    <col min="2050" max="2050" width="34.625" style="159" customWidth="1"/>
    <col min="2051" max="2052" width="10.75" style="159" customWidth="1"/>
    <col min="2053" max="2053" width="14.625" style="159" customWidth="1"/>
    <col min="2054" max="2054" width="24.25" style="159" customWidth="1"/>
    <col min="2055" max="2055" width="2.875" style="159" customWidth="1"/>
    <col min="2056" max="2056" width="14.125" style="159" customWidth="1"/>
    <col min="2057" max="2057" width="15.875" style="159" customWidth="1"/>
    <col min="2058" max="2058" width="13.5" style="159" customWidth="1"/>
    <col min="2059" max="2059" width="15.625" style="159" customWidth="1"/>
    <col min="2060" max="2061" width="13.25" style="159" customWidth="1"/>
    <col min="2062" max="2063" width="12" style="159" customWidth="1"/>
    <col min="2064" max="2064" width="13" style="159" customWidth="1"/>
    <col min="2065" max="2304" width="9" style="159"/>
    <col min="2305" max="2305" width="4.25" style="159" customWidth="1"/>
    <col min="2306" max="2306" width="34.625" style="159" customWidth="1"/>
    <col min="2307" max="2308" width="10.75" style="159" customWidth="1"/>
    <col min="2309" max="2309" width="14.625" style="159" customWidth="1"/>
    <col min="2310" max="2310" width="24.25" style="159" customWidth="1"/>
    <col min="2311" max="2311" width="2.875" style="159" customWidth="1"/>
    <col min="2312" max="2312" width="14.125" style="159" customWidth="1"/>
    <col min="2313" max="2313" width="15.875" style="159" customWidth="1"/>
    <col min="2314" max="2314" width="13.5" style="159" customWidth="1"/>
    <col min="2315" max="2315" width="15.625" style="159" customWidth="1"/>
    <col min="2316" max="2317" width="13.25" style="159" customWidth="1"/>
    <col min="2318" max="2319" width="12" style="159" customWidth="1"/>
    <col min="2320" max="2320" width="13" style="159" customWidth="1"/>
    <col min="2321" max="2560" width="9" style="159"/>
    <col min="2561" max="2561" width="4.25" style="159" customWidth="1"/>
    <col min="2562" max="2562" width="34.625" style="159" customWidth="1"/>
    <col min="2563" max="2564" width="10.75" style="159" customWidth="1"/>
    <col min="2565" max="2565" width="14.625" style="159" customWidth="1"/>
    <col min="2566" max="2566" width="24.25" style="159" customWidth="1"/>
    <col min="2567" max="2567" width="2.875" style="159" customWidth="1"/>
    <col min="2568" max="2568" width="14.125" style="159" customWidth="1"/>
    <col min="2569" max="2569" width="15.875" style="159" customWidth="1"/>
    <col min="2570" max="2570" width="13.5" style="159" customWidth="1"/>
    <col min="2571" max="2571" width="15.625" style="159" customWidth="1"/>
    <col min="2572" max="2573" width="13.25" style="159" customWidth="1"/>
    <col min="2574" max="2575" width="12" style="159" customWidth="1"/>
    <col min="2576" max="2576" width="13" style="159" customWidth="1"/>
    <col min="2577" max="2816" width="9" style="159"/>
    <col min="2817" max="2817" width="4.25" style="159" customWidth="1"/>
    <col min="2818" max="2818" width="34.625" style="159" customWidth="1"/>
    <col min="2819" max="2820" width="10.75" style="159" customWidth="1"/>
    <col min="2821" max="2821" width="14.625" style="159" customWidth="1"/>
    <col min="2822" max="2822" width="24.25" style="159" customWidth="1"/>
    <col min="2823" max="2823" width="2.875" style="159" customWidth="1"/>
    <col min="2824" max="2824" width="14.125" style="159" customWidth="1"/>
    <col min="2825" max="2825" width="15.875" style="159" customWidth="1"/>
    <col min="2826" max="2826" width="13.5" style="159" customWidth="1"/>
    <col min="2827" max="2827" width="15.625" style="159" customWidth="1"/>
    <col min="2828" max="2829" width="13.25" style="159" customWidth="1"/>
    <col min="2830" max="2831" width="12" style="159" customWidth="1"/>
    <col min="2832" max="2832" width="13" style="159" customWidth="1"/>
    <col min="2833" max="3072" width="9" style="159"/>
    <col min="3073" max="3073" width="4.25" style="159" customWidth="1"/>
    <col min="3074" max="3074" width="34.625" style="159" customWidth="1"/>
    <col min="3075" max="3076" width="10.75" style="159" customWidth="1"/>
    <col min="3077" max="3077" width="14.625" style="159" customWidth="1"/>
    <col min="3078" max="3078" width="24.25" style="159" customWidth="1"/>
    <col min="3079" max="3079" width="2.875" style="159" customWidth="1"/>
    <col min="3080" max="3080" width="14.125" style="159" customWidth="1"/>
    <col min="3081" max="3081" width="15.875" style="159" customWidth="1"/>
    <col min="3082" max="3082" width="13.5" style="159" customWidth="1"/>
    <col min="3083" max="3083" width="15.625" style="159" customWidth="1"/>
    <col min="3084" max="3085" width="13.25" style="159" customWidth="1"/>
    <col min="3086" max="3087" width="12" style="159" customWidth="1"/>
    <col min="3088" max="3088" width="13" style="159" customWidth="1"/>
    <col min="3089" max="3328" width="9" style="159"/>
    <col min="3329" max="3329" width="4.25" style="159" customWidth="1"/>
    <col min="3330" max="3330" width="34.625" style="159" customWidth="1"/>
    <col min="3331" max="3332" width="10.75" style="159" customWidth="1"/>
    <col min="3333" max="3333" width="14.625" style="159" customWidth="1"/>
    <col min="3334" max="3334" width="24.25" style="159" customWidth="1"/>
    <col min="3335" max="3335" width="2.875" style="159" customWidth="1"/>
    <col min="3336" max="3336" width="14.125" style="159" customWidth="1"/>
    <col min="3337" max="3337" width="15.875" style="159" customWidth="1"/>
    <col min="3338" max="3338" width="13.5" style="159" customWidth="1"/>
    <col min="3339" max="3339" width="15.625" style="159" customWidth="1"/>
    <col min="3340" max="3341" width="13.25" style="159" customWidth="1"/>
    <col min="3342" max="3343" width="12" style="159" customWidth="1"/>
    <col min="3344" max="3344" width="13" style="159" customWidth="1"/>
    <col min="3345" max="3584" width="9" style="159"/>
    <col min="3585" max="3585" width="4.25" style="159" customWidth="1"/>
    <col min="3586" max="3586" width="34.625" style="159" customWidth="1"/>
    <col min="3587" max="3588" width="10.75" style="159" customWidth="1"/>
    <col min="3589" max="3589" width="14.625" style="159" customWidth="1"/>
    <col min="3590" max="3590" width="24.25" style="159" customWidth="1"/>
    <col min="3591" max="3591" width="2.875" style="159" customWidth="1"/>
    <col min="3592" max="3592" width="14.125" style="159" customWidth="1"/>
    <col min="3593" max="3593" width="15.875" style="159" customWidth="1"/>
    <col min="3594" max="3594" width="13.5" style="159" customWidth="1"/>
    <col min="3595" max="3595" width="15.625" style="159" customWidth="1"/>
    <col min="3596" max="3597" width="13.25" style="159" customWidth="1"/>
    <col min="3598" max="3599" width="12" style="159" customWidth="1"/>
    <col min="3600" max="3600" width="13" style="159" customWidth="1"/>
    <col min="3601" max="3840" width="9" style="159"/>
    <col min="3841" max="3841" width="4.25" style="159" customWidth="1"/>
    <col min="3842" max="3842" width="34.625" style="159" customWidth="1"/>
    <col min="3843" max="3844" width="10.75" style="159" customWidth="1"/>
    <col min="3845" max="3845" width="14.625" style="159" customWidth="1"/>
    <col min="3846" max="3846" width="24.25" style="159" customWidth="1"/>
    <col min="3847" max="3847" width="2.875" style="159" customWidth="1"/>
    <col min="3848" max="3848" width="14.125" style="159" customWidth="1"/>
    <col min="3849" max="3849" width="15.875" style="159" customWidth="1"/>
    <col min="3850" max="3850" width="13.5" style="159" customWidth="1"/>
    <col min="3851" max="3851" width="15.625" style="159" customWidth="1"/>
    <col min="3852" max="3853" width="13.25" style="159" customWidth="1"/>
    <col min="3854" max="3855" width="12" style="159" customWidth="1"/>
    <col min="3856" max="3856" width="13" style="159" customWidth="1"/>
    <col min="3857" max="4096" width="9" style="159"/>
    <col min="4097" max="4097" width="4.25" style="159" customWidth="1"/>
    <col min="4098" max="4098" width="34.625" style="159" customWidth="1"/>
    <col min="4099" max="4100" width="10.75" style="159" customWidth="1"/>
    <col min="4101" max="4101" width="14.625" style="159" customWidth="1"/>
    <col min="4102" max="4102" width="24.25" style="159" customWidth="1"/>
    <col min="4103" max="4103" width="2.875" style="159" customWidth="1"/>
    <col min="4104" max="4104" width="14.125" style="159" customWidth="1"/>
    <col min="4105" max="4105" width="15.875" style="159" customWidth="1"/>
    <col min="4106" max="4106" width="13.5" style="159" customWidth="1"/>
    <col min="4107" max="4107" width="15.625" style="159" customWidth="1"/>
    <col min="4108" max="4109" width="13.25" style="159" customWidth="1"/>
    <col min="4110" max="4111" width="12" style="159" customWidth="1"/>
    <col min="4112" max="4112" width="13" style="159" customWidth="1"/>
    <col min="4113" max="4352" width="9" style="159"/>
    <col min="4353" max="4353" width="4.25" style="159" customWidth="1"/>
    <col min="4354" max="4354" width="34.625" style="159" customWidth="1"/>
    <col min="4355" max="4356" width="10.75" style="159" customWidth="1"/>
    <col min="4357" max="4357" width="14.625" style="159" customWidth="1"/>
    <col min="4358" max="4358" width="24.25" style="159" customWidth="1"/>
    <col min="4359" max="4359" width="2.875" style="159" customWidth="1"/>
    <col min="4360" max="4360" width="14.125" style="159" customWidth="1"/>
    <col min="4361" max="4361" width="15.875" style="159" customWidth="1"/>
    <col min="4362" max="4362" width="13.5" style="159" customWidth="1"/>
    <col min="4363" max="4363" width="15.625" style="159" customWidth="1"/>
    <col min="4364" max="4365" width="13.25" style="159" customWidth="1"/>
    <col min="4366" max="4367" width="12" style="159" customWidth="1"/>
    <col min="4368" max="4368" width="13" style="159" customWidth="1"/>
    <col min="4369" max="4608" width="9" style="159"/>
    <col min="4609" max="4609" width="4.25" style="159" customWidth="1"/>
    <col min="4610" max="4610" width="34.625" style="159" customWidth="1"/>
    <col min="4611" max="4612" width="10.75" style="159" customWidth="1"/>
    <col min="4613" max="4613" width="14.625" style="159" customWidth="1"/>
    <col min="4614" max="4614" width="24.25" style="159" customWidth="1"/>
    <col min="4615" max="4615" width="2.875" style="159" customWidth="1"/>
    <col min="4616" max="4616" width="14.125" style="159" customWidth="1"/>
    <col min="4617" max="4617" width="15.875" style="159" customWidth="1"/>
    <col min="4618" max="4618" width="13.5" style="159" customWidth="1"/>
    <col min="4619" max="4619" width="15.625" style="159" customWidth="1"/>
    <col min="4620" max="4621" width="13.25" style="159" customWidth="1"/>
    <col min="4622" max="4623" width="12" style="159" customWidth="1"/>
    <col min="4624" max="4624" width="13" style="159" customWidth="1"/>
    <col min="4625" max="4864" width="9" style="159"/>
    <col min="4865" max="4865" width="4.25" style="159" customWidth="1"/>
    <col min="4866" max="4866" width="34.625" style="159" customWidth="1"/>
    <col min="4867" max="4868" width="10.75" style="159" customWidth="1"/>
    <col min="4869" max="4869" width="14.625" style="159" customWidth="1"/>
    <col min="4870" max="4870" width="24.25" style="159" customWidth="1"/>
    <col min="4871" max="4871" width="2.875" style="159" customWidth="1"/>
    <col min="4872" max="4872" width="14.125" style="159" customWidth="1"/>
    <col min="4873" max="4873" width="15.875" style="159" customWidth="1"/>
    <col min="4874" max="4874" width="13.5" style="159" customWidth="1"/>
    <col min="4875" max="4875" width="15.625" style="159" customWidth="1"/>
    <col min="4876" max="4877" width="13.25" style="159" customWidth="1"/>
    <col min="4878" max="4879" width="12" style="159" customWidth="1"/>
    <col min="4880" max="4880" width="13" style="159" customWidth="1"/>
    <col min="4881" max="5120" width="9" style="159"/>
    <col min="5121" max="5121" width="4.25" style="159" customWidth="1"/>
    <col min="5122" max="5122" width="34.625" style="159" customWidth="1"/>
    <col min="5123" max="5124" width="10.75" style="159" customWidth="1"/>
    <col min="5125" max="5125" width="14.625" style="159" customWidth="1"/>
    <col min="5126" max="5126" width="24.25" style="159" customWidth="1"/>
    <col min="5127" max="5127" width="2.875" style="159" customWidth="1"/>
    <col min="5128" max="5128" width="14.125" style="159" customWidth="1"/>
    <col min="5129" max="5129" width="15.875" style="159" customWidth="1"/>
    <col min="5130" max="5130" width="13.5" style="159" customWidth="1"/>
    <col min="5131" max="5131" width="15.625" style="159" customWidth="1"/>
    <col min="5132" max="5133" width="13.25" style="159" customWidth="1"/>
    <col min="5134" max="5135" width="12" style="159" customWidth="1"/>
    <col min="5136" max="5136" width="13" style="159" customWidth="1"/>
    <col min="5137" max="5376" width="9" style="159"/>
    <col min="5377" max="5377" width="4.25" style="159" customWidth="1"/>
    <col min="5378" max="5378" width="34.625" style="159" customWidth="1"/>
    <col min="5379" max="5380" width="10.75" style="159" customWidth="1"/>
    <col min="5381" max="5381" width="14.625" style="159" customWidth="1"/>
    <col min="5382" max="5382" width="24.25" style="159" customWidth="1"/>
    <col min="5383" max="5383" width="2.875" style="159" customWidth="1"/>
    <col min="5384" max="5384" width="14.125" style="159" customWidth="1"/>
    <col min="5385" max="5385" width="15.875" style="159" customWidth="1"/>
    <col min="5386" max="5386" width="13.5" style="159" customWidth="1"/>
    <col min="5387" max="5387" width="15.625" style="159" customWidth="1"/>
    <col min="5388" max="5389" width="13.25" style="159" customWidth="1"/>
    <col min="5390" max="5391" width="12" style="159" customWidth="1"/>
    <col min="5392" max="5392" width="13" style="159" customWidth="1"/>
    <col min="5393" max="5632" width="9" style="159"/>
    <col min="5633" max="5633" width="4.25" style="159" customWidth="1"/>
    <col min="5634" max="5634" width="34.625" style="159" customWidth="1"/>
    <col min="5635" max="5636" width="10.75" style="159" customWidth="1"/>
    <col min="5637" max="5637" width="14.625" style="159" customWidth="1"/>
    <col min="5638" max="5638" width="24.25" style="159" customWidth="1"/>
    <col min="5639" max="5639" width="2.875" style="159" customWidth="1"/>
    <col min="5640" max="5640" width="14.125" style="159" customWidth="1"/>
    <col min="5641" max="5641" width="15.875" style="159" customWidth="1"/>
    <col min="5642" max="5642" width="13.5" style="159" customWidth="1"/>
    <col min="5643" max="5643" width="15.625" style="159" customWidth="1"/>
    <col min="5644" max="5645" width="13.25" style="159" customWidth="1"/>
    <col min="5646" max="5647" width="12" style="159" customWidth="1"/>
    <col min="5648" max="5648" width="13" style="159" customWidth="1"/>
    <col min="5649" max="5888" width="9" style="159"/>
    <col min="5889" max="5889" width="4.25" style="159" customWidth="1"/>
    <col min="5890" max="5890" width="34.625" style="159" customWidth="1"/>
    <col min="5891" max="5892" width="10.75" style="159" customWidth="1"/>
    <col min="5893" max="5893" width="14.625" style="159" customWidth="1"/>
    <col min="5894" max="5894" width="24.25" style="159" customWidth="1"/>
    <col min="5895" max="5895" width="2.875" style="159" customWidth="1"/>
    <col min="5896" max="5896" width="14.125" style="159" customWidth="1"/>
    <col min="5897" max="5897" width="15.875" style="159" customWidth="1"/>
    <col min="5898" max="5898" width="13.5" style="159" customWidth="1"/>
    <col min="5899" max="5899" width="15.625" style="159" customWidth="1"/>
    <col min="5900" max="5901" width="13.25" style="159" customWidth="1"/>
    <col min="5902" max="5903" width="12" style="159" customWidth="1"/>
    <col min="5904" max="5904" width="13" style="159" customWidth="1"/>
    <col min="5905" max="6144" width="9" style="159"/>
    <col min="6145" max="6145" width="4.25" style="159" customWidth="1"/>
    <col min="6146" max="6146" width="34.625" style="159" customWidth="1"/>
    <col min="6147" max="6148" width="10.75" style="159" customWidth="1"/>
    <col min="6149" max="6149" width="14.625" style="159" customWidth="1"/>
    <col min="6150" max="6150" width="24.25" style="159" customWidth="1"/>
    <col min="6151" max="6151" width="2.875" style="159" customWidth="1"/>
    <col min="6152" max="6152" width="14.125" style="159" customWidth="1"/>
    <col min="6153" max="6153" width="15.875" style="159" customWidth="1"/>
    <col min="6154" max="6154" width="13.5" style="159" customWidth="1"/>
    <col min="6155" max="6155" width="15.625" style="159" customWidth="1"/>
    <col min="6156" max="6157" width="13.25" style="159" customWidth="1"/>
    <col min="6158" max="6159" width="12" style="159" customWidth="1"/>
    <col min="6160" max="6160" width="13" style="159" customWidth="1"/>
    <col min="6161" max="6400" width="9" style="159"/>
    <col min="6401" max="6401" width="4.25" style="159" customWidth="1"/>
    <col min="6402" max="6402" width="34.625" style="159" customWidth="1"/>
    <col min="6403" max="6404" width="10.75" style="159" customWidth="1"/>
    <col min="6405" max="6405" width="14.625" style="159" customWidth="1"/>
    <col min="6406" max="6406" width="24.25" style="159" customWidth="1"/>
    <col min="6407" max="6407" width="2.875" style="159" customWidth="1"/>
    <col min="6408" max="6408" width="14.125" style="159" customWidth="1"/>
    <col min="6409" max="6409" width="15.875" style="159" customWidth="1"/>
    <col min="6410" max="6410" width="13.5" style="159" customWidth="1"/>
    <col min="6411" max="6411" width="15.625" style="159" customWidth="1"/>
    <col min="6412" max="6413" width="13.25" style="159" customWidth="1"/>
    <col min="6414" max="6415" width="12" style="159" customWidth="1"/>
    <col min="6416" max="6416" width="13" style="159" customWidth="1"/>
    <col min="6417" max="6656" width="9" style="159"/>
    <col min="6657" max="6657" width="4.25" style="159" customWidth="1"/>
    <col min="6658" max="6658" width="34.625" style="159" customWidth="1"/>
    <col min="6659" max="6660" width="10.75" style="159" customWidth="1"/>
    <col min="6661" max="6661" width="14.625" style="159" customWidth="1"/>
    <col min="6662" max="6662" width="24.25" style="159" customWidth="1"/>
    <col min="6663" max="6663" width="2.875" style="159" customWidth="1"/>
    <col min="6664" max="6664" width="14.125" style="159" customWidth="1"/>
    <col min="6665" max="6665" width="15.875" style="159" customWidth="1"/>
    <col min="6666" max="6666" width="13.5" style="159" customWidth="1"/>
    <col min="6667" max="6667" width="15.625" style="159" customWidth="1"/>
    <col min="6668" max="6669" width="13.25" style="159" customWidth="1"/>
    <col min="6670" max="6671" width="12" style="159" customWidth="1"/>
    <col min="6672" max="6672" width="13" style="159" customWidth="1"/>
    <col min="6673" max="6912" width="9" style="159"/>
    <col min="6913" max="6913" width="4.25" style="159" customWidth="1"/>
    <col min="6914" max="6914" width="34.625" style="159" customWidth="1"/>
    <col min="6915" max="6916" width="10.75" style="159" customWidth="1"/>
    <col min="6917" max="6917" width="14.625" style="159" customWidth="1"/>
    <col min="6918" max="6918" width="24.25" style="159" customWidth="1"/>
    <col min="6919" max="6919" width="2.875" style="159" customWidth="1"/>
    <col min="6920" max="6920" width="14.125" style="159" customWidth="1"/>
    <col min="6921" max="6921" width="15.875" style="159" customWidth="1"/>
    <col min="6922" max="6922" width="13.5" style="159" customWidth="1"/>
    <col min="6923" max="6923" width="15.625" style="159" customWidth="1"/>
    <col min="6924" max="6925" width="13.25" style="159" customWidth="1"/>
    <col min="6926" max="6927" width="12" style="159" customWidth="1"/>
    <col min="6928" max="6928" width="13" style="159" customWidth="1"/>
    <col min="6929" max="7168" width="9" style="159"/>
    <col min="7169" max="7169" width="4.25" style="159" customWidth="1"/>
    <col min="7170" max="7170" width="34.625" style="159" customWidth="1"/>
    <col min="7171" max="7172" width="10.75" style="159" customWidth="1"/>
    <col min="7173" max="7173" width="14.625" style="159" customWidth="1"/>
    <col min="7174" max="7174" width="24.25" style="159" customWidth="1"/>
    <col min="7175" max="7175" width="2.875" style="159" customWidth="1"/>
    <col min="7176" max="7176" width="14.125" style="159" customWidth="1"/>
    <col min="7177" max="7177" width="15.875" style="159" customWidth="1"/>
    <col min="7178" max="7178" width="13.5" style="159" customWidth="1"/>
    <col min="7179" max="7179" width="15.625" style="159" customWidth="1"/>
    <col min="7180" max="7181" width="13.25" style="159" customWidth="1"/>
    <col min="7182" max="7183" width="12" style="159" customWidth="1"/>
    <col min="7184" max="7184" width="13" style="159" customWidth="1"/>
    <col min="7185" max="7424" width="9" style="159"/>
    <col min="7425" max="7425" width="4.25" style="159" customWidth="1"/>
    <col min="7426" max="7426" width="34.625" style="159" customWidth="1"/>
    <col min="7427" max="7428" width="10.75" style="159" customWidth="1"/>
    <col min="7429" max="7429" width="14.625" style="159" customWidth="1"/>
    <col min="7430" max="7430" width="24.25" style="159" customWidth="1"/>
    <col min="7431" max="7431" width="2.875" style="159" customWidth="1"/>
    <col min="7432" max="7432" width="14.125" style="159" customWidth="1"/>
    <col min="7433" max="7433" width="15.875" style="159" customWidth="1"/>
    <col min="7434" max="7434" width="13.5" style="159" customWidth="1"/>
    <col min="7435" max="7435" width="15.625" style="159" customWidth="1"/>
    <col min="7436" max="7437" width="13.25" style="159" customWidth="1"/>
    <col min="7438" max="7439" width="12" style="159" customWidth="1"/>
    <col min="7440" max="7440" width="13" style="159" customWidth="1"/>
    <col min="7441" max="7680" width="9" style="159"/>
    <col min="7681" max="7681" width="4.25" style="159" customWidth="1"/>
    <col min="7682" max="7682" width="34.625" style="159" customWidth="1"/>
    <col min="7683" max="7684" width="10.75" style="159" customWidth="1"/>
    <col min="7685" max="7685" width="14.625" style="159" customWidth="1"/>
    <col min="7686" max="7686" width="24.25" style="159" customWidth="1"/>
    <col min="7687" max="7687" width="2.875" style="159" customWidth="1"/>
    <col min="7688" max="7688" width="14.125" style="159" customWidth="1"/>
    <col min="7689" max="7689" width="15.875" style="159" customWidth="1"/>
    <col min="7690" max="7690" width="13.5" style="159" customWidth="1"/>
    <col min="7691" max="7691" width="15.625" style="159" customWidth="1"/>
    <col min="7692" max="7693" width="13.25" style="159" customWidth="1"/>
    <col min="7694" max="7695" width="12" style="159" customWidth="1"/>
    <col min="7696" max="7696" width="13" style="159" customWidth="1"/>
    <col min="7697" max="7936" width="9" style="159"/>
    <col min="7937" max="7937" width="4.25" style="159" customWidth="1"/>
    <col min="7938" max="7938" width="34.625" style="159" customWidth="1"/>
    <col min="7939" max="7940" width="10.75" style="159" customWidth="1"/>
    <col min="7941" max="7941" width="14.625" style="159" customWidth="1"/>
    <col min="7942" max="7942" width="24.25" style="159" customWidth="1"/>
    <col min="7943" max="7943" width="2.875" style="159" customWidth="1"/>
    <col min="7944" max="7944" width="14.125" style="159" customWidth="1"/>
    <col min="7945" max="7945" width="15.875" style="159" customWidth="1"/>
    <col min="7946" max="7946" width="13.5" style="159" customWidth="1"/>
    <col min="7947" max="7947" width="15.625" style="159" customWidth="1"/>
    <col min="7948" max="7949" width="13.25" style="159" customWidth="1"/>
    <col min="7950" max="7951" width="12" style="159" customWidth="1"/>
    <col min="7952" max="7952" width="13" style="159" customWidth="1"/>
    <col min="7953" max="8192" width="9" style="159"/>
    <col min="8193" max="8193" width="4.25" style="159" customWidth="1"/>
    <col min="8194" max="8194" width="34.625" style="159" customWidth="1"/>
    <col min="8195" max="8196" width="10.75" style="159" customWidth="1"/>
    <col min="8197" max="8197" width="14.625" style="159" customWidth="1"/>
    <col min="8198" max="8198" width="24.25" style="159" customWidth="1"/>
    <col min="8199" max="8199" width="2.875" style="159" customWidth="1"/>
    <col min="8200" max="8200" width="14.125" style="159" customWidth="1"/>
    <col min="8201" max="8201" width="15.875" style="159" customWidth="1"/>
    <col min="8202" max="8202" width="13.5" style="159" customWidth="1"/>
    <col min="8203" max="8203" width="15.625" style="159" customWidth="1"/>
    <col min="8204" max="8205" width="13.25" style="159" customWidth="1"/>
    <col min="8206" max="8207" width="12" style="159" customWidth="1"/>
    <col min="8208" max="8208" width="13" style="159" customWidth="1"/>
    <col min="8209" max="8448" width="9" style="159"/>
    <col min="8449" max="8449" width="4.25" style="159" customWidth="1"/>
    <col min="8450" max="8450" width="34.625" style="159" customWidth="1"/>
    <col min="8451" max="8452" width="10.75" style="159" customWidth="1"/>
    <col min="8453" max="8453" width="14.625" style="159" customWidth="1"/>
    <col min="8454" max="8454" width="24.25" style="159" customWidth="1"/>
    <col min="8455" max="8455" width="2.875" style="159" customWidth="1"/>
    <col min="8456" max="8456" width="14.125" style="159" customWidth="1"/>
    <col min="8457" max="8457" width="15.875" style="159" customWidth="1"/>
    <col min="8458" max="8458" width="13.5" style="159" customWidth="1"/>
    <col min="8459" max="8459" width="15.625" style="159" customWidth="1"/>
    <col min="8460" max="8461" width="13.25" style="159" customWidth="1"/>
    <col min="8462" max="8463" width="12" style="159" customWidth="1"/>
    <col min="8464" max="8464" width="13" style="159" customWidth="1"/>
    <col min="8465" max="8704" width="9" style="159"/>
    <col min="8705" max="8705" width="4.25" style="159" customWidth="1"/>
    <col min="8706" max="8706" width="34.625" style="159" customWidth="1"/>
    <col min="8707" max="8708" width="10.75" style="159" customWidth="1"/>
    <col min="8709" max="8709" width="14.625" style="159" customWidth="1"/>
    <col min="8710" max="8710" width="24.25" style="159" customWidth="1"/>
    <col min="8711" max="8711" width="2.875" style="159" customWidth="1"/>
    <col min="8712" max="8712" width="14.125" style="159" customWidth="1"/>
    <col min="8713" max="8713" width="15.875" style="159" customWidth="1"/>
    <col min="8714" max="8714" width="13.5" style="159" customWidth="1"/>
    <col min="8715" max="8715" width="15.625" style="159" customWidth="1"/>
    <col min="8716" max="8717" width="13.25" style="159" customWidth="1"/>
    <col min="8718" max="8719" width="12" style="159" customWidth="1"/>
    <col min="8720" max="8720" width="13" style="159" customWidth="1"/>
    <col min="8721" max="8960" width="9" style="159"/>
    <col min="8961" max="8961" width="4.25" style="159" customWidth="1"/>
    <col min="8962" max="8962" width="34.625" style="159" customWidth="1"/>
    <col min="8963" max="8964" width="10.75" style="159" customWidth="1"/>
    <col min="8965" max="8965" width="14.625" style="159" customWidth="1"/>
    <col min="8966" max="8966" width="24.25" style="159" customWidth="1"/>
    <col min="8967" max="8967" width="2.875" style="159" customWidth="1"/>
    <col min="8968" max="8968" width="14.125" style="159" customWidth="1"/>
    <col min="8969" max="8969" width="15.875" style="159" customWidth="1"/>
    <col min="8970" max="8970" width="13.5" style="159" customWidth="1"/>
    <col min="8971" max="8971" width="15.625" style="159" customWidth="1"/>
    <col min="8972" max="8973" width="13.25" style="159" customWidth="1"/>
    <col min="8974" max="8975" width="12" style="159" customWidth="1"/>
    <col min="8976" max="8976" width="13" style="159" customWidth="1"/>
    <col min="8977" max="9216" width="9" style="159"/>
    <col min="9217" max="9217" width="4.25" style="159" customWidth="1"/>
    <col min="9218" max="9218" width="34.625" style="159" customWidth="1"/>
    <col min="9219" max="9220" width="10.75" style="159" customWidth="1"/>
    <col min="9221" max="9221" width="14.625" style="159" customWidth="1"/>
    <col min="9222" max="9222" width="24.25" style="159" customWidth="1"/>
    <col min="9223" max="9223" width="2.875" style="159" customWidth="1"/>
    <col min="9224" max="9224" width="14.125" style="159" customWidth="1"/>
    <col min="9225" max="9225" width="15.875" style="159" customWidth="1"/>
    <col min="9226" max="9226" width="13.5" style="159" customWidth="1"/>
    <col min="9227" max="9227" width="15.625" style="159" customWidth="1"/>
    <col min="9228" max="9229" width="13.25" style="159" customWidth="1"/>
    <col min="9230" max="9231" width="12" style="159" customWidth="1"/>
    <col min="9232" max="9232" width="13" style="159" customWidth="1"/>
    <col min="9233" max="9472" width="9" style="159"/>
    <col min="9473" max="9473" width="4.25" style="159" customWidth="1"/>
    <col min="9474" max="9474" width="34.625" style="159" customWidth="1"/>
    <col min="9475" max="9476" width="10.75" style="159" customWidth="1"/>
    <col min="9477" max="9477" width="14.625" style="159" customWidth="1"/>
    <col min="9478" max="9478" width="24.25" style="159" customWidth="1"/>
    <col min="9479" max="9479" width="2.875" style="159" customWidth="1"/>
    <col min="9480" max="9480" width="14.125" style="159" customWidth="1"/>
    <col min="9481" max="9481" width="15.875" style="159" customWidth="1"/>
    <col min="9482" max="9482" width="13.5" style="159" customWidth="1"/>
    <col min="9483" max="9483" width="15.625" style="159" customWidth="1"/>
    <col min="9484" max="9485" width="13.25" style="159" customWidth="1"/>
    <col min="9486" max="9487" width="12" style="159" customWidth="1"/>
    <col min="9488" max="9488" width="13" style="159" customWidth="1"/>
    <col min="9489" max="9728" width="9" style="159"/>
    <col min="9729" max="9729" width="4.25" style="159" customWidth="1"/>
    <col min="9730" max="9730" width="34.625" style="159" customWidth="1"/>
    <col min="9731" max="9732" width="10.75" style="159" customWidth="1"/>
    <col min="9733" max="9733" width="14.625" style="159" customWidth="1"/>
    <col min="9734" max="9734" width="24.25" style="159" customWidth="1"/>
    <col min="9735" max="9735" width="2.875" style="159" customWidth="1"/>
    <col min="9736" max="9736" width="14.125" style="159" customWidth="1"/>
    <col min="9737" max="9737" width="15.875" style="159" customWidth="1"/>
    <col min="9738" max="9738" width="13.5" style="159" customWidth="1"/>
    <col min="9739" max="9739" width="15.625" style="159" customWidth="1"/>
    <col min="9740" max="9741" width="13.25" style="159" customWidth="1"/>
    <col min="9742" max="9743" width="12" style="159" customWidth="1"/>
    <col min="9744" max="9744" width="13" style="159" customWidth="1"/>
    <col min="9745" max="9984" width="9" style="159"/>
    <col min="9985" max="9985" width="4.25" style="159" customWidth="1"/>
    <col min="9986" max="9986" width="34.625" style="159" customWidth="1"/>
    <col min="9987" max="9988" width="10.75" style="159" customWidth="1"/>
    <col min="9989" max="9989" width="14.625" style="159" customWidth="1"/>
    <col min="9990" max="9990" width="24.25" style="159" customWidth="1"/>
    <col min="9991" max="9991" width="2.875" style="159" customWidth="1"/>
    <col min="9992" max="9992" width="14.125" style="159" customWidth="1"/>
    <col min="9993" max="9993" width="15.875" style="159" customWidth="1"/>
    <col min="9994" max="9994" width="13.5" style="159" customWidth="1"/>
    <col min="9995" max="9995" width="15.625" style="159" customWidth="1"/>
    <col min="9996" max="9997" width="13.25" style="159" customWidth="1"/>
    <col min="9998" max="9999" width="12" style="159" customWidth="1"/>
    <col min="10000" max="10000" width="13" style="159" customWidth="1"/>
    <col min="10001" max="10240" width="9" style="159"/>
    <col min="10241" max="10241" width="4.25" style="159" customWidth="1"/>
    <col min="10242" max="10242" width="34.625" style="159" customWidth="1"/>
    <col min="10243" max="10244" width="10.75" style="159" customWidth="1"/>
    <col min="10245" max="10245" width="14.625" style="159" customWidth="1"/>
    <col min="10246" max="10246" width="24.25" style="159" customWidth="1"/>
    <col min="10247" max="10247" width="2.875" style="159" customWidth="1"/>
    <col min="10248" max="10248" width="14.125" style="159" customWidth="1"/>
    <col min="10249" max="10249" width="15.875" style="159" customWidth="1"/>
    <col min="10250" max="10250" width="13.5" style="159" customWidth="1"/>
    <col min="10251" max="10251" width="15.625" style="159" customWidth="1"/>
    <col min="10252" max="10253" width="13.25" style="159" customWidth="1"/>
    <col min="10254" max="10255" width="12" style="159" customWidth="1"/>
    <col min="10256" max="10256" width="13" style="159" customWidth="1"/>
    <col min="10257" max="10496" width="9" style="159"/>
    <col min="10497" max="10497" width="4.25" style="159" customWidth="1"/>
    <col min="10498" max="10498" width="34.625" style="159" customWidth="1"/>
    <col min="10499" max="10500" width="10.75" style="159" customWidth="1"/>
    <col min="10501" max="10501" width="14.625" style="159" customWidth="1"/>
    <col min="10502" max="10502" width="24.25" style="159" customWidth="1"/>
    <col min="10503" max="10503" width="2.875" style="159" customWidth="1"/>
    <col min="10504" max="10504" width="14.125" style="159" customWidth="1"/>
    <col min="10505" max="10505" width="15.875" style="159" customWidth="1"/>
    <col min="10506" max="10506" width="13.5" style="159" customWidth="1"/>
    <col min="10507" max="10507" width="15.625" style="159" customWidth="1"/>
    <col min="10508" max="10509" width="13.25" style="159" customWidth="1"/>
    <col min="10510" max="10511" width="12" style="159" customWidth="1"/>
    <col min="10512" max="10512" width="13" style="159" customWidth="1"/>
    <col min="10513" max="10752" width="9" style="159"/>
    <col min="10753" max="10753" width="4.25" style="159" customWidth="1"/>
    <col min="10754" max="10754" width="34.625" style="159" customWidth="1"/>
    <col min="10755" max="10756" width="10.75" style="159" customWidth="1"/>
    <col min="10757" max="10757" width="14.625" style="159" customWidth="1"/>
    <col min="10758" max="10758" width="24.25" style="159" customWidth="1"/>
    <col min="10759" max="10759" width="2.875" style="159" customWidth="1"/>
    <col min="10760" max="10760" width="14.125" style="159" customWidth="1"/>
    <col min="10761" max="10761" width="15.875" style="159" customWidth="1"/>
    <col min="10762" max="10762" width="13.5" style="159" customWidth="1"/>
    <col min="10763" max="10763" width="15.625" style="159" customWidth="1"/>
    <col min="10764" max="10765" width="13.25" style="159" customWidth="1"/>
    <col min="10766" max="10767" width="12" style="159" customWidth="1"/>
    <col min="10768" max="10768" width="13" style="159" customWidth="1"/>
    <col min="10769" max="11008" width="9" style="159"/>
    <col min="11009" max="11009" width="4.25" style="159" customWidth="1"/>
    <col min="11010" max="11010" width="34.625" style="159" customWidth="1"/>
    <col min="11011" max="11012" width="10.75" style="159" customWidth="1"/>
    <col min="11013" max="11013" width="14.625" style="159" customWidth="1"/>
    <col min="11014" max="11014" width="24.25" style="159" customWidth="1"/>
    <col min="11015" max="11015" width="2.875" style="159" customWidth="1"/>
    <col min="11016" max="11016" width="14.125" style="159" customWidth="1"/>
    <col min="11017" max="11017" width="15.875" style="159" customWidth="1"/>
    <col min="11018" max="11018" width="13.5" style="159" customWidth="1"/>
    <col min="11019" max="11019" width="15.625" style="159" customWidth="1"/>
    <col min="11020" max="11021" width="13.25" style="159" customWidth="1"/>
    <col min="11022" max="11023" width="12" style="159" customWidth="1"/>
    <col min="11024" max="11024" width="13" style="159" customWidth="1"/>
    <col min="11025" max="11264" width="9" style="159"/>
    <col min="11265" max="11265" width="4.25" style="159" customWidth="1"/>
    <col min="11266" max="11266" width="34.625" style="159" customWidth="1"/>
    <col min="11267" max="11268" width="10.75" style="159" customWidth="1"/>
    <col min="11269" max="11269" width="14.625" style="159" customWidth="1"/>
    <col min="11270" max="11270" width="24.25" style="159" customWidth="1"/>
    <col min="11271" max="11271" width="2.875" style="159" customWidth="1"/>
    <col min="11272" max="11272" width="14.125" style="159" customWidth="1"/>
    <col min="11273" max="11273" width="15.875" style="159" customWidth="1"/>
    <col min="11274" max="11274" width="13.5" style="159" customWidth="1"/>
    <col min="11275" max="11275" width="15.625" style="159" customWidth="1"/>
    <col min="11276" max="11277" width="13.25" style="159" customWidth="1"/>
    <col min="11278" max="11279" width="12" style="159" customWidth="1"/>
    <col min="11280" max="11280" width="13" style="159" customWidth="1"/>
    <col min="11281" max="11520" width="9" style="159"/>
    <col min="11521" max="11521" width="4.25" style="159" customWidth="1"/>
    <col min="11522" max="11522" width="34.625" style="159" customWidth="1"/>
    <col min="11523" max="11524" width="10.75" style="159" customWidth="1"/>
    <col min="11525" max="11525" width="14.625" style="159" customWidth="1"/>
    <col min="11526" max="11526" width="24.25" style="159" customWidth="1"/>
    <col min="11527" max="11527" width="2.875" style="159" customWidth="1"/>
    <col min="11528" max="11528" width="14.125" style="159" customWidth="1"/>
    <col min="11529" max="11529" width="15.875" style="159" customWidth="1"/>
    <col min="11530" max="11530" width="13.5" style="159" customWidth="1"/>
    <col min="11531" max="11531" width="15.625" style="159" customWidth="1"/>
    <col min="11532" max="11533" width="13.25" style="159" customWidth="1"/>
    <col min="11534" max="11535" width="12" style="159" customWidth="1"/>
    <col min="11536" max="11536" width="13" style="159" customWidth="1"/>
    <col min="11537" max="11776" width="9" style="159"/>
    <col min="11777" max="11777" width="4.25" style="159" customWidth="1"/>
    <col min="11778" max="11778" width="34.625" style="159" customWidth="1"/>
    <col min="11779" max="11780" width="10.75" style="159" customWidth="1"/>
    <col min="11781" max="11781" width="14.625" style="159" customWidth="1"/>
    <col min="11782" max="11782" width="24.25" style="159" customWidth="1"/>
    <col min="11783" max="11783" width="2.875" style="159" customWidth="1"/>
    <col min="11784" max="11784" width="14.125" style="159" customWidth="1"/>
    <col min="11785" max="11785" width="15.875" style="159" customWidth="1"/>
    <col min="11786" max="11786" width="13.5" style="159" customWidth="1"/>
    <col min="11787" max="11787" width="15.625" style="159" customWidth="1"/>
    <col min="11788" max="11789" width="13.25" style="159" customWidth="1"/>
    <col min="11790" max="11791" width="12" style="159" customWidth="1"/>
    <col min="11792" max="11792" width="13" style="159" customWidth="1"/>
    <col min="11793" max="12032" width="9" style="159"/>
    <col min="12033" max="12033" width="4.25" style="159" customWidth="1"/>
    <col min="12034" max="12034" width="34.625" style="159" customWidth="1"/>
    <col min="12035" max="12036" width="10.75" style="159" customWidth="1"/>
    <col min="12037" max="12037" width="14.625" style="159" customWidth="1"/>
    <col min="12038" max="12038" width="24.25" style="159" customWidth="1"/>
    <col min="12039" max="12039" width="2.875" style="159" customWidth="1"/>
    <col min="12040" max="12040" width="14.125" style="159" customWidth="1"/>
    <col min="12041" max="12041" width="15.875" style="159" customWidth="1"/>
    <col min="12042" max="12042" width="13.5" style="159" customWidth="1"/>
    <col min="12043" max="12043" width="15.625" style="159" customWidth="1"/>
    <col min="12044" max="12045" width="13.25" style="159" customWidth="1"/>
    <col min="12046" max="12047" width="12" style="159" customWidth="1"/>
    <col min="12048" max="12048" width="13" style="159" customWidth="1"/>
    <col min="12049" max="12288" width="9" style="159"/>
    <col min="12289" max="12289" width="4.25" style="159" customWidth="1"/>
    <col min="12290" max="12290" width="34.625" style="159" customWidth="1"/>
    <col min="12291" max="12292" width="10.75" style="159" customWidth="1"/>
    <col min="12293" max="12293" width="14.625" style="159" customWidth="1"/>
    <col min="12294" max="12294" width="24.25" style="159" customWidth="1"/>
    <col min="12295" max="12295" width="2.875" style="159" customWidth="1"/>
    <col min="12296" max="12296" width="14.125" style="159" customWidth="1"/>
    <col min="12297" max="12297" width="15.875" style="159" customWidth="1"/>
    <col min="12298" max="12298" width="13.5" style="159" customWidth="1"/>
    <col min="12299" max="12299" width="15.625" style="159" customWidth="1"/>
    <col min="12300" max="12301" width="13.25" style="159" customWidth="1"/>
    <col min="12302" max="12303" width="12" style="159" customWidth="1"/>
    <col min="12304" max="12304" width="13" style="159" customWidth="1"/>
    <col min="12305" max="12544" width="9" style="159"/>
    <col min="12545" max="12545" width="4.25" style="159" customWidth="1"/>
    <col min="12546" max="12546" width="34.625" style="159" customWidth="1"/>
    <col min="12547" max="12548" width="10.75" style="159" customWidth="1"/>
    <col min="12549" max="12549" width="14.625" style="159" customWidth="1"/>
    <col min="12550" max="12550" width="24.25" style="159" customWidth="1"/>
    <col min="12551" max="12551" width="2.875" style="159" customWidth="1"/>
    <col min="12552" max="12552" width="14.125" style="159" customWidth="1"/>
    <col min="12553" max="12553" width="15.875" style="159" customWidth="1"/>
    <col min="12554" max="12554" width="13.5" style="159" customWidth="1"/>
    <col min="12555" max="12555" width="15.625" style="159" customWidth="1"/>
    <col min="12556" max="12557" width="13.25" style="159" customWidth="1"/>
    <col min="12558" max="12559" width="12" style="159" customWidth="1"/>
    <col min="12560" max="12560" width="13" style="159" customWidth="1"/>
    <col min="12561" max="12800" width="9" style="159"/>
    <col min="12801" max="12801" width="4.25" style="159" customWidth="1"/>
    <col min="12802" max="12802" width="34.625" style="159" customWidth="1"/>
    <col min="12803" max="12804" width="10.75" style="159" customWidth="1"/>
    <col min="12805" max="12805" width="14.625" style="159" customWidth="1"/>
    <col min="12806" max="12806" width="24.25" style="159" customWidth="1"/>
    <col min="12807" max="12807" width="2.875" style="159" customWidth="1"/>
    <col min="12808" max="12808" width="14.125" style="159" customWidth="1"/>
    <col min="12809" max="12809" width="15.875" style="159" customWidth="1"/>
    <col min="12810" max="12810" width="13.5" style="159" customWidth="1"/>
    <col min="12811" max="12811" width="15.625" style="159" customWidth="1"/>
    <col min="12812" max="12813" width="13.25" style="159" customWidth="1"/>
    <col min="12814" max="12815" width="12" style="159" customWidth="1"/>
    <col min="12816" max="12816" width="13" style="159" customWidth="1"/>
    <col min="12817" max="13056" width="9" style="159"/>
    <col min="13057" max="13057" width="4.25" style="159" customWidth="1"/>
    <col min="13058" max="13058" width="34.625" style="159" customWidth="1"/>
    <col min="13059" max="13060" width="10.75" style="159" customWidth="1"/>
    <col min="13061" max="13061" width="14.625" style="159" customWidth="1"/>
    <col min="13062" max="13062" width="24.25" style="159" customWidth="1"/>
    <col min="13063" max="13063" width="2.875" style="159" customWidth="1"/>
    <col min="13064" max="13064" width="14.125" style="159" customWidth="1"/>
    <col min="13065" max="13065" width="15.875" style="159" customWidth="1"/>
    <col min="13066" max="13066" width="13.5" style="159" customWidth="1"/>
    <col min="13067" max="13067" width="15.625" style="159" customWidth="1"/>
    <col min="13068" max="13069" width="13.25" style="159" customWidth="1"/>
    <col min="13070" max="13071" width="12" style="159" customWidth="1"/>
    <col min="13072" max="13072" width="13" style="159" customWidth="1"/>
    <col min="13073" max="13312" width="9" style="159"/>
    <col min="13313" max="13313" width="4.25" style="159" customWidth="1"/>
    <col min="13314" max="13314" width="34.625" style="159" customWidth="1"/>
    <col min="13315" max="13316" width="10.75" style="159" customWidth="1"/>
    <col min="13317" max="13317" width="14.625" style="159" customWidth="1"/>
    <col min="13318" max="13318" width="24.25" style="159" customWidth="1"/>
    <col min="13319" max="13319" width="2.875" style="159" customWidth="1"/>
    <col min="13320" max="13320" width="14.125" style="159" customWidth="1"/>
    <col min="13321" max="13321" width="15.875" style="159" customWidth="1"/>
    <col min="13322" max="13322" width="13.5" style="159" customWidth="1"/>
    <col min="13323" max="13323" width="15.625" style="159" customWidth="1"/>
    <col min="13324" max="13325" width="13.25" style="159" customWidth="1"/>
    <col min="13326" max="13327" width="12" style="159" customWidth="1"/>
    <col min="13328" max="13328" width="13" style="159" customWidth="1"/>
    <col min="13329" max="13568" width="9" style="159"/>
    <col min="13569" max="13569" width="4.25" style="159" customWidth="1"/>
    <col min="13570" max="13570" width="34.625" style="159" customWidth="1"/>
    <col min="13571" max="13572" width="10.75" style="159" customWidth="1"/>
    <col min="13573" max="13573" width="14.625" style="159" customWidth="1"/>
    <col min="13574" max="13574" width="24.25" style="159" customWidth="1"/>
    <col min="13575" max="13575" width="2.875" style="159" customWidth="1"/>
    <col min="13576" max="13576" width="14.125" style="159" customWidth="1"/>
    <col min="13577" max="13577" width="15.875" style="159" customWidth="1"/>
    <col min="13578" max="13578" width="13.5" style="159" customWidth="1"/>
    <col min="13579" max="13579" width="15.625" style="159" customWidth="1"/>
    <col min="13580" max="13581" width="13.25" style="159" customWidth="1"/>
    <col min="13582" max="13583" width="12" style="159" customWidth="1"/>
    <col min="13584" max="13584" width="13" style="159" customWidth="1"/>
    <col min="13585" max="13824" width="9" style="159"/>
    <col min="13825" max="13825" width="4.25" style="159" customWidth="1"/>
    <col min="13826" max="13826" width="34.625" style="159" customWidth="1"/>
    <col min="13827" max="13828" width="10.75" style="159" customWidth="1"/>
    <col min="13829" max="13829" width="14.625" style="159" customWidth="1"/>
    <col min="13830" max="13830" width="24.25" style="159" customWidth="1"/>
    <col min="13831" max="13831" width="2.875" style="159" customWidth="1"/>
    <col min="13832" max="13832" width="14.125" style="159" customWidth="1"/>
    <col min="13833" max="13833" width="15.875" style="159" customWidth="1"/>
    <col min="13834" max="13834" width="13.5" style="159" customWidth="1"/>
    <col min="13835" max="13835" width="15.625" style="159" customWidth="1"/>
    <col min="13836" max="13837" width="13.25" style="159" customWidth="1"/>
    <col min="13838" max="13839" width="12" style="159" customWidth="1"/>
    <col min="13840" max="13840" width="13" style="159" customWidth="1"/>
    <col min="13841" max="14080" width="9" style="159"/>
    <col min="14081" max="14081" width="4.25" style="159" customWidth="1"/>
    <col min="14082" max="14082" width="34.625" style="159" customWidth="1"/>
    <col min="14083" max="14084" width="10.75" style="159" customWidth="1"/>
    <col min="14085" max="14085" width="14.625" style="159" customWidth="1"/>
    <col min="14086" max="14086" width="24.25" style="159" customWidth="1"/>
    <col min="14087" max="14087" width="2.875" style="159" customWidth="1"/>
    <col min="14088" max="14088" width="14.125" style="159" customWidth="1"/>
    <col min="14089" max="14089" width="15.875" style="159" customWidth="1"/>
    <col min="14090" max="14090" width="13.5" style="159" customWidth="1"/>
    <col min="14091" max="14091" width="15.625" style="159" customWidth="1"/>
    <col min="14092" max="14093" width="13.25" style="159" customWidth="1"/>
    <col min="14094" max="14095" width="12" style="159" customWidth="1"/>
    <col min="14096" max="14096" width="13" style="159" customWidth="1"/>
    <col min="14097" max="14336" width="9" style="159"/>
    <col min="14337" max="14337" width="4.25" style="159" customWidth="1"/>
    <col min="14338" max="14338" width="34.625" style="159" customWidth="1"/>
    <col min="14339" max="14340" width="10.75" style="159" customWidth="1"/>
    <col min="14341" max="14341" width="14.625" style="159" customWidth="1"/>
    <col min="14342" max="14342" width="24.25" style="159" customWidth="1"/>
    <col min="14343" max="14343" width="2.875" style="159" customWidth="1"/>
    <col min="14344" max="14344" width="14.125" style="159" customWidth="1"/>
    <col min="14345" max="14345" width="15.875" style="159" customWidth="1"/>
    <col min="14346" max="14346" width="13.5" style="159" customWidth="1"/>
    <col min="14347" max="14347" width="15.625" style="159" customWidth="1"/>
    <col min="14348" max="14349" width="13.25" style="159" customWidth="1"/>
    <col min="14350" max="14351" width="12" style="159" customWidth="1"/>
    <col min="14352" max="14352" width="13" style="159" customWidth="1"/>
    <col min="14353" max="14592" width="9" style="159"/>
    <col min="14593" max="14593" width="4.25" style="159" customWidth="1"/>
    <col min="14594" max="14594" width="34.625" style="159" customWidth="1"/>
    <col min="14595" max="14596" width="10.75" style="159" customWidth="1"/>
    <col min="14597" max="14597" width="14.625" style="159" customWidth="1"/>
    <col min="14598" max="14598" width="24.25" style="159" customWidth="1"/>
    <col min="14599" max="14599" width="2.875" style="159" customWidth="1"/>
    <col min="14600" max="14600" width="14.125" style="159" customWidth="1"/>
    <col min="14601" max="14601" width="15.875" style="159" customWidth="1"/>
    <col min="14602" max="14602" width="13.5" style="159" customWidth="1"/>
    <col min="14603" max="14603" width="15.625" style="159" customWidth="1"/>
    <col min="14604" max="14605" width="13.25" style="159" customWidth="1"/>
    <col min="14606" max="14607" width="12" style="159" customWidth="1"/>
    <col min="14608" max="14608" width="13" style="159" customWidth="1"/>
    <col min="14609" max="14848" width="9" style="159"/>
    <col min="14849" max="14849" width="4.25" style="159" customWidth="1"/>
    <col min="14850" max="14850" width="34.625" style="159" customWidth="1"/>
    <col min="14851" max="14852" width="10.75" style="159" customWidth="1"/>
    <col min="14853" max="14853" width="14.625" style="159" customWidth="1"/>
    <col min="14854" max="14854" width="24.25" style="159" customWidth="1"/>
    <col min="14855" max="14855" width="2.875" style="159" customWidth="1"/>
    <col min="14856" max="14856" width="14.125" style="159" customWidth="1"/>
    <col min="14857" max="14857" width="15.875" style="159" customWidth="1"/>
    <col min="14858" max="14858" width="13.5" style="159" customWidth="1"/>
    <col min="14859" max="14859" width="15.625" style="159" customWidth="1"/>
    <col min="14860" max="14861" width="13.25" style="159" customWidth="1"/>
    <col min="14862" max="14863" width="12" style="159" customWidth="1"/>
    <col min="14864" max="14864" width="13" style="159" customWidth="1"/>
    <col min="14865" max="15104" width="9" style="159"/>
    <col min="15105" max="15105" width="4.25" style="159" customWidth="1"/>
    <col min="15106" max="15106" width="34.625" style="159" customWidth="1"/>
    <col min="15107" max="15108" width="10.75" style="159" customWidth="1"/>
    <col min="15109" max="15109" width="14.625" style="159" customWidth="1"/>
    <col min="15110" max="15110" width="24.25" style="159" customWidth="1"/>
    <col min="15111" max="15111" width="2.875" style="159" customWidth="1"/>
    <col min="15112" max="15112" width="14.125" style="159" customWidth="1"/>
    <col min="15113" max="15113" width="15.875" style="159" customWidth="1"/>
    <col min="15114" max="15114" width="13.5" style="159" customWidth="1"/>
    <col min="15115" max="15115" width="15.625" style="159" customWidth="1"/>
    <col min="15116" max="15117" width="13.25" style="159" customWidth="1"/>
    <col min="15118" max="15119" width="12" style="159" customWidth="1"/>
    <col min="15120" max="15120" width="13" style="159" customWidth="1"/>
    <col min="15121" max="15360" width="9" style="159"/>
    <col min="15361" max="15361" width="4.25" style="159" customWidth="1"/>
    <col min="15362" max="15362" width="34.625" style="159" customWidth="1"/>
    <col min="15363" max="15364" width="10.75" style="159" customWidth="1"/>
    <col min="15365" max="15365" width="14.625" style="159" customWidth="1"/>
    <col min="15366" max="15366" width="24.25" style="159" customWidth="1"/>
    <col min="15367" max="15367" width="2.875" style="159" customWidth="1"/>
    <col min="15368" max="15368" width="14.125" style="159" customWidth="1"/>
    <col min="15369" max="15369" width="15.875" style="159" customWidth="1"/>
    <col min="15370" max="15370" width="13.5" style="159" customWidth="1"/>
    <col min="15371" max="15371" width="15.625" style="159" customWidth="1"/>
    <col min="15372" max="15373" width="13.25" style="159" customWidth="1"/>
    <col min="15374" max="15375" width="12" style="159" customWidth="1"/>
    <col min="15376" max="15376" width="13" style="159" customWidth="1"/>
    <col min="15377" max="15616" width="9" style="159"/>
    <col min="15617" max="15617" width="4.25" style="159" customWidth="1"/>
    <col min="15618" max="15618" width="34.625" style="159" customWidth="1"/>
    <col min="15619" max="15620" width="10.75" style="159" customWidth="1"/>
    <col min="15621" max="15621" width="14.625" style="159" customWidth="1"/>
    <col min="15622" max="15622" width="24.25" style="159" customWidth="1"/>
    <col min="15623" max="15623" width="2.875" style="159" customWidth="1"/>
    <col min="15624" max="15624" width="14.125" style="159" customWidth="1"/>
    <col min="15625" max="15625" width="15.875" style="159" customWidth="1"/>
    <col min="15626" max="15626" width="13.5" style="159" customWidth="1"/>
    <col min="15627" max="15627" width="15.625" style="159" customWidth="1"/>
    <col min="15628" max="15629" width="13.25" style="159" customWidth="1"/>
    <col min="15630" max="15631" width="12" style="159" customWidth="1"/>
    <col min="15632" max="15632" width="13" style="159" customWidth="1"/>
    <col min="15633" max="15872" width="9" style="159"/>
    <col min="15873" max="15873" width="4.25" style="159" customWidth="1"/>
    <col min="15874" max="15874" width="34.625" style="159" customWidth="1"/>
    <col min="15875" max="15876" width="10.75" style="159" customWidth="1"/>
    <col min="15877" max="15877" width="14.625" style="159" customWidth="1"/>
    <col min="15878" max="15878" width="24.25" style="159" customWidth="1"/>
    <col min="15879" max="15879" width="2.875" style="159" customWidth="1"/>
    <col min="15880" max="15880" width="14.125" style="159" customWidth="1"/>
    <col min="15881" max="15881" width="15.875" style="159" customWidth="1"/>
    <col min="15882" max="15882" width="13.5" style="159" customWidth="1"/>
    <col min="15883" max="15883" width="15.625" style="159" customWidth="1"/>
    <col min="15884" max="15885" width="13.25" style="159" customWidth="1"/>
    <col min="15886" max="15887" width="12" style="159" customWidth="1"/>
    <col min="15888" max="15888" width="13" style="159" customWidth="1"/>
    <col min="15889" max="16128" width="9" style="159"/>
    <col min="16129" max="16129" width="4.25" style="159" customWidth="1"/>
    <col min="16130" max="16130" width="34.625" style="159" customWidth="1"/>
    <col min="16131" max="16132" width="10.75" style="159" customWidth="1"/>
    <col min="16133" max="16133" width="14.625" style="159" customWidth="1"/>
    <col min="16134" max="16134" width="24.25" style="159" customWidth="1"/>
    <col min="16135" max="16135" width="2.875" style="159" customWidth="1"/>
    <col min="16136" max="16136" width="14.125" style="159" customWidth="1"/>
    <col min="16137" max="16137" width="15.875" style="159" customWidth="1"/>
    <col min="16138" max="16138" width="13.5" style="159" customWidth="1"/>
    <col min="16139" max="16139" width="15.625" style="159" customWidth="1"/>
    <col min="16140" max="16141" width="13.25" style="159" customWidth="1"/>
    <col min="16142" max="16143" width="12" style="159" customWidth="1"/>
    <col min="16144" max="16144" width="13" style="159" customWidth="1"/>
    <col min="16145" max="16384" width="9" style="159"/>
  </cols>
  <sheetData>
    <row r="1" spans="2:6" s="157" customFormat="1" ht="24" customHeight="1">
      <c r="B1" s="357" t="s">
        <v>115</v>
      </c>
      <c r="C1" s="357"/>
      <c r="D1" s="357"/>
      <c r="E1" s="357"/>
      <c r="F1" s="357"/>
    </row>
    <row r="2" spans="2:6" s="158" customFormat="1" ht="24" customHeight="1">
      <c r="B2" s="406" t="s">
        <v>94</v>
      </c>
      <c r="C2" s="406"/>
      <c r="D2" s="406"/>
      <c r="E2" s="406"/>
      <c r="F2" s="406"/>
    </row>
    <row r="3" spans="2:6" ht="15.75" customHeight="1"/>
    <row r="4" spans="2:6" s="162" customFormat="1" ht="39.75" customHeight="1">
      <c r="B4" s="160" t="s">
        <v>95</v>
      </c>
      <c r="C4" s="160" t="s">
        <v>86</v>
      </c>
      <c r="D4" s="160" t="s">
        <v>87</v>
      </c>
      <c r="E4" s="160" t="s">
        <v>88</v>
      </c>
      <c r="F4" s="161" t="s">
        <v>89</v>
      </c>
    </row>
    <row r="5" spans="2:6" ht="31.5" customHeight="1">
      <c r="B5" s="167"/>
      <c r="C5" s="167"/>
      <c r="D5" s="167"/>
      <c r="E5" s="167"/>
      <c r="F5" s="172"/>
    </row>
    <row r="6" spans="2:6" ht="31.5" customHeight="1">
      <c r="B6" s="167"/>
      <c r="C6" s="167"/>
      <c r="D6" s="167"/>
      <c r="E6" s="167"/>
      <c r="F6" s="172"/>
    </row>
    <row r="7" spans="2:6" ht="31.5" customHeight="1">
      <c r="B7" s="167"/>
      <c r="C7" s="167"/>
      <c r="D7" s="167"/>
      <c r="E7" s="167"/>
      <c r="F7" s="172"/>
    </row>
    <row r="8" spans="2:6" ht="31.5" customHeight="1">
      <c r="B8" s="167"/>
      <c r="C8" s="167"/>
      <c r="D8" s="167"/>
      <c r="E8" s="167"/>
      <c r="F8" s="172"/>
    </row>
    <row r="9" spans="2:6" ht="31.5" customHeight="1">
      <c r="B9" s="167"/>
      <c r="C9" s="167"/>
      <c r="D9" s="167"/>
      <c r="E9" s="167"/>
      <c r="F9" s="172"/>
    </row>
    <row r="10" spans="2:6" s="166" customFormat="1" ht="31.5" customHeight="1">
      <c r="B10" s="407" t="s">
        <v>91</v>
      </c>
      <c r="C10" s="408"/>
      <c r="D10" s="408"/>
      <c r="E10" s="409"/>
      <c r="F10" s="164">
        <f>SUM(F5:F9)</f>
        <v>0</v>
      </c>
    </row>
  </sheetData>
  <mergeCells count="3">
    <mergeCell ref="B1:F1"/>
    <mergeCell ref="B2:F2"/>
    <mergeCell ref="B10:E10"/>
  </mergeCells>
  <pageMargins left="0.7" right="0.7" top="0.75" bottom="0.75" header="0.3" footer="0.3"/>
  <pageSetup paperSize="9" scale="6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B1:J15"/>
  <sheetViews>
    <sheetView zoomScaleNormal="100" zoomScaleSheetLayoutView="100" workbookViewId="0">
      <selection activeCell="H17" sqref="H17"/>
    </sheetView>
  </sheetViews>
  <sheetFormatPr defaultRowHeight="24" customHeight="1"/>
  <cols>
    <col min="1" max="1" width="4.25" style="159" customWidth="1"/>
    <col min="2" max="2" width="43.125" style="159" customWidth="1"/>
    <col min="3" max="5" width="12.625" style="159" customWidth="1"/>
    <col min="6" max="6" width="16.875" style="159" customWidth="1"/>
    <col min="7" max="7" width="2.875" style="159" customWidth="1"/>
    <col min="8" max="8" width="14.125" style="159" customWidth="1"/>
    <col min="9" max="10" width="12.625" style="159" customWidth="1"/>
    <col min="11" max="11" width="15.625" style="159" customWidth="1"/>
    <col min="12" max="13" width="13.25" style="159" customWidth="1"/>
    <col min="14" max="15" width="12" style="159" customWidth="1"/>
    <col min="16" max="16" width="13" style="159" customWidth="1"/>
    <col min="17" max="256" width="9" style="159"/>
    <col min="257" max="257" width="4.25" style="159" customWidth="1"/>
    <col min="258" max="258" width="43.125" style="159" customWidth="1"/>
    <col min="259" max="261" width="12.625" style="159" customWidth="1"/>
    <col min="262" max="262" width="16.875" style="159" customWidth="1"/>
    <col min="263" max="263" width="2.875" style="159" customWidth="1"/>
    <col min="264" max="264" width="14.125" style="159" customWidth="1"/>
    <col min="265" max="265" width="15.875" style="159" customWidth="1"/>
    <col min="266" max="266" width="13.5" style="159" customWidth="1"/>
    <col min="267" max="267" width="15.625" style="159" customWidth="1"/>
    <col min="268" max="269" width="13.25" style="159" customWidth="1"/>
    <col min="270" max="271" width="12" style="159" customWidth="1"/>
    <col min="272" max="272" width="13" style="159" customWidth="1"/>
    <col min="273" max="512" width="9" style="159"/>
    <col min="513" max="513" width="4.25" style="159" customWidth="1"/>
    <col min="514" max="514" width="43.125" style="159" customWidth="1"/>
    <col min="515" max="517" width="12.625" style="159" customWidth="1"/>
    <col min="518" max="518" width="16.875" style="159" customWidth="1"/>
    <col min="519" max="519" width="2.875" style="159" customWidth="1"/>
    <col min="520" max="520" width="14.125" style="159" customWidth="1"/>
    <col min="521" max="521" width="15.875" style="159" customWidth="1"/>
    <col min="522" max="522" width="13.5" style="159" customWidth="1"/>
    <col min="523" max="523" width="15.625" style="159" customWidth="1"/>
    <col min="524" max="525" width="13.25" style="159" customWidth="1"/>
    <col min="526" max="527" width="12" style="159" customWidth="1"/>
    <col min="528" max="528" width="13" style="159" customWidth="1"/>
    <col min="529" max="768" width="9" style="159"/>
    <col min="769" max="769" width="4.25" style="159" customWidth="1"/>
    <col min="770" max="770" width="43.125" style="159" customWidth="1"/>
    <col min="771" max="773" width="12.625" style="159" customWidth="1"/>
    <col min="774" max="774" width="16.875" style="159" customWidth="1"/>
    <col min="775" max="775" width="2.875" style="159" customWidth="1"/>
    <col min="776" max="776" width="14.125" style="159" customWidth="1"/>
    <col min="777" max="777" width="15.875" style="159" customWidth="1"/>
    <col min="778" max="778" width="13.5" style="159" customWidth="1"/>
    <col min="779" max="779" width="15.625" style="159" customWidth="1"/>
    <col min="780" max="781" width="13.25" style="159" customWidth="1"/>
    <col min="782" max="783" width="12" style="159" customWidth="1"/>
    <col min="784" max="784" width="13" style="159" customWidth="1"/>
    <col min="785" max="1024" width="9" style="159"/>
    <col min="1025" max="1025" width="4.25" style="159" customWidth="1"/>
    <col min="1026" max="1026" width="43.125" style="159" customWidth="1"/>
    <col min="1027" max="1029" width="12.625" style="159" customWidth="1"/>
    <col min="1030" max="1030" width="16.875" style="159" customWidth="1"/>
    <col min="1031" max="1031" width="2.875" style="159" customWidth="1"/>
    <col min="1032" max="1032" width="14.125" style="159" customWidth="1"/>
    <col min="1033" max="1033" width="15.875" style="159" customWidth="1"/>
    <col min="1034" max="1034" width="13.5" style="159" customWidth="1"/>
    <col min="1035" max="1035" width="15.625" style="159" customWidth="1"/>
    <col min="1036" max="1037" width="13.25" style="159" customWidth="1"/>
    <col min="1038" max="1039" width="12" style="159" customWidth="1"/>
    <col min="1040" max="1040" width="13" style="159" customWidth="1"/>
    <col min="1041" max="1280" width="9" style="159"/>
    <col min="1281" max="1281" width="4.25" style="159" customWidth="1"/>
    <col min="1282" max="1282" width="43.125" style="159" customWidth="1"/>
    <col min="1283" max="1285" width="12.625" style="159" customWidth="1"/>
    <col min="1286" max="1286" width="16.875" style="159" customWidth="1"/>
    <col min="1287" max="1287" width="2.875" style="159" customWidth="1"/>
    <col min="1288" max="1288" width="14.125" style="159" customWidth="1"/>
    <col min="1289" max="1289" width="15.875" style="159" customWidth="1"/>
    <col min="1290" max="1290" width="13.5" style="159" customWidth="1"/>
    <col min="1291" max="1291" width="15.625" style="159" customWidth="1"/>
    <col min="1292" max="1293" width="13.25" style="159" customWidth="1"/>
    <col min="1294" max="1295" width="12" style="159" customWidth="1"/>
    <col min="1296" max="1296" width="13" style="159" customWidth="1"/>
    <col min="1297" max="1536" width="9" style="159"/>
    <col min="1537" max="1537" width="4.25" style="159" customWidth="1"/>
    <col min="1538" max="1538" width="43.125" style="159" customWidth="1"/>
    <col min="1539" max="1541" width="12.625" style="159" customWidth="1"/>
    <col min="1542" max="1542" width="16.875" style="159" customWidth="1"/>
    <col min="1543" max="1543" width="2.875" style="159" customWidth="1"/>
    <col min="1544" max="1544" width="14.125" style="159" customWidth="1"/>
    <col min="1545" max="1545" width="15.875" style="159" customWidth="1"/>
    <col min="1546" max="1546" width="13.5" style="159" customWidth="1"/>
    <col min="1547" max="1547" width="15.625" style="159" customWidth="1"/>
    <col min="1548" max="1549" width="13.25" style="159" customWidth="1"/>
    <col min="1550" max="1551" width="12" style="159" customWidth="1"/>
    <col min="1552" max="1552" width="13" style="159" customWidth="1"/>
    <col min="1553" max="1792" width="9" style="159"/>
    <col min="1793" max="1793" width="4.25" style="159" customWidth="1"/>
    <col min="1794" max="1794" width="43.125" style="159" customWidth="1"/>
    <col min="1795" max="1797" width="12.625" style="159" customWidth="1"/>
    <col min="1798" max="1798" width="16.875" style="159" customWidth="1"/>
    <col min="1799" max="1799" width="2.875" style="159" customWidth="1"/>
    <col min="1800" max="1800" width="14.125" style="159" customWidth="1"/>
    <col min="1801" max="1801" width="15.875" style="159" customWidth="1"/>
    <col min="1802" max="1802" width="13.5" style="159" customWidth="1"/>
    <col min="1803" max="1803" width="15.625" style="159" customWidth="1"/>
    <col min="1804" max="1805" width="13.25" style="159" customWidth="1"/>
    <col min="1806" max="1807" width="12" style="159" customWidth="1"/>
    <col min="1808" max="1808" width="13" style="159" customWidth="1"/>
    <col min="1809" max="2048" width="9" style="159"/>
    <col min="2049" max="2049" width="4.25" style="159" customWidth="1"/>
    <col min="2050" max="2050" width="43.125" style="159" customWidth="1"/>
    <col min="2051" max="2053" width="12.625" style="159" customWidth="1"/>
    <col min="2054" max="2054" width="16.875" style="159" customWidth="1"/>
    <col min="2055" max="2055" width="2.875" style="159" customWidth="1"/>
    <col min="2056" max="2056" width="14.125" style="159" customWidth="1"/>
    <col min="2057" max="2057" width="15.875" style="159" customWidth="1"/>
    <col min="2058" max="2058" width="13.5" style="159" customWidth="1"/>
    <col min="2059" max="2059" width="15.625" style="159" customWidth="1"/>
    <col min="2060" max="2061" width="13.25" style="159" customWidth="1"/>
    <col min="2062" max="2063" width="12" style="159" customWidth="1"/>
    <col min="2064" max="2064" width="13" style="159" customWidth="1"/>
    <col min="2065" max="2304" width="9" style="159"/>
    <col min="2305" max="2305" width="4.25" style="159" customWidth="1"/>
    <col min="2306" max="2306" width="43.125" style="159" customWidth="1"/>
    <col min="2307" max="2309" width="12.625" style="159" customWidth="1"/>
    <col min="2310" max="2310" width="16.875" style="159" customWidth="1"/>
    <col min="2311" max="2311" width="2.875" style="159" customWidth="1"/>
    <col min="2312" max="2312" width="14.125" style="159" customWidth="1"/>
    <col min="2313" max="2313" width="15.875" style="159" customWidth="1"/>
    <col min="2314" max="2314" width="13.5" style="159" customWidth="1"/>
    <col min="2315" max="2315" width="15.625" style="159" customWidth="1"/>
    <col min="2316" max="2317" width="13.25" style="159" customWidth="1"/>
    <col min="2318" max="2319" width="12" style="159" customWidth="1"/>
    <col min="2320" max="2320" width="13" style="159" customWidth="1"/>
    <col min="2321" max="2560" width="9" style="159"/>
    <col min="2561" max="2561" width="4.25" style="159" customWidth="1"/>
    <col min="2562" max="2562" width="43.125" style="159" customWidth="1"/>
    <col min="2563" max="2565" width="12.625" style="159" customWidth="1"/>
    <col min="2566" max="2566" width="16.875" style="159" customWidth="1"/>
    <col min="2567" max="2567" width="2.875" style="159" customWidth="1"/>
    <col min="2568" max="2568" width="14.125" style="159" customWidth="1"/>
    <col min="2569" max="2569" width="15.875" style="159" customWidth="1"/>
    <col min="2570" max="2570" width="13.5" style="159" customWidth="1"/>
    <col min="2571" max="2571" width="15.625" style="159" customWidth="1"/>
    <col min="2572" max="2573" width="13.25" style="159" customWidth="1"/>
    <col min="2574" max="2575" width="12" style="159" customWidth="1"/>
    <col min="2576" max="2576" width="13" style="159" customWidth="1"/>
    <col min="2577" max="2816" width="9" style="159"/>
    <col min="2817" max="2817" width="4.25" style="159" customWidth="1"/>
    <col min="2818" max="2818" width="43.125" style="159" customWidth="1"/>
    <col min="2819" max="2821" width="12.625" style="159" customWidth="1"/>
    <col min="2822" max="2822" width="16.875" style="159" customWidth="1"/>
    <col min="2823" max="2823" width="2.875" style="159" customWidth="1"/>
    <col min="2824" max="2824" width="14.125" style="159" customWidth="1"/>
    <col min="2825" max="2825" width="15.875" style="159" customWidth="1"/>
    <col min="2826" max="2826" width="13.5" style="159" customWidth="1"/>
    <col min="2827" max="2827" width="15.625" style="159" customWidth="1"/>
    <col min="2828" max="2829" width="13.25" style="159" customWidth="1"/>
    <col min="2830" max="2831" width="12" style="159" customWidth="1"/>
    <col min="2832" max="2832" width="13" style="159" customWidth="1"/>
    <col min="2833" max="3072" width="9" style="159"/>
    <col min="3073" max="3073" width="4.25" style="159" customWidth="1"/>
    <col min="3074" max="3074" width="43.125" style="159" customWidth="1"/>
    <col min="3075" max="3077" width="12.625" style="159" customWidth="1"/>
    <col min="3078" max="3078" width="16.875" style="159" customWidth="1"/>
    <col min="3079" max="3079" width="2.875" style="159" customWidth="1"/>
    <col min="3080" max="3080" width="14.125" style="159" customWidth="1"/>
    <col min="3081" max="3081" width="15.875" style="159" customWidth="1"/>
    <col min="3082" max="3082" width="13.5" style="159" customWidth="1"/>
    <col min="3083" max="3083" width="15.625" style="159" customWidth="1"/>
    <col min="3084" max="3085" width="13.25" style="159" customWidth="1"/>
    <col min="3086" max="3087" width="12" style="159" customWidth="1"/>
    <col min="3088" max="3088" width="13" style="159" customWidth="1"/>
    <col min="3089" max="3328" width="9" style="159"/>
    <col min="3329" max="3329" width="4.25" style="159" customWidth="1"/>
    <col min="3330" max="3330" width="43.125" style="159" customWidth="1"/>
    <col min="3331" max="3333" width="12.625" style="159" customWidth="1"/>
    <col min="3334" max="3334" width="16.875" style="159" customWidth="1"/>
    <col min="3335" max="3335" width="2.875" style="159" customWidth="1"/>
    <col min="3336" max="3336" width="14.125" style="159" customWidth="1"/>
    <col min="3337" max="3337" width="15.875" style="159" customWidth="1"/>
    <col min="3338" max="3338" width="13.5" style="159" customWidth="1"/>
    <col min="3339" max="3339" width="15.625" style="159" customWidth="1"/>
    <col min="3340" max="3341" width="13.25" style="159" customWidth="1"/>
    <col min="3342" max="3343" width="12" style="159" customWidth="1"/>
    <col min="3344" max="3344" width="13" style="159" customWidth="1"/>
    <col min="3345" max="3584" width="9" style="159"/>
    <col min="3585" max="3585" width="4.25" style="159" customWidth="1"/>
    <col min="3586" max="3586" width="43.125" style="159" customWidth="1"/>
    <col min="3587" max="3589" width="12.625" style="159" customWidth="1"/>
    <col min="3590" max="3590" width="16.875" style="159" customWidth="1"/>
    <col min="3591" max="3591" width="2.875" style="159" customWidth="1"/>
    <col min="3592" max="3592" width="14.125" style="159" customWidth="1"/>
    <col min="3593" max="3593" width="15.875" style="159" customWidth="1"/>
    <col min="3594" max="3594" width="13.5" style="159" customWidth="1"/>
    <col min="3595" max="3595" width="15.625" style="159" customWidth="1"/>
    <col min="3596" max="3597" width="13.25" style="159" customWidth="1"/>
    <col min="3598" max="3599" width="12" style="159" customWidth="1"/>
    <col min="3600" max="3600" width="13" style="159" customWidth="1"/>
    <col min="3601" max="3840" width="9" style="159"/>
    <col min="3841" max="3841" width="4.25" style="159" customWidth="1"/>
    <col min="3842" max="3842" width="43.125" style="159" customWidth="1"/>
    <col min="3843" max="3845" width="12.625" style="159" customWidth="1"/>
    <col min="3846" max="3846" width="16.875" style="159" customWidth="1"/>
    <col min="3847" max="3847" width="2.875" style="159" customWidth="1"/>
    <col min="3848" max="3848" width="14.125" style="159" customWidth="1"/>
    <col min="3849" max="3849" width="15.875" style="159" customWidth="1"/>
    <col min="3850" max="3850" width="13.5" style="159" customWidth="1"/>
    <col min="3851" max="3851" width="15.625" style="159" customWidth="1"/>
    <col min="3852" max="3853" width="13.25" style="159" customWidth="1"/>
    <col min="3854" max="3855" width="12" style="159" customWidth="1"/>
    <col min="3856" max="3856" width="13" style="159" customWidth="1"/>
    <col min="3857" max="4096" width="9" style="159"/>
    <col min="4097" max="4097" width="4.25" style="159" customWidth="1"/>
    <col min="4098" max="4098" width="43.125" style="159" customWidth="1"/>
    <col min="4099" max="4101" width="12.625" style="159" customWidth="1"/>
    <col min="4102" max="4102" width="16.875" style="159" customWidth="1"/>
    <col min="4103" max="4103" width="2.875" style="159" customWidth="1"/>
    <col min="4104" max="4104" width="14.125" style="159" customWidth="1"/>
    <col min="4105" max="4105" width="15.875" style="159" customWidth="1"/>
    <col min="4106" max="4106" width="13.5" style="159" customWidth="1"/>
    <col min="4107" max="4107" width="15.625" style="159" customWidth="1"/>
    <col min="4108" max="4109" width="13.25" style="159" customWidth="1"/>
    <col min="4110" max="4111" width="12" style="159" customWidth="1"/>
    <col min="4112" max="4112" width="13" style="159" customWidth="1"/>
    <col min="4113" max="4352" width="9" style="159"/>
    <col min="4353" max="4353" width="4.25" style="159" customWidth="1"/>
    <col min="4354" max="4354" width="43.125" style="159" customWidth="1"/>
    <col min="4355" max="4357" width="12.625" style="159" customWidth="1"/>
    <col min="4358" max="4358" width="16.875" style="159" customWidth="1"/>
    <col min="4359" max="4359" width="2.875" style="159" customWidth="1"/>
    <col min="4360" max="4360" width="14.125" style="159" customWidth="1"/>
    <col min="4361" max="4361" width="15.875" style="159" customWidth="1"/>
    <col min="4362" max="4362" width="13.5" style="159" customWidth="1"/>
    <col min="4363" max="4363" width="15.625" style="159" customWidth="1"/>
    <col min="4364" max="4365" width="13.25" style="159" customWidth="1"/>
    <col min="4366" max="4367" width="12" style="159" customWidth="1"/>
    <col min="4368" max="4368" width="13" style="159" customWidth="1"/>
    <col min="4369" max="4608" width="9" style="159"/>
    <col min="4609" max="4609" width="4.25" style="159" customWidth="1"/>
    <col min="4610" max="4610" width="43.125" style="159" customWidth="1"/>
    <col min="4611" max="4613" width="12.625" style="159" customWidth="1"/>
    <col min="4614" max="4614" width="16.875" style="159" customWidth="1"/>
    <col min="4615" max="4615" width="2.875" style="159" customWidth="1"/>
    <col min="4616" max="4616" width="14.125" style="159" customWidth="1"/>
    <col min="4617" max="4617" width="15.875" style="159" customWidth="1"/>
    <col min="4618" max="4618" width="13.5" style="159" customWidth="1"/>
    <col min="4619" max="4619" width="15.625" style="159" customWidth="1"/>
    <col min="4620" max="4621" width="13.25" style="159" customWidth="1"/>
    <col min="4622" max="4623" width="12" style="159" customWidth="1"/>
    <col min="4624" max="4624" width="13" style="159" customWidth="1"/>
    <col min="4625" max="4864" width="9" style="159"/>
    <col min="4865" max="4865" width="4.25" style="159" customWidth="1"/>
    <col min="4866" max="4866" width="43.125" style="159" customWidth="1"/>
    <col min="4867" max="4869" width="12.625" style="159" customWidth="1"/>
    <col min="4870" max="4870" width="16.875" style="159" customWidth="1"/>
    <col min="4871" max="4871" width="2.875" style="159" customWidth="1"/>
    <col min="4872" max="4872" width="14.125" style="159" customWidth="1"/>
    <col min="4873" max="4873" width="15.875" style="159" customWidth="1"/>
    <col min="4874" max="4874" width="13.5" style="159" customWidth="1"/>
    <col min="4875" max="4875" width="15.625" style="159" customWidth="1"/>
    <col min="4876" max="4877" width="13.25" style="159" customWidth="1"/>
    <col min="4878" max="4879" width="12" style="159" customWidth="1"/>
    <col min="4880" max="4880" width="13" style="159" customWidth="1"/>
    <col min="4881" max="5120" width="9" style="159"/>
    <col min="5121" max="5121" width="4.25" style="159" customWidth="1"/>
    <col min="5122" max="5122" width="43.125" style="159" customWidth="1"/>
    <col min="5123" max="5125" width="12.625" style="159" customWidth="1"/>
    <col min="5126" max="5126" width="16.875" style="159" customWidth="1"/>
    <col min="5127" max="5127" width="2.875" style="159" customWidth="1"/>
    <col min="5128" max="5128" width="14.125" style="159" customWidth="1"/>
    <col min="5129" max="5129" width="15.875" style="159" customWidth="1"/>
    <col min="5130" max="5130" width="13.5" style="159" customWidth="1"/>
    <col min="5131" max="5131" width="15.625" style="159" customWidth="1"/>
    <col min="5132" max="5133" width="13.25" style="159" customWidth="1"/>
    <col min="5134" max="5135" width="12" style="159" customWidth="1"/>
    <col min="5136" max="5136" width="13" style="159" customWidth="1"/>
    <col min="5137" max="5376" width="9" style="159"/>
    <col min="5377" max="5377" width="4.25" style="159" customWidth="1"/>
    <col min="5378" max="5378" width="43.125" style="159" customWidth="1"/>
    <col min="5379" max="5381" width="12.625" style="159" customWidth="1"/>
    <col min="5382" max="5382" width="16.875" style="159" customWidth="1"/>
    <col min="5383" max="5383" width="2.875" style="159" customWidth="1"/>
    <col min="5384" max="5384" width="14.125" style="159" customWidth="1"/>
    <col min="5385" max="5385" width="15.875" style="159" customWidth="1"/>
    <col min="5386" max="5386" width="13.5" style="159" customWidth="1"/>
    <col min="5387" max="5387" width="15.625" style="159" customWidth="1"/>
    <col min="5388" max="5389" width="13.25" style="159" customWidth="1"/>
    <col min="5390" max="5391" width="12" style="159" customWidth="1"/>
    <col min="5392" max="5392" width="13" style="159" customWidth="1"/>
    <col min="5393" max="5632" width="9" style="159"/>
    <col min="5633" max="5633" width="4.25" style="159" customWidth="1"/>
    <col min="5634" max="5634" width="43.125" style="159" customWidth="1"/>
    <col min="5635" max="5637" width="12.625" style="159" customWidth="1"/>
    <col min="5638" max="5638" width="16.875" style="159" customWidth="1"/>
    <col min="5639" max="5639" width="2.875" style="159" customWidth="1"/>
    <col min="5640" max="5640" width="14.125" style="159" customWidth="1"/>
    <col min="5641" max="5641" width="15.875" style="159" customWidth="1"/>
    <col min="5642" max="5642" width="13.5" style="159" customWidth="1"/>
    <col min="5643" max="5643" width="15.625" style="159" customWidth="1"/>
    <col min="5644" max="5645" width="13.25" style="159" customWidth="1"/>
    <col min="5646" max="5647" width="12" style="159" customWidth="1"/>
    <col min="5648" max="5648" width="13" style="159" customWidth="1"/>
    <col min="5649" max="5888" width="9" style="159"/>
    <col min="5889" max="5889" width="4.25" style="159" customWidth="1"/>
    <col min="5890" max="5890" width="43.125" style="159" customWidth="1"/>
    <col min="5891" max="5893" width="12.625" style="159" customWidth="1"/>
    <col min="5894" max="5894" width="16.875" style="159" customWidth="1"/>
    <col min="5895" max="5895" width="2.875" style="159" customWidth="1"/>
    <col min="5896" max="5896" width="14.125" style="159" customWidth="1"/>
    <col min="5897" max="5897" width="15.875" style="159" customWidth="1"/>
    <col min="5898" max="5898" width="13.5" style="159" customWidth="1"/>
    <col min="5899" max="5899" width="15.625" style="159" customWidth="1"/>
    <col min="5900" max="5901" width="13.25" style="159" customWidth="1"/>
    <col min="5902" max="5903" width="12" style="159" customWidth="1"/>
    <col min="5904" max="5904" width="13" style="159" customWidth="1"/>
    <col min="5905" max="6144" width="9" style="159"/>
    <col min="6145" max="6145" width="4.25" style="159" customWidth="1"/>
    <col min="6146" max="6146" width="43.125" style="159" customWidth="1"/>
    <col min="6147" max="6149" width="12.625" style="159" customWidth="1"/>
    <col min="6150" max="6150" width="16.875" style="159" customWidth="1"/>
    <col min="6151" max="6151" width="2.875" style="159" customWidth="1"/>
    <col min="6152" max="6152" width="14.125" style="159" customWidth="1"/>
    <col min="6153" max="6153" width="15.875" style="159" customWidth="1"/>
    <col min="6154" max="6154" width="13.5" style="159" customWidth="1"/>
    <col min="6155" max="6155" width="15.625" style="159" customWidth="1"/>
    <col min="6156" max="6157" width="13.25" style="159" customWidth="1"/>
    <col min="6158" max="6159" width="12" style="159" customWidth="1"/>
    <col min="6160" max="6160" width="13" style="159" customWidth="1"/>
    <col min="6161" max="6400" width="9" style="159"/>
    <col min="6401" max="6401" width="4.25" style="159" customWidth="1"/>
    <col min="6402" max="6402" width="43.125" style="159" customWidth="1"/>
    <col min="6403" max="6405" width="12.625" style="159" customWidth="1"/>
    <col min="6406" max="6406" width="16.875" style="159" customWidth="1"/>
    <col min="6407" max="6407" width="2.875" style="159" customWidth="1"/>
    <col min="6408" max="6408" width="14.125" style="159" customWidth="1"/>
    <col min="6409" max="6409" width="15.875" style="159" customWidth="1"/>
    <col min="6410" max="6410" width="13.5" style="159" customWidth="1"/>
    <col min="6411" max="6411" width="15.625" style="159" customWidth="1"/>
    <col min="6412" max="6413" width="13.25" style="159" customWidth="1"/>
    <col min="6414" max="6415" width="12" style="159" customWidth="1"/>
    <col min="6416" max="6416" width="13" style="159" customWidth="1"/>
    <col min="6417" max="6656" width="9" style="159"/>
    <col min="6657" max="6657" width="4.25" style="159" customWidth="1"/>
    <col min="6658" max="6658" width="43.125" style="159" customWidth="1"/>
    <col min="6659" max="6661" width="12.625" style="159" customWidth="1"/>
    <col min="6662" max="6662" width="16.875" style="159" customWidth="1"/>
    <col min="6663" max="6663" width="2.875" style="159" customWidth="1"/>
    <col min="6664" max="6664" width="14.125" style="159" customWidth="1"/>
    <col min="6665" max="6665" width="15.875" style="159" customWidth="1"/>
    <col min="6666" max="6666" width="13.5" style="159" customWidth="1"/>
    <col min="6667" max="6667" width="15.625" style="159" customWidth="1"/>
    <col min="6668" max="6669" width="13.25" style="159" customWidth="1"/>
    <col min="6670" max="6671" width="12" style="159" customWidth="1"/>
    <col min="6672" max="6672" width="13" style="159" customWidth="1"/>
    <col min="6673" max="6912" width="9" style="159"/>
    <col min="6913" max="6913" width="4.25" style="159" customWidth="1"/>
    <col min="6914" max="6914" width="43.125" style="159" customWidth="1"/>
    <col min="6915" max="6917" width="12.625" style="159" customWidth="1"/>
    <col min="6918" max="6918" width="16.875" style="159" customWidth="1"/>
    <col min="6919" max="6919" width="2.875" style="159" customWidth="1"/>
    <col min="6920" max="6920" width="14.125" style="159" customWidth="1"/>
    <col min="6921" max="6921" width="15.875" style="159" customWidth="1"/>
    <col min="6922" max="6922" width="13.5" style="159" customWidth="1"/>
    <col min="6923" max="6923" width="15.625" style="159" customWidth="1"/>
    <col min="6924" max="6925" width="13.25" style="159" customWidth="1"/>
    <col min="6926" max="6927" width="12" style="159" customWidth="1"/>
    <col min="6928" max="6928" width="13" style="159" customWidth="1"/>
    <col min="6929" max="7168" width="9" style="159"/>
    <col min="7169" max="7169" width="4.25" style="159" customWidth="1"/>
    <col min="7170" max="7170" width="43.125" style="159" customWidth="1"/>
    <col min="7171" max="7173" width="12.625" style="159" customWidth="1"/>
    <col min="7174" max="7174" width="16.875" style="159" customWidth="1"/>
    <col min="7175" max="7175" width="2.875" style="159" customWidth="1"/>
    <col min="7176" max="7176" width="14.125" style="159" customWidth="1"/>
    <col min="7177" max="7177" width="15.875" style="159" customWidth="1"/>
    <col min="7178" max="7178" width="13.5" style="159" customWidth="1"/>
    <col min="7179" max="7179" width="15.625" style="159" customWidth="1"/>
    <col min="7180" max="7181" width="13.25" style="159" customWidth="1"/>
    <col min="7182" max="7183" width="12" style="159" customWidth="1"/>
    <col min="7184" max="7184" width="13" style="159" customWidth="1"/>
    <col min="7185" max="7424" width="9" style="159"/>
    <col min="7425" max="7425" width="4.25" style="159" customWidth="1"/>
    <col min="7426" max="7426" width="43.125" style="159" customWidth="1"/>
    <col min="7427" max="7429" width="12.625" style="159" customWidth="1"/>
    <col min="7430" max="7430" width="16.875" style="159" customWidth="1"/>
    <col min="7431" max="7431" width="2.875" style="159" customWidth="1"/>
    <col min="7432" max="7432" width="14.125" style="159" customWidth="1"/>
    <col min="7433" max="7433" width="15.875" style="159" customWidth="1"/>
    <col min="7434" max="7434" width="13.5" style="159" customWidth="1"/>
    <col min="7435" max="7435" width="15.625" style="159" customWidth="1"/>
    <col min="7436" max="7437" width="13.25" style="159" customWidth="1"/>
    <col min="7438" max="7439" width="12" style="159" customWidth="1"/>
    <col min="7440" max="7440" width="13" style="159" customWidth="1"/>
    <col min="7441" max="7680" width="9" style="159"/>
    <col min="7681" max="7681" width="4.25" style="159" customWidth="1"/>
    <col min="7682" max="7682" width="43.125" style="159" customWidth="1"/>
    <col min="7683" max="7685" width="12.625" style="159" customWidth="1"/>
    <col min="7686" max="7686" width="16.875" style="159" customWidth="1"/>
    <col min="7687" max="7687" width="2.875" style="159" customWidth="1"/>
    <col min="7688" max="7688" width="14.125" style="159" customWidth="1"/>
    <col min="7689" max="7689" width="15.875" style="159" customWidth="1"/>
    <col min="7690" max="7690" width="13.5" style="159" customWidth="1"/>
    <col min="7691" max="7691" width="15.625" style="159" customWidth="1"/>
    <col min="7692" max="7693" width="13.25" style="159" customWidth="1"/>
    <col min="7694" max="7695" width="12" style="159" customWidth="1"/>
    <col min="7696" max="7696" width="13" style="159" customWidth="1"/>
    <col min="7697" max="7936" width="9" style="159"/>
    <col min="7937" max="7937" width="4.25" style="159" customWidth="1"/>
    <col min="7938" max="7938" width="43.125" style="159" customWidth="1"/>
    <col min="7939" max="7941" width="12.625" style="159" customWidth="1"/>
    <col min="7942" max="7942" width="16.875" style="159" customWidth="1"/>
    <col min="7943" max="7943" width="2.875" style="159" customWidth="1"/>
    <col min="7944" max="7944" width="14.125" style="159" customWidth="1"/>
    <col min="7945" max="7945" width="15.875" style="159" customWidth="1"/>
    <col min="7946" max="7946" width="13.5" style="159" customWidth="1"/>
    <col min="7947" max="7947" width="15.625" style="159" customWidth="1"/>
    <col min="7948" max="7949" width="13.25" style="159" customWidth="1"/>
    <col min="7950" max="7951" width="12" style="159" customWidth="1"/>
    <col min="7952" max="7952" width="13" style="159" customWidth="1"/>
    <col min="7953" max="8192" width="9" style="159"/>
    <col min="8193" max="8193" width="4.25" style="159" customWidth="1"/>
    <col min="8194" max="8194" width="43.125" style="159" customWidth="1"/>
    <col min="8195" max="8197" width="12.625" style="159" customWidth="1"/>
    <col min="8198" max="8198" width="16.875" style="159" customWidth="1"/>
    <col min="8199" max="8199" width="2.875" style="159" customWidth="1"/>
    <col min="8200" max="8200" width="14.125" style="159" customWidth="1"/>
    <col min="8201" max="8201" width="15.875" style="159" customWidth="1"/>
    <col min="8202" max="8202" width="13.5" style="159" customWidth="1"/>
    <col min="8203" max="8203" width="15.625" style="159" customWidth="1"/>
    <col min="8204" max="8205" width="13.25" style="159" customWidth="1"/>
    <col min="8206" max="8207" width="12" style="159" customWidth="1"/>
    <col min="8208" max="8208" width="13" style="159" customWidth="1"/>
    <col min="8209" max="8448" width="9" style="159"/>
    <col min="8449" max="8449" width="4.25" style="159" customWidth="1"/>
    <col min="8450" max="8450" width="43.125" style="159" customWidth="1"/>
    <col min="8451" max="8453" width="12.625" style="159" customWidth="1"/>
    <col min="8454" max="8454" width="16.875" style="159" customWidth="1"/>
    <col min="8455" max="8455" width="2.875" style="159" customWidth="1"/>
    <col min="8456" max="8456" width="14.125" style="159" customWidth="1"/>
    <col min="8457" max="8457" width="15.875" style="159" customWidth="1"/>
    <col min="8458" max="8458" width="13.5" style="159" customWidth="1"/>
    <col min="8459" max="8459" width="15.625" style="159" customWidth="1"/>
    <col min="8460" max="8461" width="13.25" style="159" customWidth="1"/>
    <col min="8462" max="8463" width="12" style="159" customWidth="1"/>
    <col min="8464" max="8464" width="13" style="159" customWidth="1"/>
    <col min="8465" max="8704" width="9" style="159"/>
    <col min="8705" max="8705" width="4.25" style="159" customWidth="1"/>
    <col min="8706" max="8706" width="43.125" style="159" customWidth="1"/>
    <col min="8707" max="8709" width="12.625" style="159" customWidth="1"/>
    <col min="8710" max="8710" width="16.875" style="159" customWidth="1"/>
    <col min="8711" max="8711" width="2.875" style="159" customWidth="1"/>
    <col min="8712" max="8712" width="14.125" style="159" customWidth="1"/>
    <col min="8713" max="8713" width="15.875" style="159" customWidth="1"/>
    <col min="8714" max="8714" width="13.5" style="159" customWidth="1"/>
    <col min="8715" max="8715" width="15.625" style="159" customWidth="1"/>
    <col min="8716" max="8717" width="13.25" style="159" customWidth="1"/>
    <col min="8718" max="8719" width="12" style="159" customWidth="1"/>
    <col min="8720" max="8720" width="13" style="159" customWidth="1"/>
    <col min="8721" max="8960" width="9" style="159"/>
    <col min="8961" max="8961" width="4.25" style="159" customWidth="1"/>
    <col min="8962" max="8962" width="43.125" style="159" customWidth="1"/>
    <col min="8963" max="8965" width="12.625" style="159" customWidth="1"/>
    <col min="8966" max="8966" width="16.875" style="159" customWidth="1"/>
    <col min="8967" max="8967" width="2.875" style="159" customWidth="1"/>
    <col min="8968" max="8968" width="14.125" style="159" customWidth="1"/>
    <col min="8969" max="8969" width="15.875" style="159" customWidth="1"/>
    <col min="8970" max="8970" width="13.5" style="159" customWidth="1"/>
    <col min="8971" max="8971" width="15.625" style="159" customWidth="1"/>
    <col min="8972" max="8973" width="13.25" style="159" customWidth="1"/>
    <col min="8974" max="8975" width="12" style="159" customWidth="1"/>
    <col min="8976" max="8976" width="13" style="159" customWidth="1"/>
    <col min="8977" max="9216" width="9" style="159"/>
    <col min="9217" max="9217" width="4.25" style="159" customWidth="1"/>
    <col min="9218" max="9218" width="43.125" style="159" customWidth="1"/>
    <col min="9219" max="9221" width="12.625" style="159" customWidth="1"/>
    <col min="9222" max="9222" width="16.875" style="159" customWidth="1"/>
    <col min="9223" max="9223" width="2.875" style="159" customWidth="1"/>
    <col min="9224" max="9224" width="14.125" style="159" customWidth="1"/>
    <col min="9225" max="9225" width="15.875" style="159" customWidth="1"/>
    <col min="9226" max="9226" width="13.5" style="159" customWidth="1"/>
    <col min="9227" max="9227" width="15.625" style="159" customWidth="1"/>
    <col min="9228" max="9229" width="13.25" style="159" customWidth="1"/>
    <col min="9230" max="9231" width="12" style="159" customWidth="1"/>
    <col min="9232" max="9232" width="13" style="159" customWidth="1"/>
    <col min="9233" max="9472" width="9" style="159"/>
    <col min="9473" max="9473" width="4.25" style="159" customWidth="1"/>
    <col min="9474" max="9474" width="43.125" style="159" customWidth="1"/>
    <col min="9475" max="9477" width="12.625" style="159" customWidth="1"/>
    <col min="9478" max="9478" width="16.875" style="159" customWidth="1"/>
    <col min="9479" max="9479" width="2.875" style="159" customWidth="1"/>
    <col min="9480" max="9480" width="14.125" style="159" customWidth="1"/>
    <col min="9481" max="9481" width="15.875" style="159" customWidth="1"/>
    <col min="9482" max="9482" width="13.5" style="159" customWidth="1"/>
    <col min="9483" max="9483" width="15.625" style="159" customWidth="1"/>
    <col min="9484" max="9485" width="13.25" style="159" customWidth="1"/>
    <col min="9486" max="9487" width="12" style="159" customWidth="1"/>
    <col min="9488" max="9488" width="13" style="159" customWidth="1"/>
    <col min="9489" max="9728" width="9" style="159"/>
    <col min="9729" max="9729" width="4.25" style="159" customWidth="1"/>
    <col min="9730" max="9730" width="43.125" style="159" customWidth="1"/>
    <col min="9731" max="9733" width="12.625" style="159" customWidth="1"/>
    <col min="9734" max="9734" width="16.875" style="159" customWidth="1"/>
    <col min="9735" max="9735" width="2.875" style="159" customWidth="1"/>
    <col min="9736" max="9736" width="14.125" style="159" customWidth="1"/>
    <col min="9737" max="9737" width="15.875" style="159" customWidth="1"/>
    <col min="9738" max="9738" width="13.5" style="159" customWidth="1"/>
    <col min="9739" max="9739" width="15.625" style="159" customWidth="1"/>
    <col min="9740" max="9741" width="13.25" style="159" customWidth="1"/>
    <col min="9742" max="9743" width="12" style="159" customWidth="1"/>
    <col min="9744" max="9744" width="13" style="159" customWidth="1"/>
    <col min="9745" max="9984" width="9" style="159"/>
    <col min="9985" max="9985" width="4.25" style="159" customWidth="1"/>
    <col min="9986" max="9986" width="43.125" style="159" customWidth="1"/>
    <col min="9987" max="9989" width="12.625" style="159" customWidth="1"/>
    <col min="9990" max="9990" width="16.875" style="159" customWidth="1"/>
    <col min="9991" max="9991" width="2.875" style="159" customWidth="1"/>
    <col min="9992" max="9992" width="14.125" style="159" customWidth="1"/>
    <col min="9993" max="9993" width="15.875" style="159" customWidth="1"/>
    <col min="9994" max="9994" width="13.5" style="159" customWidth="1"/>
    <col min="9995" max="9995" width="15.625" style="159" customWidth="1"/>
    <col min="9996" max="9997" width="13.25" style="159" customWidth="1"/>
    <col min="9998" max="9999" width="12" style="159" customWidth="1"/>
    <col min="10000" max="10000" width="13" style="159" customWidth="1"/>
    <col min="10001" max="10240" width="9" style="159"/>
    <col min="10241" max="10241" width="4.25" style="159" customWidth="1"/>
    <col min="10242" max="10242" width="43.125" style="159" customWidth="1"/>
    <col min="10243" max="10245" width="12.625" style="159" customWidth="1"/>
    <col min="10246" max="10246" width="16.875" style="159" customWidth="1"/>
    <col min="10247" max="10247" width="2.875" style="159" customWidth="1"/>
    <col min="10248" max="10248" width="14.125" style="159" customWidth="1"/>
    <col min="10249" max="10249" width="15.875" style="159" customWidth="1"/>
    <col min="10250" max="10250" width="13.5" style="159" customWidth="1"/>
    <col min="10251" max="10251" width="15.625" style="159" customWidth="1"/>
    <col min="10252" max="10253" width="13.25" style="159" customWidth="1"/>
    <col min="10254" max="10255" width="12" style="159" customWidth="1"/>
    <col min="10256" max="10256" width="13" style="159" customWidth="1"/>
    <col min="10257" max="10496" width="9" style="159"/>
    <col min="10497" max="10497" width="4.25" style="159" customWidth="1"/>
    <col min="10498" max="10498" width="43.125" style="159" customWidth="1"/>
    <col min="10499" max="10501" width="12.625" style="159" customWidth="1"/>
    <col min="10502" max="10502" width="16.875" style="159" customWidth="1"/>
    <col min="10503" max="10503" width="2.875" style="159" customWidth="1"/>
    <col min="10504" max="10504" width="14.125" style="159" customWidth="1"/>
    <col min="10505" max="10505" width="15.875" style="159" customWidth="1"/>
    <col min="10506" max="10506" width="13.5" style="159" customWidth="1"/>
    <col min="10507" max="10507" width="15.625" style="159" customWidth="1"/>
    <col min="10508" max="10509" width="13.25" style="159" customWidth="1"/>
    <col min="10510" max="10511" width="12" style="159" customWidth="1"/>
    <col min="10512" max="10512" width="13" style="159" customWidth="1"/>
    <col min="10513" max="10752" width="9" style="159"/>
    <col min="10753" max="10753" width="4.25" style="159" customWidth="1"/>
    <col min="10754" max="10754" width="43.125" style="159" customWidth="1"/>
    <col min="10755" max="10757" width="12.625" style="159" customWidth="1"/>
    <col min="10758" max="10758" width="16.875" style="159" customWidth="1"/>
    <col min="10759" max="10759" width="2.875" style="159" customWidth="1"/>
    <col min="10760" max="10760" width="14.125" style="159" customWidth="1"/>
    <col min="10761" max="10761" width="15.875" style="159" customWidth="1"/>
    <col min="10762" max="10762" width="13.5" style="159" customWidth="1"/>
    <col min="10763" max="10763" width="15.625" style="159" customWidth="1"/>
    <col min="10764" max="10765" width="13.25" style="159" customWidth="1"/>
    <col min="10766" max="10767" width="12" style="159" customWidth="1"/>
    <col min="10768" max="10768" width="13" style="159" customWidth="1"/>
    <col min="10769" max="11008" width="9" style="159"/>
    <col min="11009" max="11009" width="4.25" style="159" customWidth="1"/>
    <col min="11010" max="11010" width="43.125" style="159" customWidth="1"/>
    <col min="11011" max="11013" width="12.625" style="159" customWidth="1"/>
    <col min="11014" max="11014" width="16.875" style="159" customWidth="1"/>
    <col min="11015" max="11015" width="2.875" style="159" customWidth="1"/>
    <col min="11016" max="11016" width="14.125" style="159" customWidth="1"/>
    <col min="11017" max="11017" width="15.875" style="159" customWidth="1"/>
    <col min="11018" max="11018" width="13.5" style="159" customWidth="1"/>
    <col min="11019" max="11019" width="15.625" style="159" customWidth="1"/>
    <col min="11020" max="11021" width="13.25" style="159" customWidth="1"/>
    <col min="11022" max="11023" width="12" style="159" customWidth="1"/>
    <col min="11024" max="11024" width="13" style="159" customWidth="1"/>
    <col min="11025" max="11264" width="9" style="159"/>
    <col min="11265" max="11265" width="4.25" style="159" customWidth="1"/>
    <col min="11266" max="11266" width="43.125" style="159" customWidth="1"/>
    <col min="11267" max="11269" width="12.625" style="159" customWidth="1"/>
    <col min="11270" max="11270" width="16.875" style="159" customWidth="1"/>
    <col min="11271" max="11271" width="2.875" style="159" customWidth="1"/>
    <col min="11272" max="11272" width="14.125" style="159" customWidth="1"/>
    <col min="11273" max="11273" width="15.875" style="159" customWidth="1"/>
    <col min="11274" max="11274" width="13.5" style="159" customWidth="1"/>
    <col min="11275" max="11275" width="15.625" style="159" customWidth="1"/>
    <col min="11276" max="11277" width="13.25" style="159" customWidth="1"/>
    <col min="11278" max="11279" width="12" style="159" customWidth="1"/>
    <col min="11280" max="11280" width="13" style="159" customWidth="1"/>
    <col min="11281" max="11520" width="9" style="159"/>
    <col min="11521" max="11521" width="4.25" style="159" customWidth="1"/>
    <col min="11522" max="11522" width="43.125" style="159" customWidth="1"/>
    <col min="11523" max="11525" width="12.625" style="159" customWidth="1"/>
    <col min="11526" max="11526" width="16.875" style="159" customWidth="1"/>
    <col min="11527" max="11527" width="2.875" style="159" customWidth="1"/>
    <col min="11528" max="11528" width="14.125" style="159" customWidth="1"/>
    <col min="11529" max="11529" width="15.875" style="159" customWidth="1"/>
    <col min="11530" max="11530" width="13.5" style="159" customWidth="1"/>
    <col min="11531" max="11531" width="15.625" style="159" customWidth="1"/>
    <col min="11532" max="11533" width="13.25" style="159" customWidth="1"/>
    <col min="11534" max="11535" width="12" style="159" customWidth="1"/>
    <col min="11536" max="11536" width="13" style="159" customWidth="1"/>
    <col min="11537" max="11776" width="9" style="159"/>
    <col min="11777" max="11777" width="4.25" style="159" customWidth="1"/>
    <col min="11778" max="11778" width="43.125" style="159" customWidth="1"/>
    <col min="11779" max="11781" width="12.625" style="159" customWidth="1"/>
    <col min="11782" max="11782" width="16.875" style="159" customWidth="1"/>
    <col min="11783" max="11783" width="2.875" style="159" customWidth="1"/>
    <col min="11784" max="11784" width="14.125" style="159" customWidth="1"/>
    <col min="11785" max="11785" width="15.875" style="159" customWidth="1"/>
    <col min="11786" max="11786" width="13.5" style="159" customWidth="1"/>
    <col min="11787" max="11787" width="15.625" style="159" customWidth="1"/>
    <col min="11788" max="11789" width="13.25" style="159" customWidth="1"/>
    <col min="11790" max="11791" width="12" style="159" customWidth="1"/>
    <col min="11792" max="11792" width="13" style="159" customWidth="1"/>
    <col min="11793" max="12032" width="9" style="159"/>
    <col min="12033" max="12033" width="4.25" style="159" customWidth="1"/>
    <col min="12034" max="12034" width="43.125" style="159" customWidth="1"/>
    <col min="12035" max="12037" width="12.625" style="159" customWidth="1"/>
    <col min="12038" max="12038" width="16.875" style="159" customWidth="1"/>
    <col min="12039" max="12039" width="2.875" style="159" customWidth="1"/>
    <col min="12040" max="12040" width="14.125" style="159" customWidth="1"/>
    <col min="12041" max="12041" width="15.875" style="159" customWidth="1"/>
    <col min="12042" max="12042" width="13.5" style="159" customWidth="1"/>
    <col min="12043" max="12043" width="15.625" style="159" customWidth="1"/>
    <col min="12044" max="12045" width="13.25" style="159" customWidth="1"/>
    <col min="12046" max="12047" width="12" style="159" customWidth="1"/>
    <col min="12048" max="12048" width="13" style="159" customWidth="1"/>
    <col min="12049" max="12288" width="9" style="159"/>
    <col min="12289" max="12289" width="4.25" style="159" customWidth="1"/>
    <col min="12290" max="12290" width="43.125" style="159" customWidth="1"/>
    <col min="12291" max="12293" width="12.625" style="159" customWidth="1"/>
    <col min="12294" max="12294" width="16.875" style="159" customWidth="1"/>
    <col min="12295" max="12295" width="2.875" style="159" customWidth="1"/>
    <col min="12296" max="12296" width="14.125" style="159" customWidth="1"/>
    <col min="12297" max="12297" width="15.875" style="159" customWidth="1"/>
    <col min="12298" max="12298" width="13.5" style="159" customWidth="1"/>
    <col min="12299" max="12299" width="15.625" style="159" customWidth="1"/>
    <col min="12300" max="12301" width="13.25" style="159" customWidth="1"/>
    <col min="12302" max="12303" width="12" style="159" customWidth="1"/>
    <col min="12304" max="12304" width="13" style="159" customWidth="1"/>
    <col min="12305" max="12544" width="9" style="159"/>
    <col min="12545" max="12545" width="4.25" style="159" customWidth="1"/>
    <col min="12546" max="12546" width="43.125" style="159" customWidth="1"/>
    <col min="12547" max="12549" width="12.625" style="159" customWidth="1"/>
    <col min="12550" max="12550" width="16.875" style="159" customWidth="1"/>
    <col min="12551" max="12551" width="2.875" style="159" customWidth="1"/>
    <col min="12552" max="12552" width="14.125" style="159" customWidth="1"/>
    <col min="12553" max="12553" width="15.875" style="159" customWidth="1"/>
    <col min="12554" max="12554" width="13.5" style="159" customWidth="1"/>
    <col min="12555" max="12555" width="15.625" style="159" customWidth="1"/>
    <col min="12556" max="12557" width="13.25" style="159" customWidth="1"/>
    <col min="12558" max="12559" width="12" style="159" customWidth="1"/>
    <col min="12560" max="12560" width="13" style="159" customWidth="1"/>
    <col min="12561" max="12800" width="9" style="159"/>
    <col min="12801" max="12801" width="4.25" style="159" customWidth="1"/>
    <col min="12802" max="12802" width="43.125" style="159" customWidth="1"/>
    <col min="12803" max="12805" width="12.625" style="159" customWidth="1"/>
    <col min="12806" max="12806" width="16.875" style="159" customWidth="1"/>
    <col min="12807" max="12807" width="2.875" style="159" customWidth="1"/>
    <col min="12808" max="12808" width="14.125" style="159" customWidth="1"/>
    <col min="12809" max="12809" width="15.875" style="159" customWidth="1"/>
    <col min="12810" max="12810" width="13.5" style="159" customWidth="1"/>
    <col min="12811" max="12811" width="15.625" style="159" customWidth="1"/>
    <col min="12812" max="12813" width="13.25" style="159" customWidth="1"/>
    <col min="12814" max="12815" width="12" style="159" customWidth="1"/>
    <col min="12816" max="12816" width="13" style="159" customWidth="1"/>
    <col min="12817" max="13056" width="9" style="159"/>
    <col min="13057" max="13057" width="4.25" style="159" customWidth="1"/>
    <col min="13058" max="13058" width="43.125" style="159" customWidth="1"/>
    <col min="13059" max="13061" width="12.625" style="159" customWidth="1"/>
    <col min="13062" max="13062" width="16.875" style="159" customWidth="1"/>
    <col min="13063" max="13063" width="2.875" style="159" customWidth="1"/>
    <col min="13064" max="13064" width="14.125" style="159" customWidth="1"/>
    <col min="13065" max="13065" width="15.875" style="159" customWidth="1"/>
    <col min="13066" max="13066" width="13.5" style="159" customWidth="1"/>
    <col min="13067" max="13067" width="15.625" style="159" customWidth="1"/>
    <col min="13068" max="13069" width="13.25" style="159" customWidth="1"/>
    <col min="13070" max="13071" width="12" style="159" customWidth="1"/>
    <col min="13072" max="13072" width="13" style="159" customWidth="1"/>
    <col min="13073" max="13312" width="9" style="159"/>
    <col min="13313" max="13313" width="4.25" style="159" customWidth="1"/>
    <col min="13314" max="13314" width="43.125" style="159" customWidth="1"/>
    <col min="13315" max="13317" width="12.625" style="159" customWidth="1"/>
    <col min="13318" max="13318" width="16.875" style="159" customWidth="1"/>
    <col min="13319" max="13319" width="2.875" style="159" customWidth="1"/>
    <col min="13320" max="13320" width="14.125" style="159" customWidth="1"/>
    <col min="13321" max="13321" width="15.875" style="159" customWidth="1"/>
    <col min="13322" max="13322" width="13.5" style="159" customWidth="1"/>
    <col min="13323" max="13323" width="15.625" style="159" customWidth="1"/>
    <col min="13324" max="13325" width="13.25" style="159" customWidth="1"/>
    <col min="13326" max="13327" width="12" style="159" customWidth="1"/>
    <col min="13328" max="13328" width="13" style="159" customWidth="1"/>
    <col min="13329" max="13568" width="9" style="159"/>
    <col min="13569" max="13569" width="4.25" style="159" customWidth="1"/>
    <col min="13570" max="13570" width="43.125" style="159" customWidth="1"/>
    <col min="13571" max="13573" width="12.625" style="159" customWidth="1"/>
    <col min="13574" max="13574" width="16.875" style="159" customWidth="1"/>
    <col min="13575" max="13575" width="2.875" style="159" customWidth="1"/>
    <col min="13576" max="13576" width="14.125" style="159" customWidth="1"/>
    <col min="13577" max="13577" width="15.875" style="159" customWidth="1"/>
    <col min="13578" max="13578" width="13.5" style="159" customWidth="1"/>
    <col min="13579" max="13579" width="15.625" style="159" customWidth="1"/>
    <col min="13580" max="13581" width="13.25" style="159" customWidth="1"/>
    <col min="13582" max="13583" width="12" style="159" customWidth="1"/>
    <col min="13584" max="13584" width="13" style="159" customWidth="1"/>
    <col min="13585" max="13824" width="9" style="159"/>
    <col min="13825" max="13825" width="4.25" style="159" customWidth="1"/>
    <col min="13826" max="13826" width="43.125" style="159" customWidth="1"/>
    <col min="13827" max="13829" width="12.625" style="159" customWidth="1"/>
    <col min="13830" max="13830" width="16.875" style="159" customWidth="1"/>
    <col min="13831" max="13831" width="2.875" style="159" customWidth="1"/>
    <col min="13832" max="13832" width="14.125" style="159" customWidth="1"/>
    <col min="13833" max="13833" width="15.875" style="159" customWidth="1"/>
    <col min="13834" max="13834" width="13.5" style="159" customWidth="1"/>
    <col min="13835" max="13835" width="15.625" style="159" customWidth="1"/>
    <col min="13836" max="13837" width="13.25" style="159" customWidth="1"/>
    <col min="13838" max="13839" width="12" style="159" customWidth="1"/>
    <col min="13840" max="13840" width="13" style="159" customWidth="1"/>
    <col min="13841" max="14080" width="9" style="159"/>
    <col min="14081" max="14081" width="4.25" style="159" customWidth="1"/>
    <col min="14082" max="14082" width="43.125" style="159" customWidth="1"/>
    <col min="14083" max="14085" width="12.625" style="159" customWidth="1"/>
    <col min="14086" max="14086" width="16.875" style="159" customWidth="1"/>
    <col min="14087" max="14087" width="2.875" style="159" customWidth="1"/>
    <col min="14088" max="14088" width="14.125" style="159" customWidth="1"/>
    <col min="14089" max="14089" width="15.875" style="159" customWidth="1"/>
    <col min="14090" max="14090" width="13.5" style="159" customWidth="1"/>
    <col min="14091" max="14091" width="15.625" style="159" customWidth="1"/>
    <col min="14092" max="14093" width="13.25" style="159" customWidth="1"/>
    <col min="14094" max="14095" width="12" style="159" customWidth="1"/>
    <col min="14096" max="14096" width="13" style="159" customWidth="1"/>
    <col min="14097" max="14336" width="9" style="159"/>
    <col min="14337" max="14337" width="4.25" style="159" customWidth="1"/>
    <col min="14338" max="14338" width="43.125" style="159" customWidth="1"/>
    <col min="14339" max="14341" width="12.625" style="159" customWidth="1"/>
    <col min="14342" max="14342" width="16.875" style="159" customWidth="1"/>
    <col min="14343" max="14343" width="2.875" style="159" customWidth="1"/>
    <col min="14344" max="14344" width="14.125" style="159" customWidth="1"/>
    <col min="14345" max="14345" width="15.875" style="159" customWidth="1"/>
    <col min="14346" max="14346" width="13.5" style="159" customWidth="1"/>
    <col min="14347" max="14347" width="15.625" style="159" customWidth="1"/>
    <col min="14348" max="14349" width="13.25" style="159" customWidth="1"/>
    <col min="14350" max="14351" width="12" style="159" customWidth="1"/>
    <col min="14352" max="14352" width="13" style="159" customWidth="1"/>
    <col min="14353" max="14592" width="9" style="159"/>
    <col min="14593" max="14593" width="4.25" style="159" customWidth="1"/>
    <col min="14594" max="14594" width="43.125" style="159" customWidth="1"/>
    <col min="14595" max="14597" width="12.625" style="159" customWidth="1"/>
    <col min="14598" max="14598" width="16.875" style="159" customWidth="1"/>
    <col min="14599" max="14599" width="2.875" style="159" customWidth="1"/>
    <col min="14600" max="14600" width="14.125" style="159" customWidth="1"/>
    <col min="14601" max="14601" width="15.875" style="159" customWidth="1"/>
    <col min="14602" max="14602" width="13.5" style="159" customWidth="1"/>
    <col min="14603" max="14603" width="15.625" style="159" customWidth="1"/>
    <col min="14604" max="14605" width="13.25" style="159" customWidth="1"/>
    <col min="14606" max="14607" width="12" style="159" customWidth="1"/>
    <col min="14608" max="14608" width="13" style="159" customWidth="1"/>
    <col min="14609" max="14848" width="9" style="159"/>
    <col min="14849" max="14849" width="4.25" style="159" customWidth="1"/>
    <col min="14850" max="14850" width="43.125" style="159" customWidth="1"/>
    <col min="14851" max="14853" width="12.625" style="159" customWidth="1"/>
    <col min="14854" max="14854" width="16.875" style="159" customWidth="1"/>
    <col min="14855" max="14855" width="2.875" style="159" customWidth="1"/>
    <col min="14856" max="14856" width="14.125" style="159" customWidth="1"/>
    <col min="14857" max="14857" width="15.875" style="159" customWidth="1"/>
    <col min="14858" max="14858" width="13.5" style="159" customWidth="1"/>
    <col min="14859" max="14859" width="15.625" style="159" customWidth="1"/>
    <col min="14860" max="14861" width="13.25" style="159" customWidth="1"/>
    <col min="14862" max="14863" width="12" style="159" customWidth="1"/>
    <col min="14864" max="14864" width="13" style="159" customWidth="1"/>
    <col min="14865" max="15104" width="9" style="159"/>
    <col min="15105" max="15105" width="4.25" style="159" customWidth="1"/>
    <col min="15106" max="15106" width="43.125" style="159" customWidth="1"/>
    <col min="15107" max="15109" width="12.625" style="159" customWidth="1"/>
    <col min="15110" max="15110" width="16.875" style="159" customWidth="1"/>
    <col min="15111" max="15111" width="2.875" style="159" customWidth="1"/>
    <col min="15112" max="15112" width="14.125" style="159" customWidth="1"/>
    <col min="15113" max="15113" width="15.875" style="159" customWidth="1"/>
    <col min="15114" max="15114" width="13.5" style="159" customWidth="1"/>
    <col min="15115" max="15115" width="15.625" style="159" customWidth="1"/>
    <col min="15116" max="15117" width="13.25" style="159" customWidth="1"/>
    <col min="15118" max="15119" width="12" style="159" customWidth="1"/>
    <col min="15120" max="15120" width="13" style="159" customWidth="1"/>
    <col min="15121" max="15360" width="9" style="159"/>
    <col min="15361" max="15361" width="4.25" style="159" customWidth="1"/>
    <col min="15362" max="15362" width="43.125" style="159" customWidth="1"/>
    <col min="15363" max="15365" width="12.625" style="159" customWidth="1"/>
    <col min="15366" max="15366" width="16.875" style="159" customWidth="1"/>
    <col min="15367" max="15367" width="2.875" style="159" customWidth="1"/>
    <col min="15368" max="15368" width="14.125" style="159" customWidth="1"/>
    <col min="15369" max="15369" width="15.875" style="159" customWidth="1"/>
    <col min="15370" max="15370" width="13.5" style="159" customWidth="1"/>
    <col min="15371" max="15371" width="15.625" style="159" customWidth="1"/>
    <col min="15372" max="15373" width="13.25" style="159" customWidth="1"/>
    <col min="15374" max="15375" width="12" style="159" customWidth="1"/>
    <col min="15376" max="15376" width="13" style="159" customWidth="1"/>
    <col min="15377" max="15616" width="9" style="159"/>
    <col min="15617" max="15617" width="4.25" style="159" customWidth="1"/>
    <col min="15618" max="15618" width="43.125" style="159" customWidth="1"/>
    <col min="15619" max="15621" width="12.625" style="159" customWidth="1"/>
    <col min="15622" max="15622" width="16.875" style="159" customWidth="1"/>
    <col min="15623" max="15623" width="2.875" style="159" customWidth="1"/>
    <col min="15624" max="15624" width="14.125" style="159" customWidth="1"/>
    <col min="15625" max="15625" width="15.875" style="159" customWidth="1"/>
    <col min="15626" max="15626" width="13.5" style="159" customWidth="1"/>
    <col min="15627" max="15627" width="15.625" style="159" customWidth="1"/>
    <col min="15628" max="15629" width="13.25" style="159" customWidth="1"/>
    <col min="15630" max="15631" width="12" style="159" customWidth="1"/>
    <col min="15632" max="15632" width="13" style="159" customWidth="1"/>
    <col min="15633" max="15872" width="9" style="159"/>
    <col min="15873" max="15873" width="4.25" style="159" customWidth="1"/>
    <col min="15874" max="15874" width="43.125" style="159" customWidth="1"/>
    <col min="15875" max="15877" width="12.625" style="159" customWidth="1"/>
    <col min="15878" max="15878" width="16.875" style="159" customWidth="1"/>
    <col min="15879" max="15879" width="2.875" style="159" customWidth="1"/>
    <col min="15880" max="15880" width="14.125" style="159" customWidth="1"/>
    <col min="15881" max="15881" width="15.875" style="159" customWidth="1"/>
    <col min="15882" max="15882" width="13.5" style="159" customWidth="1"/>
    <col min="15883" max="15883" width="15.625" style="159" customWidth="1"/>
    <col min="15884" max="15885" width="13.25" style="159" customWidth="1"/>
    <col min="15886" max="15887" width="12" style="159" customWidth="1"/>
    <col min="15888" max="15888" width="13" style="159" customWidth="1"/>
    <col min="15889" max="16128" width="9" style="159"/>
    <col min="16129" max="16129" width="4.25" style="159" customWidth="1"/>
    <col min="16130" max="16130" width="43.125" style="159" customWidth="1"/>
    <col min="16131" max="16133" width="12.625" style="159" customWidth="1"/>
    <col min="16134" max="16134" width="16.875" style="159" customWidth="1"/>
    <col min="16135" max="16135" width="2.875" style="159" customWidth="1"/>
    <col min="16136" max="16136" width="14.125" style="159" customWidth="1"/>
    <col min="16137" max="16137" width="15.875" style="159" customWidth="1"/>
    <col min="16138" max="16138" width="13.5" style="159" customWidth="1"/>
    <col min="16139" max="16139" width="15.625" style="159" customWidth="1"/>
    <col min="16140" max="16141" width="13.25" style="159" customWidth="1"/>
    <col min="16142" max="16143" width="12" style="159" customWidth="1"/>
    <col min="16144" max="16144" width="13" style="159" customWidth="1"/>
    <col min="16145" max="16384" width="9" style="159"/>
  </cols>
  <sheetData>
    <row r="1" spans="2:10" s="157" customFormat="1" ht="24" customHeight="1">
      <c r="B1" s="357" t="s">
        <v>116</v>
      </c>
      <c r="C1" s="357"/>
      <c r="D1" s="357"/>
      <c r="E1" s="357"/>
      <c r="F1" s="357"/>
    </row>
    <row r="2" spans="2:10" s="158" customFormat="1" ht="24" customHeight="1">
      <c r="B2" s="406" t="s">
        <v>84</v>
      </c>
      <c r="C2" s="406"/>
      <c r="D2" s="406"/>
      <c r="E2" s="406"/>
      <c r="F2" s="406"/>
    </row>
    <row r="3" spans="2:10" ht="15.75" customHeight="1"/>
    <row r="4" spans="2:10" s="162" customFormat="1" ht="39.75" customHeight="1">
      <c r="B4" s="160" t="s">
        <v>85</v>
      </c>
      <c r="C4" s="160" t="s">
        <v>86</v>
      </c>
      <c r="D4" s="160" t="s">
        <v>87</v>
      </c>
      <c r="E4" s="160" t="s">
        <v>88</v>
      </c>
      <c r="F4" s="161" t="s">
        <v>89</v>
      </c>
      <c r="I4" s="160" t="s">
        <v>175</v>
      </c>
      <c r="J4" s="160" t="s">
        <v>176</v>
      </c>
    </row>
    <row r="5" spans="2:10" s="166" customFormat="1" ht="31.5" customHeight="1">
      <c r="B5" s="163" t="s">
        <v>90</v>
      </c>
      <c r="C5" s="163"/>
      <c r="D5" s="163"/>
      <c r="E5" s="164"/>
      <c r="F5" s="165">
        <v>0</v>
      </c>
      <c r="I5" s="164"/>
      <c r="J5" s="164"/>
    </row>
    <row r="6" spans="2:10" ht="31.5" customHeight="1">
      <c r="B6" s="167"/>
      <c r="C6" s="167"/>
      <c r="D6" s="167"/>
      <c r="E6" s="165"/>
      <c r="F6" s="165">
        <v>0</v>
      </c>
      <c r="I6" s="165"/>
      <c r="J6" s="165"/>
    </row>
    <row r="7" spans="2:10" ht="31.5" customHeight="1">
      <c r="B7" s="167"/>
      <c r="C7" s="167"/>
      <c r="D7" s="167"/>
      <c r="E7" s="165"/>
      <c r="F7" s="165">
        <v>0</v>
      </c>
      <c r="I7" s="165"/>
      <c r="J7" s="165"/>
    </row>
    <row r="8" spans="2:10" s="166" customFormat="1" ht="31.5" customHeight="1">
      <c r="B8" s="407" t="s">
        <v>91</v>
      </c>
      <c r="C8" s="408"/>
      <c r="D8" s="408"/>
      <c r="E8" s="409"/>
      <c r="F8" s="164">
        <v>0</v>
      </c>
    </row>
    <row r="9" spans="2:10" s="166" customFormat="1" ht="31.5" customHeight="1">
      <c r="B9" s="163" t="s">
        <v>92</v>
      </c>
      <c r="C9" s="163"/>
      <c r="D9" s="163"/>
      <c r="E9" s="163"/>
      <c r="F9" s="171">
        <v>0</v>
      </c>
      <c r="I9" s="163"/>
      <c r="J9" s="163"/>
    </row>
    <row r="10" spans="2:10" ht="31.5" customHeight="1">
      <c r="B10" s="167" t="s">
        <v>102</v>
      </c>
      <c r="C10" s="167"/>
      <c r="D10" s="167"/>
      <c r="E10" s="165"/>
      <c r="F10" s="165">
        <v>0</v>
      </c>
      <c r="I10" s="165"/>
      <c r="J10" s="165"/>
    </row>
    <row r="11" spans="2:10" ht="31.5" customHeight="1">
      <c r="B11" s="167" t="s">
        <v>103</v>
      </c>
      <c r="C11" s="167"/>
      <c r="D11" s="167"/>
      <c r="E11" s="165"/>
      <c r="F11" s="165">
        <v>0</v>
      </c>
      <c r="I11" s="165"/>
      <c r="J11" s="165"/>
    </row>
    <row r="12" spans="2:10" ht="31.5" customHeight="1">
      <c r="B12" s="167" t="s">
        <v>104</v>
      </c>
      <c r="C12" s="167"/>
      <c r="D12" s="167"/>
      <c r="E12" s="165"/>
      <c r="F12" s="165">
        <v>0</v>
      </c>
      <c r="I12" s="165"/>
      <c r="J12" s="165"/>
    </row>
    <row r="13" spans="2:10" ht="31.5" customHeight="1">
      <c r="B13" s="167"/>
      <c r="C13" s="167"/>
      <c r="D13" s="167"/>
      <c r="E13" s="165"/>
      <c r="F13" s="165">
        <v>0</v>
      </c>
      <c r="I13" s="165"/>
      <c r="J13" s="165"/>
    </row>
    <row r="14" spans="2:10" s="166" customFormat="1" ht="31.5" customHeight="1">
      <c r="B14" s="407" t="s">
        <v>91</v>
      </c>
      <c r="C14" s="408"/>
      <c r="D14" s="408"/>
      <c r="E14" s="409"/>
      <c r="F14" s="164">
        <v>0</v>
      </c>
    </row>
    <row r="15" spans="2:10" s="166" customFormat="1" ht="31.5" customHeight="1">
      <c r="B15" s="407" t="s">
        <v>93</v>
      </c>
      <c r="C15" s="408"/>
      <c r="D15" s="408"/>
      <c r="E15" s="409"/>
      <c r="F15" s="164">
        <v>0</v>
      </c>
    </row>
  </sheetData>
  <mergeCells count="5">
    <mergeCell ref="B1:F1"/>
    <mergeCell ref="B2:F2"/>
    <mergeCell ref="B8:E8"/>
    <mergeCell ref="B14:E14"/>
    <mergeCell ref="B15:E15"/>
  </mergeCells>
  <pageMargins left="0.7" right="0.7" top="0.75" bottom="0.75" header="0.3" footer="0.3"/>
  <pageSetup paperSize="9" scale="74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</sheetPr>
  <dimension ref="B1:I28"/>
  <sheetViews>
    <sheetView topLeftCell="A22" zoomScaleNormal="100" zoomScaleSheetLayoutView="100" workbookViewId="0">
      <selection activeCell="I12" sqref="I12"/>
    </sheetView>
  </sheetViews>
  <sheetFormatPr defaultRowHeight="24" customHeight="1"/>
  <cols>
    <col min="1" max="1" width="4.25" style="159" customWidth="1"/>
    <col min="2" max="2" width="43.125" style="159" customWidth="1"/>
    <col min="3" max="5" width="12.625" style="159" customWidth="1"/>
    <col min="6" max="6" width="16.875" style="159" customWidth="1"/>
    <col min="7" max="7" width="2.875" style="159" customWidth="1"/>
    <col min="8" max="8" width="14.125" style="159" customWidth="1"/>
    <col min="9" max="9" width="15.875" style="159" customWidth="1"/>
    <col min="10" max="10" width="13.5" style="159" customWidth="1"/>
    <col min="11" max="11" width="15.625" style="159" customWidth="1"/>
    <col min="12" max="13" width="13.25" style="159" customWidth="1"/>
    <col min="14" max="15" width="12" style="159" customWidth="1"/>
    <col min="16" max="16" width="13" style="159" customWidth="1"/>
    <col min="17" max="256" width="9" style="159"/>
    <col min="257" max="257" width="4.25" style="159" customWidth="1"/>
    <col min="258" max="258" width="43.125" style="159" customWidth="1"/>
    <col min="259" max="261" width="12.625" style="159" customWidth="1"/>
    <col min="262" max="262" width="16.875" style="159" customWidth="1"/>
    <col min="263" max="263" width="2.875" style="159" customWidth="1"/>
    <col min="264" max="264" width="14.125" style="159" customWidth="1"/>
    <col min="265" max="265" width="15.875" style="159" customWidth="1"/>
    <col min="266" max="266" width="13.5" style="159" customWidth="1"/>
    <col min="267" max="267" width="15.625" style="159" customWidth="1"/>
    <col min="268" max="269" width="13.25" style="159" customWidth="1"/>
    <col min="270" max="271" width="12" style="159" customWidth="1"/>
    <col min="272" max="272" width="13" style="159" customWidth="1"/>
    <col min="273" max="512" width="9" style="159"/>
    <col min="513" max="513" width="4.25" style="159" customWidth="1"/>
    <col min="514" max="514" width="43.125" style="159" customWidth="1"/>
    <col min="515" max="517" width="12.625" style="159" customWidth="1"/>
    <col min="518" max="518" width="16.875" style="159" customWidth="1"/>
    <col min="519" max="519" width="2.875" style="159" customWidth="1"/>
    <col min="520" max="520" width="14.125" style="159" customWidth="1"/>
    <col min="521" max="521" width="15.875" style="159" customWidth="1"/>
    <col min="522" max="522" width="13.5" style="159" customWidth="1"/>
    <col min="523" max="523" width="15.625" style="159" customWidth="1"/>
    <col min="524" max="525" width="13.25" style="159" customWidth="1"/>
    <col min="526" max="527" width="12" style="159" customWidth="1"/>
    <col min="528" max="528" width="13" style="159" customWidth="1"/>
    <col min="529" max="768" width="9" style="159"/>
    <col min="769" max="769" width="4.25" style="159" customWidth="1"/>
    <col min="770" max="770" width="43.125" style="159" customWidth="1"/>
    <col min="771" max="773" width="12.625" style="159" customWidth="1"/>
    <col min="774" max="774" width="16.875" style="159" customWidth="1"/>
    <col min="775" max="775" width="2.875" style="159" customWidth="1"/>
    <col min="776" max="776" width="14.125" style="159" customWidth="1"/>
    <col min="777" max="777" width="15.875" style="159" customWidth="1"/>
    <col min="778" max="778" width="13.5" style="159" customWidth="1"/>
    <col min="779" max="779" width="15.625" style="159" customWidth="1"/>
    <col min="780" max="781" width="13.25" style="159" customWidth="1"/>
    <col min="782" max="783" width="12" style="159" customWidth="1"/>
    <col min="784" max="784" width="13" style="159" customWidth="1"/>
    <col min="785" max="1024" width="9" style="159"/>
    <col min="1025" max="1025" width="4.25" style="159" customWidth="1"/>
    <col min="1026" max="1026" width="43.125" style="159" customWidth="1"/>
    <col min="1027" max="1029" width="12.625" style="159" customWidth="1"/>
    <col min="1030" max="1030" width="16.875" style="159" customWidth="1"/>
    <col min="1031" max="1031" width="2.875" style="159" customWidth="1"/>
    <col min="1032" max="1032" width="14.125" style="159" customWidth="1"/>
    <col min="1033" max="1033" width="15.875" style="159" customWidth="1"/>
    <col min="1034" max="1034" width="13.5" style="159" customWidth="1"/>
    <col min="1035" max="1035" width="15.625" style="159" customWidth="1"/>
    <col min="1036" max="1037" width="13.25" style="159" customWidth="1"/>
    <col min="1038" max="1039" width="12" style="159" customWidth="1"/>
    <col min="1040" max="1040" width="13" style="159" customWidth="1"/>
    <col min="1041" max="1280" width="9" style="159"/>
    <col min="1281" max="1281" width="4.25" style="159" customWidth="1"/>
    <col min="1282" max="1282" width="43.125" style="159" customWidth="1"/>
    <col min="1283" max="1285" width="12.625" style="159" customWidth="1"/>
    <col min="1286" max="1286" width="16.875" style="159" customWidth="1"/>
    <col min="1287" max="1287" width="2.875" style="159" customWidth="1"/>
    <col min="1288" max="1288" width="14.125" style="159" customWidth="1"/>
    <col min="1289" max="1289" width="15.875" style="159" customWidth="1"/>
    <col min="1290" max="1290" width="13.5" style="159" customWidth="1"/>
    <col min="1291" max="1291" width="15.625" style="159" customWidth="1"/>
    <col min="1292" max="1293" width="13.25" style="159" customWidth="1"/>
    <col min="1294" max="1295" width="12" style="159" customWidth="1"/>
    <col min="1296" max="1296" width="13" style="159" customWidth="1"/>
    <col min="1297" max="1536" width="9" style="159"/>
    <col min="1537" max="1537" width="4.25" style="159" customWidth="1"/>
    <col min="1538" max="1538" width="43.125" style="159" customWidth="1"/>
    <col min="1539" max="1541" width="12.625" style="159" customWidth="1"/>
    <col min="1542" max="1542" width="16.875" style="159" customWidth="1"/>
    <col min="1543" max="1543" width="2.875" style="159" customWidth="1"/>
    <col min="1544" max="1544" width="14.125" style="159" customWidth="1"/>
    <col min="1545" max="1545" width="15.875" style="159" customWidth="1"/>
    <col min="1546" max="1546" width="13.5" style="159" customWidth="1"/>
    <col min="1547" max="1547" width="15.625" style="159" customWidth="1"/>
    <col min="1548" max="1549" width="13.25" style="159" customWidth="1"/>
    <col min="1550" max="1551" width="12" style="159" customWidth="1"/>
    <col min="1552" max="1552" width="13" style="159" customWidth="1"/>
    <col min="1553" max="1792" width="9" style="159"/>
    <col min="1793" max="1793" width="4.25" style="159" customWidth="1"/>
    <col min="1794" max="1794" width="43.125" style="159" customWidth="1"/>
    <col min="1795" max="1797" width="12.625" style="159" customWidth="1"/>
    <col min="1798" max="1798" width="16.875" style="159" customWidth="1"/>
    <col min="1799" max="1799" width="2.875" style="159" customWidth="1"/>
    <col min="1800" max="1800" width="14.125" style="159" customWidth="1"/>
    <col min="1801" max="1801" width="15.875" style="159" customWidth="1"/>
    <col min="1802" max="1802" width="13.5" style="159" customWidth="1"/>
    <col min="1803" max="1803" width="15.625" style="159" customWidth="1"/>
    <col min="1804" max="1805" width="13.25" style="159" customWidth="1"/>
    <col min="1806" max="1807" width="12" style="159" customWidth="1"/>
    <col min="1808" max="1808" width="13" style="159" customWidth="1"/>
    <col min="1809" max="2048" width="9" style="159"/>
    <col min="2049" max="2049" width="4.25" style="159" customWidth="1"/>
    <col min="2050" max="2050" width="43.125" style="159" customWidth="1"/>
    <col min="2051" max="2053" width="12.625" style="159" customWidth="1"/>
    <col min="2054" max="2054" width="16.875" style="159" customWidth="1"/>
    <col min="2055" max="2055" width="2.875" style="159" customWidth="1"/>
    <col min="2056" max="2056" width="14.125" style="159" customWidth="1"/>
    <col min="2057" max="2057" width="15.875" style="159" customWidth="1"/>
    <col min="2058" max="2058" width="13.5" style="159" customWidth="1"/>
    <col min="2059" max="2059" width="15.625" style="159" customWidth="1"/>
    <col min="2060" max="2061" width="13.25" style="159" customWidth="1"/>
    <col min="2062" max="2063" width="12" style="159" customWidth="1"/>
    <col min="2064" max="2064" width="13" style="159" customWidth="1"/>
    <col min="2065" max="2304" width="9" style="159"/>
    <col min="2305" max="2305" width="4.25" style="159" customWidth="1"/>
    <col min="2306" max="2306" width="43.125" style="159" customWidth="1"/>
    <col min="2307" max="2309" width="12.625" style="159" customWidth="1"/>
    <col min="2310" max="2310" width="16.875" style="159" customWidth="1"/>
    <col min="2311" max="2311" width="2.875" style="159" customWidth="1"/>
    <col min="2312" max="2312" width="14.125" style="159" customWidth="1"/>
    <col min="2313" max="2313" width="15.875" style="159" customWidth="1"/>
    <col min="2314" max="2314" width="13.5" style="159" customWidth="1"/>
    <col min="2315" max="2315" width="15.625" style="159" customWidth="1"/>
    <col min="2316" max="2317" width="13.25" style="159" customWidth="1"/>
    <col min="2318" max="2319" width="12" style="159" customWidth="1"/>
    <col min="2320" max="2320" width="13" style="159" customWidth="1"/>
    <col min="2321" max="2560" width="9" style="159"/>
    <col min="2561" max="2561" width="4.25" style="159" customWidth="1"/>
    <col min="2562" max="2562" width="43.125" style="159" customWidth="1"/>
    <col min="2563" max="2565" width="12.625" style="159" customWidth="1"/>
    <col min="2566" max="2566" width="16.875" style="159" customWidth="1"/>
    <col min="2567" max="2567" width="2.875" style="159" customWidth="1"/>
    <col min="2568" max="2568" width="14.125" style="159" customWidth="1"/>
    <col min="2569" max="2569" width="15.875" style="159" customWidth="1"/>
    <col min="2570" max="2570" width="13.5" style="159" customWidth="1"/>
    <col min="2571" max="2571" width="15.625" style="159" customWidth="1"/>
    <col min="2572" max="2573" width="13.25" style="159" customWidth="1"/>
    <col min="2574" max="2575" width="12" style="159" customWidth="1"/>
    <col min="2576" max="2576" width="13" style="159" customWidth="1"/>
    <col min="2577" max="2816" width="9" style="159"/>
    <col min="2817" max="2817" width="4.25" style="159" customWidth="1"/>
    <col min="2818" max="2818" width="43.125" style="159" customWidth="1"/>
    <col min="2819" max="2821" width="12.625" style="159" customWidth="1"/>
    <col min="2822" max="2822" width="16.875" style="159" customWidth="1"/>
    <col min="2823" max="2823" width="2.875" style="159" customWidth="1"/>
    <col min="2824" max="2824" width="14.125" style="159" customWidth="1"/>
    <col min="2825" max="2825" width="15.875" style="159" customWidth="1"/>
    <col min="2826" max="2826" width="13.5" style="159" customWidth="1"/>
    <col min="2827" max="2827" width="15.625" style="159" customWidth="1"/>
    <col min="2828" max="2829" width="13.25" style="159" customWidth="1"/>
    <col min="2830" max="2831" width="12" style="159" customWidth="1"/>
    <col min="2832" max="2832" width="13" style="159" customWidth="1"/>
    <col min="2833" max="3072" width="9" style="159"/>
    <col min="3073" max="3073" width="4.25" style="159" customWidth="1"/>
    <col min="3074" max="3074" width="43.125" style="159" customWidth="1"/>
    <col min="3075" max="3077" width="12.625" style="159" customWidth="1"/>
    <col min="3078" max="3078" width="16.875" style="159" customWidth="1"/>
    <col min="3079" max="3079" width="2.875" style="159" customWidth="1"/>
    <col min="3080" max="3080" width="14.125" style="159" customWidth="1"/>
    <col min="3081" max="3081" width="15.875" style="159" customWidth="1"/>
    <col min="3082" max="3082" width="13.5" style="159" customWidth="1"/>
    <col min="3083" max="3083" width="15.625" style="159" customWidth="1"/>
    <col min="3084" max="3085" width="13.25" style="159" customWidth="1"/>
    <col min="3086" max="3087" width="12" style="159" customWidth="1"/>
    <col min="3088" max="3088" width="13" style="159" customWidth="1"/>
    <col min="3089" max="3328" width="9" style="159"/>
    <col min="3329" max="3329" width="4.25" style="159" customWidth="1"/>
    <col min="3330" max="3330" width="43.125" style="159" customWidth="1"/>
    <col min="3331" max="3333" width="12.625" style="159" customWidth="1"/>
    <col min="3334" max="3334" width="16.875" style="159" customWidth="1"/>
    <col min="3335" max="3335" width="2.875" style="159" customWidth="1"/>
    <col min="3336" max="3336" width="14.125" style="159" customWidth="1"/>
    <col min="3337" max="3337" width="15.875" style="159" customWidth="1"/>
    <col min="3338" max="3338" width="13.5" style="159" customWidth="1"/>
    <col min="3339" max="3339" width="15.625" style="159" customWidth="1"/>
    <col min="3340" max="3341" width="13.25" style="159" customWidth="1"/>
    <col min="3342" max="3343" width="12" style="159" customWidth="1"/>
    <col min="3344" max="3344" width="13" style="159" customWidth="1"/>
    <col min="3345" max="3584" width="9" style="159"/>
    <col min="3585" max="3585" width="4.25" style="159" customWidth="1"/>
    <col min="3586" max="3586" width="43.125" style="159" customWidth="1"/>
    <col min="3587" max="3589" width="12.625" style="159" customWidth="1"/>
    <col min="3590" max="3590" width="16.875" style="159" customWidth="1"/>
    <col min="3591" max="3591" width="2.875" style="159" customWidth="1"/>
    <col min="3592" max="3592" width="14.125" style="159" customWidth="1"/>
    <col min="3593" max="3593" width="15.875" style="159" customWidth="1"/>
    <col min="3594" max="3594" width="13.5" style="159" customWidth="1"/>
    <col min="3595" max="3595" width="15.625" style="159" customWidth="1"/>
    <col min="3596" max="3597" width="13.25" style="159" customWidth="1"/>
    <col min="3598" max="3599" width="12" style="159" customWidth="1"/>
    <col min="3600" max="3600" width="13" style="159" customWidth="1"/>
    <col min="3601" max="3840" width="9" style="159"/>
    <col min="3841" max="3841" width="4.25" style="159" customWidth="1"/>
    <col min="3842" max="3842" width="43.125" style="159" customWidth="1"/>
    <col min="3843" max="3845" width="12.625" style="159" customWidth="1"/>
    <col min="3846" max="3846" width="16.875" style="159" customWidth="1"/>
    <col min="3847" max="3847" width="2.875" style="159" customWidth="1"/>
    <col min="3848" max="3848" width="14.125" style="159" customWidth="1"/>
    <col min="3849" max="3849" width="15.875" style="159" customWidth="1"/>
    <col min="3850" max="3850" width="13.5" style="159" customWidth="1"/>
    <col min="3851" max="3851" width="15.625" style="159" customWidth="1"/>
    <col min="3852" max="3853" width="13.25" style="159" customWidth="1"/>
    <col min="3854" max="3855" width="12" style="159" customWidth="1"/>
    <col min="3856" max="3856" width="13" style="159" customWidth="1"/>
    <col min="3857" max="4096" width="9" style="159"/>
    <col min="4097" max="4097" width="4.25" style="159" customWidth="1"/>
    <col min="4098" max="4098" width="43.125" style="159" customWidth="1"/>
    <col min="4099" max="4101" width="12.625" style="159" customWidth="1"/>
    <col min="4102" max="4102" width="16.875" style="159" customWidth="1"/>
    <col min="4103" max="4103" width="2.875" style="159" customWidth="1"/>
    <col min="4104" max="4104" width="14.125" style="159" customWidth="1"/>
    <col min="4105" max="4105" width="15.875" style="159" customWidth="1"/>
    <col min="4106" max="4106" width="13.5" style="159" customWidth="1"/>
    <col min="4107" max="4107" width="15.625" style="159" customWidth="1"/>
    <col min="4108" max="4109" width="13.25" style="159" customWidth="1"/>
    <col min="4110" max="4111" width="12" style="159" customWidth="1"/>
    <col min="4112" max="4112" width="13" style="159" customWidth="1"/>
    <col min="4113" max="4352" width="9" style="159"/>
    <col min="4353" max="4353" width="4.25" style="159" customWidth="1"/>
    <col min="4354" max="4354" width="43.125" style="159" customWidth="1"/>
    <col min="4355" max="4357" width="12.625" style="159" customWidth="1"/>
    <col min="4358" max="4358" width="16.875" style="159" customWidth="1"/>
    <col min="4359" max="4359" width="2.875" style="159" customWidth="1"/>
    <col min="4360" max="4360" width="14.125" style="159" customWidth="1"/>
    <col min="4361" max="4361" width="15.875" style="159" customWidth="1"/>
    <col min="4362" max="4362" width="13.5" style="159" customWidth="1"/>
    <col min="4363" max="4363" width="15.625" style="159" customWidth="1"/>
    <col min="4364" max="4365" width="13.25" style="159" customWidth="1"/>
    <col min="4366" max="4367" width="12" style="159" customWidth="1"/>
    <col min="4368" max="4368" width="13" style="159" customWidth="1"/>
    <col min="4369" max="4608" width="9" style="159"/>
    <col min="4609" max="4609" width="4.25" style="159" customWidth="1"/>
    <col min="4610" max="4610" width="43.125" style="159" customWidth="1"/>
    <col min="4611" max="4613" width="12.625" style="159" customWidth="1"/>
    <col min="4614" max="4614" width="16.875" style="159" customWidth="1"/>
    <col min="4615" max="4615" width="2.875" style="159" customWidth="1"/>
    <col min="4616" max="4616" width="14.125" style="159" customWidth="1"/>
    <col min="4617" max="4617" width="15.875" style="159" customWidth="1"/>
    <col min="4618" max="4618" width="13.5" style="159" customWidth="1"/>
    <col min="4619" max="4619" width="15.625" style="159" customWidth="1"/>
    <col min="4620" max="4621" width="13.25" style="159" customWidth="1"/>
    <col min="4622" max="4623" width="12" style="159" customWidth="1"/>
    <col min="4624" max="4624" width="13" style="159" customWidth="1"/>
    <col min="4625" max="4864" width="9" style="159"/>
    <col min="4865" max="4865" width="4.25" style="159" customWidth="1"/>
    <col min="4866" max="4866" width="43.125" style="159" customWidth="1"/>
    <col min="4867" max="4869" width="12.625" style="159" customWidth="1"/>
    <col min="4870" max="4870" width="16.875" style="159" customWidth="1"/>
    <col min="4871" max="4871" width="2.875" style="159" customWidth="1"/>
    <col min="4872" max="4872" width="14.125" style="159" customWidth="1"/>
    <col min="4873" max="4873" width="15.875" style="159" customWidth="1"/>
    <col min="4874" max="4874" width="13.5" style="159" customWidth="1"/>
    <col min="4875" max="4875" width="15.625" style="159" customWidth="1"/>
    <col min="4876" max="4877" width="13.25" style="159" customWidth="1"/>
    <col min="4878" max="4879" width="12" style="159" customWidth="1"/>
    <col min="4880" max="4880" width="13" style="159" customWidth="1"/>
    <col min="4881" max="5120" width="9" style="159"/>
    <col min="5121" max="5121" width="4.25" style="159" customWidth="1"/>
    <col min="5122" max="5122" width="43.125" style="159" customWidth="1"/>
    <col min="5123" max="5125" width="12.625" style="159" customWidth="1"/>
    <col min="5126" max="5126" width="16.875" style="159" customWidth="1"/>
    <col min="5127" max="5127" width="2.875" style="159" customWidth="1"/>
    <col min="5128" max="5128" width="14.125" style="159" customWidth="1"/>
    <col min="5129" max="5129" width="15.875" style="159" customWidth="1"/>
    <col min="5130" max="5130" width="13.5" style="159" customWidth="1"/>
    <col min="5131" max="5131" width="15.625" style="159" customWidth="1"/>
    <col min="5132" max="5133" width="13.25" style="159" customWidth="1"/>
    <col min="5134" max="5135" width="12" style="159" customWidth="1"/>
    <col min="5136" max="5136" width="13" style="159" customWidth="1"/>
    <col min="5137" max="5376" width="9" style="159"/>
    <col min="5377" max="5377" width="4.25" style="159" customWidth="1"/>
    <col min="5378" max="5378" width="43.125" style="159" customWidth="1"/>
    <col min="5379" max="5381" width="12.625" style="159" customWidth="1"/>
    <col min="5382" max="5382" width="16.875" style="159" customWidth="1"/>
    <col min="5383" max="5383" width="2.875" style="159" customWidth="1"/>
    <col min="5384" max="5384" width="14.125" style="159" customWidth="1"/>
    <col min="5385" max="5385" width="15.875" style="159" customWidth="1"/>
    <col min="5386" max="5386" width="13.5" style="159" customWidth="1"/>
    <col min="5387" max="5387" width="15.625" style="159" customWidth="1"/>
    <col min="5388" max="5389" width="13.25" style="159" customWidth="1"/>
    <col min="5390" max="5391" width="12" style="159" customWidth="1"/>
    <col min="5392" max="5392" width="13" style="159" customWidth="1"/>
    <col min="5393" max="5632" width="9" style="159"/>
    <col min="5633" max="5633" width="4.25" style="159" customWidth="1"/>
    <col min="5634" max="5634" width="43.125" style="159" customWidth="1"/>
    <col min="5635" max="5637" width="12.625" style="159" customWidth="1"/>
    <col min="5638" max="5638" width="16.875" style="159" customWidth="1"/>
    <col min="5639" max="5639" width="2.875" style="159" customWidth="1"/>
    <col min="5640" max="5640" width="14.125" style="159" customWidth="1"/>
    <col min="5641" max="5641" width="15.875" style="159" customWidth="1"/>
    <col min="5642" max="5642" width="13.5" style="159" customWidth="1"/>
    <col min="5643" max="5643" width="15.625" style="159" customWidth="1"/>
    <col min="5644" max="5645" width="13.25" style="159" customWidth="1"/>
    <col min="5646" max="5647" width="12" style="159" customWidth="1"/>
    <col min="5648" max="5648" width="13" style="159" customWidth="1"/>
    <col min="5649" max="5888" width="9" style="159"/>
    <col min="5889" max="5889" width="4.25" style="159" customWidth="1"/>
    <col min="5890" max="5890" width="43.125" style="159" customWidth="1"/>
    <col min="5891" max="5893" width="12.625" style="159" customWidth="1"/>
    <col min="5894" max="5894" width="16.875" style="159" customWidth="1"/>
    <col min="5895" max="5895" width="2.875" style="159" customWidth="1"/>
    <col min="5896" max="5896" width="14.125" style="159" customWidth="1"/>
    <col min="5897" max="5897" width="15.875" style="159" customWidth="1"/>
    <col min="5898" max="5898" width="13.5" style="159" customWidth="1"/>
    <col min="5899" max="5899" width="15.625" style="159" customWidth="1"/>
    <col min="5900" max="5901" width="13.25" style="159" customWidth="1"/>
    <col min="5902" max="5903" width="12" style="159" customWidth="1"/>
    <col min="5904" max="5904" width="13" style="159" customWidth="1"/>
    <col min="5905" max="6144" width="9" style="159"/>
    <col min="6145" max="6145" width="4.25" style="159" customWidth="1"/>
    <col min="6146" max="6146" width="43.125" style="159" customWidth="1"/>
    <col min="6147" max="6149" width="12.625" style="159" customWidth="1"/>
    <col min="6150" max="6150" width="16.875" style="159" customWidth="1"/>
    <col min="6151" max="6151" width="2.875" style="159" customWidth="1"/>
    <col min="6152" max="6152" width="14.125" style="159" customWidth="1"/>
    <col min="6153" max="6153" width="15.875" style="159" customWidth="1"/>
    <col min="6154" max="6154" width="13.5" style="159" customWidth="1"/>
    <col min="6155" max="6155" width="15.625" style="159" customWidth="1"/>
    <col min="6156" max="6157" width="13.25" style="159" customWidth="1"/>
    <col min="6158" max="6159" width="12" style="159" customWidth="1"/>
    <col min="6160" max="6160" width="13" style="159" customWidth="1"/>
    <col min="6161" max="6400" width="9" style="159"/>
    <col min="6401" max="6401" width="4.25" style="159" customWidth="1"/>
    <col min="6402" max="6402" width="43.125" style="159" customWidth="1"/>
    <col min="6403" max="6405" width="12.625" style="159" customWidth="1"/>
    <col min="6406" max="6406" width="16.875" style="159" customWidth="1"/>
    <col min="6407" max="6407" width="2.875" style="159" customWidth="1"/>
    <col min="6408" max="6408" width="14.125" style="159" customWidth="1"/>
    <col min="6409" max="6409" width="15.875" style="159" customWidth="1"/>
    <col min="6410" max="6410" width="13.5" style="159" customWidth="1"/>
    <col min="6411" max="6411" width="15.625" style="159" customWidth="1"/>
    <col min="6412" max="6413" width="13.25" style="159" customWidth="1"/>
    <col min="6414" max="6415" width="12" style="159" customWidth="1"/>
    <col min="6416" max="6416" width="13" style="159" customWidth="1"/>
    <col min="6417" max="6656" width="9" style="159"/>
    <col min="6657" max="6657" width="4.25" style="159" customWidth="1"/>
    <col min="6658" max="6658" width="43.125" style="159" customWidth="1"/>
    <col min="6659" max="6661" width="12.625" style="159" customWidth="1"/>
    <col min="6662" max="6662" width="16.875" style="159" customWidth="1"/>
    <col min="6663" max="6663" width="2.875" style="159" customWidth="1"/>
    <col min="6664" max="6664" width="14.125" style="159" customWidth="1"/>
    <col min="6665" max="6665" width="15.875" style="159" customWidth="1"/>
    <col min="6666" max="6666" width="13.5" style="159" customWidth="1"/>
    <col min="6667" max="6667" width="15.625" style="159" customWidth="1"/>
    <col min="6668" max="6669" width="13.25" style="159" customWidth="1"/>
    <col min="6670" max="6671" width="12" style="159" customWidth="1"/>
    <col min="6672" max="6672" width="13" style="159" customWidth="1"/>
    <col min="6673" max="6912" width="9" style="159"/>
    <col min="6913" max="6913" width="4.25" style="159" customWidth="1"/>
    <col min="6914" max="6914" width="43.125" style="159" customWidth="1"/>
    <col min="6915" max="6917" width="12.625" style="159" customWidth="1"/>
    <col min="6918" max="6918" width="16.875" style="159" customWidth="1"/>
    <col min="6919" max="6919" width="2.875" style="159" customWidth="1"/>
    <col min="6920" max="6920" width="14.125" style="159" customWidth="1"/>
    <col min="6921" max="6921" width="15.875" style="159" customWidth="1"/>
    <col min="6922" max="6922" width="13.5" style="159" customWidth="1"/>
    <col min="6923" max="6923" width="15.625" style="159" customWidth="1"/>
    <col min="6924" max="6925" width="13.25" style="159" customWidth="1"/>
    <col min="6926" max="6927" width="12" style="159" customWidth="1"/>
    <col min="6928" max="6928" width="13" style="159" customWidth="1"/>
    <col min="6929" max="7168" width="9" style="159"/>
    <col min="7169" max="7169" width="4.25" style="159" customWidth="1"/>
    <col min="7170" max="7170" width="43.125" style="159" customWidth="1"/>
    <col min="7171" max="7173" width="12.625" style="159" customWidth="1"/>
    <col min="7174" max="7174" width="16.875" style="159" customWidth="1"/>
    <col min="7175" max="7175" width="2.875" style="159" customWidth="1"/>
    <col min="7176" max="7176" width="14.125" style="159" customWidth="1"/>
    <col min="7177" max="7177" width="15.875" style="159" customWidth="1"/>
    <col min="7178" max="7178" width="13.5" style="159" customWidth="1"/>
    <col min="7179" max="7179" width="15.625" style="159" customWidth="1"/>
    <col min="7180" max="7181" width="13.25" style="159" customWidth="1"/>
    <col min="7182" max="7183" width="12" style="159" customWidth="1"/>
    <col min="7184" max="7184" width="13" style="159" customWidth="1"/>
    <col min="7185" max="7424" width="9" style="159"/>
    <col min="7425" max="7425" width="4.25" style="159" customWidth="1"/>
    <col min="7426" max="7426" width="43.125" style="159" customWidth="1"/>
    <col min="7427" max="7429" width="12.625" style="159" customWidth="1"/>
    <col min="7430" max="7430" width="16.875" style="159" customWidth="1"/>
    <col min="7431" max="7431" width="2.875" style="159" customWidth="1"/>
    <col min="7432" max="7432" width="14.125" style="159" customWidth="1"/>
    <col min="7433" max="7433" width="15.875" style="159" customWidth="1"/>
    <col min="7434" max="7434" width="13.5" style="159" customWidth="1"/>
    <col min="7435" max="7435" width="15.625" style="159" customWidth="1"/>
    <col min="7436" max="7437" width="13.25" style="159" customWidth="1"/>
    <col min="7438" max="7439" width="12" style="159" customWidth="1"/>
    <col min="7440" max="7440" width="13" style="159" customWidth="1"/>
    <col min="7441" max="7680" width="9" style="159"/>
    <col min="7681" max="7681" width="4.25" style="159" customWidth="1"/>
    <col min="7682" max="7682" width="43.125" style="159" customWidth="1"/>
    <col min="7683" max="7685" width="12.625" style="159" customWidth="1"/>
    <col min="7686" max="7686" width="16.875" style="159" customWidth="1"/>
    <col min="7687" max="7687" width="2.875" style="159" customWidth="1"/>
    <col min="7688" max="7688" width="14.125" style="159" customWidth="1"/>
    <col min="7689" max="7689" width="15.875" style="159" customWidth="1"/>
    <col min="7690" max="7690" width="13.5" style="159" customWidth="1"/>
    <col min="7691" max="7691" width="15.625" style="159" customWidth="1"/>
    <col min="7692" max="7693" width="13.25" style="159" customWidth="1"/>
    <col min="7694" max="7695" width="12" style="159" customWidth="1"/>
    <col min="7696" max="7696" width="13" style="159" customWidth="1"/>
    <col min="7697" max="7936" width="9" style="159"/>
    <col min="7937" max="7937" width="4.25" style="159" customWidth="1"/>
    <col min="7938" max="7938" width="43.125" style="159" customWidth="1"/>
    <col min="7939" max="7941" width="12.625" style="159" customWidth="1"/>
    <col min="7942" max="7942" width="16.875" style="159" customWidth="1"/>
    <col min="7943" max="7943" width="2.875" style="159" customWidth="1"/>
    <col min="7944" max="7944" width="14.125" style="159" customWidth="1"/>
    <col min="7945" max="7945" width="15.875" style="159" customWidth="1"/>
    <col min="7946" max="7946" width="13.5" style="159" customWidth="1"/>
    <col min="7947" max="7947" width="15.625" style="159" customWidth="1"/>
    <col min="7948" max="7949" width="13.25" style="159" customWidth="1"/>
    <col min="7950" max="7951" width="12" style="159" customWidth="1"/>
    <col min="7952" max="7952" width="13" style="159" customWidth="1"/>
    <col min="7953" max="8192" width="9" style="159"/>
    <col min="8193" max="8193" width="4.25" style="159" customWidth="1"/>
    <col min="8194" max="8194" width="43.125" style="159" customWidth="1"/>
    <col min="8195" max="8197" width="12.625" style="159" customWidth="1"/>
    <col min="8198" max="8198" width="16.875" style="159" customWidth="1"/>
    <col min="8199" max="8199" width="2.875" style="159" customWidth="1"/>
    <col min="8200" max="8200" width="14.125" style="159" customWidth="1"/>
    <col min="8201" max="8201" width="15.875" style="159" customWidth="1"/>
    <col min="8202" max="8202" width="13.5" style="159" customWidth="1"/>
    <col min="8203" max="8203" width="15.625" style="159" customWidth="1"/>
    <col min="8204" max="8205" width="13.25" style="159" customWidth="1"/>
    <col min="8206" max="8207" width="12" style="159" customWidth="1"/>
    <col min="8208" max="8208" width="13" style="159" customWidth="1"/>
    <col min="8209" max="8448" width="9" style="159"/>
    <col min="8449" max="8449" width="4.25" style="159" customWidth="1"/>
    <col min="8450" max="8450" width="43.125" style="159" customWidth="1"/>
    <col min="8451" max="8453" width="12.625" style="159" customWidth="1"/>
    <col min="8454" max="8454" width="16.875" style="159" customWidth="1"/>
    <col min="8455" max="8455" width="2.875" style="159" customWidth="1"/>
    <col min="8456" max="8456" width="14.125" style="159" customWidth="1"/>
    <col min="8457" max="8457" width="15.875" style="159" customWidth="1"/>
    <col min="8458" max="8458" width="13.5" style="159" customWidth="1"/>
    <col min="8459" max="8459" width="15.625" style="159" customWidth="1"/>
    <col min="8460" max="8461" width="13.25" style="159" customWidth="1"/>
    <col min="8462" max="8463" width="12" style="159" customWidth="1"/>
    <col min="8464" max="8464" width="13" style="159" customWidth="1"/>
    <col min="8465" max="8704" width="9" style="159"/>
    <col min="8705" max="8705" width="4.25" style="159" customWidth="1"/>
    <col min="8706" max="8706" width="43.125" style="159" customWidth="1"/>
    <col min="8707" max="8709" width="12.625" style="159" customWidth="1"/>
    <col min="8710" max="8710" width="16.875" style="159" customWidth="1"/>
    <col min="8711" max="8711" width="2.875" style="159" customWidth="1"/>
    <col min="8712" max="8712" width="14.125" style="159" customWidth="1"/>
    <col min="8713" max="8713" width="15.875" style="159" customWidth="1"/>
    <col min="8714" max="8714" width="13.5" style="159" customWidth="1"/>
    <col min="8715" max="8715" width="15.625" style="159" customWidth="1"/>
    <col min="8716" max="8717" width="13.25" style="159" customWidth="1"/>
    <col min="8718" max="8719" width="12" style="159" customWidth="1"/>
    <col min="8720" max="8720" width="13" style="159" customWidth="1"/>
    <col min="8721" max="8960" width="9" style="159"/>
    <col min="8961" max="8961" width="4.25" style="159" customWidth="1"/>
    <col min="8962" max="8962" width="43.125" style="159" customWidth="1"/>
    <col min="8963" max="8965" width="12.625" style="159" customWidth="1"/>
    <col min="8966" max="8966" width="16.875" style="159" customWidth="1"/>
    <col min="8967" max="8967" width="2.875" style="159" customWidth="1"/>
    <col min="8968" max="8968" width="14.125" style="159" customWidth="1"/>
    <col min="8969" max="8969" width="15.875" style="159" customWidth="1"/>
    <col min="8970" max="8970" width="13.5" style="159" customWidth="1"/>
    <col min="8971" max="8971" width="15.625" style="159" customWidth="1"/>
    <col min="8972" max="8973" width="13.25" style="159" customWidth="1"/>
    <col min="8974" max="8975" width="12" style="159" customWidth="1"/>
    <col min="8976" max="8976" width="13" style="159" customWidth="1"/>
    <col min="8977" max="9216" width="9" style="159"/>
    <col min="9217" max="9217" width="4.25" style="159" customWidth="1"/>
    <col min="9218" max="9218" width="43.125" style="159" customWidth="1"/>
    <col min="9219" max="9221" width="12.625" style="159" customWidth="1"/>
    <col min="9222" max="9222" width="16.875" style="159" customWidth="1"/>
    <col min="9223" max="9223" width="2.875" style="159" customWidth="1"/>
    <col min="9224" max="9224" width="14.125" style="159" customWidth="1"/>
    <col min="9225" max="9225" width="15.875" style="159" customWidth="1"/>
    <col min="9226" max="9226" width="13.5" style="159" customWidth="1"/>
    <col min="9227" max="9227" width="15.625" style="159" customWidth="1"/>
    <col min="9228" max="9229" width="13.25" style="159" customWidth="1"/>
    <col min="9230" max="9231" width="12" style="159" customWidth="1"/>
    <col min="9232" max="9232" width="13" style="159" customWidth="1"/>
    <col min="9233" max="9472" width="9" style="159"/>
    <col min="9473" max="9473" width="4.25" style="159" customWidth="1"/>
    <col min="9474" max="9474" width="43.125" style="159" customWidth="1"/>
    <col min="9475" max="9477" width="12.625" style="159" customWidth="1"/>
    <col min="9478" max="9478" width="16.875" style="159" customWidth="1"/>
    <col min="9479" max="9479" width="2.875" style="159" customWidth="1"/>
    <col min="9480" max="9480" width="14.125" style="159" customWidth="1"/>
    <col min="9481" max="9481" width="15.875" style="159" customWidth="1"/>
    <col min="9482" max="9482" width="13.5" style="159" customWidth="1"/>
    <col min="9483" max="9483" width="15.625" style="159" customWidth="1"/>
    <col min="9484" max="9485" width="13.25" style="159" customWidth="1"/>
    <col min="9486" max="9487" width="12" style="159" customWidth="1"/>
    <col min="9488" max="9488" width="13" style="159" customWidth="1"/>
    <col min="9489" max="9728" width="9" style="159"/>
    <col min="9729" max="9729" width="4.25" style="159" customWidth="1"/>
    <col min="9730" max="9730" width="43.125" style="159" customWidth="1"/>
    <col min="9731" max="9733" width="12.625" style="159" customWidth="1"/>
    <col min="9734" max="9734" width="16.875" style="159" customWidth="1"/>
    <col min="9735" max="9735" width="2.875" style="159" customWidth="1"/>
    <col min="9736" max="9736" width="14.125" style="159" customWidth="1"/>
    <col min="9737" max="9737" width="15.875" style="159" customWidth="1"/>
    <col min="9738" max="9738" width="13.5" style="159" customWidth="1"/>
    <col min="9739" max="9739" width="15.625" style="159" customWidth="1"/>
    <col min="9740" max="9741" width="13.25" style="159" customWidth="1"/>
    <col min="9742" max="9743" width="12" style="159" customWidth="1"/>
    <col min="9744" max="9744" width="13" style="159" customWidth="1"/>
    <col min="9745" max="9984" width="9" style="159"/>
    <col min="9985" max="9985" width="4.25" style="159" customWidth="1"/>
    <col min="9986" max="9986" width="43.125" style="159" customWidth="1"/>
    <col min="9987" max="9989" width="12.625" style="159" customWidth="1"/>
    <col min="9990" max="9990" width="16.875" style="159" customWidth="1"/>
    <col min="9991" max="9991" width="2.875" style="159" customWidth="1"/>
    <col min="9992" max="9992" width="14.125" style="159" customWidth="1"/>
    <col min="9993" max="9993" width="15.875" style="159" customWidth="1"/>
    <col min="9994" max="9994" width="13.5" style="159" customWidth="1"/>
    <col min="9995" max="9995" width="15.625" style="159" customWidth="1"/>
    <col min="9996" max="9997" width="13.25" style="159" customWidth="1"/>
    <col min="9998" max="9999" width="12" style="159" customWidth="1"/>
    <col min="10000" max="10000" width="13" style="159" customWidth="1"/>
    <col min="10001" max="10240" width="9" style="159"/>
    <col min="10241" max="10241" width="4.25" style="159" customWidth="1"/>
    <col min="10242" max="10242" width="43.125" style="159" customWidth="1"/>
    <col min="10243" max="10245" width="12.625" style="159" customWidth="1"/>
    <col min="10246" max="10246" width="16.875" style="159" customWidth="1"/>
    <col min="10247" max="10247" width="2.875" style="159" customWidth="1"/>
    <col min="10248" max="10248" width="14.125" style="159" customWidth="1"/>
    <col min="10249" max="10249" width="15.875" style="159" customWidth="1"/>
    <col min="10250" max="10250" width="13.5" style="159" customWidth="1"/>
    <col min="10251" max="10251" width="15.625" style="159" customWidth="1"/>
    <col min="10252" max="10253" width="13.25" style="159" customWidth="1"/>
    <col min="10254" max="10255" width="12" style="159" customWidth="1"/>
    <col min="10256" max="10256" width="13" style="159" customWidth="1"/>
    <col min="10257" max="10496" width="9" style="159"/>
    <col min="10497" max="10497" width="4.25" style="159" customWidth="1"/>
    <col min="10498" max="10498" width="43.125" style="159" customWidth="1"/>
    <col min="10499" max="10501" width="12.625" style="159" customWidth="1"/>
    <col min="10502" max="10502" width="16.875" style="159" customWidth="1"/>
    <col min="10503" max="10503" width="2.875" style="159" customWidth="1"/>
    <col min="10504" max="10504" width="14.125" style="159" customWidth="1"/>
    <col min="10505" max="10505" width="15.875" style="159" customWidth="1"/>
    <col min="10506" max="10506" width="13.5" style="159" customWidth="1"/>
    <col min="10507" max="10507" width="15.625" style="159" customWidth="1"/>
    <col min="10508" max="10509" width="13.25" style="159" customWidth="1"/>
    <col min="10510" max="10511" width="12" style="159" customWidth="1"/>
    <col min="10512" max="10512" width="13" style="159" customWidth="1"/>
    <col min="10513" max="10752" width="9" style="159"/>
    <col min="10753" max="10753" width="4.25" style="159" customWidth="1"/>
    <col min="10754" max="10754" width="43.125" style="159" customWidth="1"/>
    <col min="10755" max="10757" width="12.625" style="159" customWidth="1"/>
    <col min="10758" max="10758" width="16.875" style="159" customWidth="1"/>
    <col min="10759" max="10759" width="2.875" style="159" customWidth="1"/>
    <col min="10760" max="10760" width="14.125" style="159" customWidth="1"/>
    <col min="10761" max="10761" width="15.875" style="159" customWidth="1"/>
    <col min="10762" max="10762" width="13.5" style="159" customWidth="1"/>
    <col min="10763" max="10763" width="15.625" style="159" customWidth="1"/>
    <col min="10764" max="10765" width="13.25" style="159" customWidth="1"/>
    <col min="10766" max="10767" width="12" style="159" customWidth="1"/>
    <col min="10768" max="10768" width="13" style="159" customWidth="1"/>
    <col min="10769" max="11008" width="9" style="159"/>
    <col min="11009" max="11009" width="4.25" style="159" customWidth="1"/>
    <col min="11010" max="11010" width="43.125" style="159" customWidth="1"/>
    <col min="11011" max="11013" width="12.625" style="159" customWidth="1"/>
    <col min="11014" max="11014" width="16.875" style="159" customWidth="1"/>
    <col min="11015" max="11015" width="2.875" style="159" customWidth="1"/>
    <col min="11016" max="11016" width="14.125" style="159" customWidth="1"/>
    <col min="11017" max="11017" width="15.875" style="159" customWidth="1"/>
    <col min="11018" max="11018" width="13.5" style="159" customWidth="1"/>
    <col min="11019" max="11019" width="15.625" style="159" customWidth="1"/>
    <col min="11020" max="11021" width="13.25" style="159" customWidth="1"/>
    <col min="11022" max="11023" width="12" style="159" customWidth="1"/>
    <col min="11024" max="11024" width="13" style="159" customWidth="1"/>
    <col min="11025" max="11264" width="9" style="159"/>
    <col min="11265" max="11265" width="4.25" style="159" customWidth="1"/>
    <col min="11266" max="11266" width="43.125" style="159" customWidth="1"/>
    <col min="11267" max="11269" width="12.625" style="159" customWidth="1"/>
    <col min="11270" max="11270" width="16.875" style="159" customWidth="1"/>
    <col min="11271" max="11271" width="2.875" style="159" customWidth="1"/>
    <col min="11272" max="11272" width="14.125" style="159" customWidth="1"/>
    <col min="11273" max="11273" width="15.875" style="159" customWidth="1"/>
    <col min="11274" max="11274" width="13.5" style="159" customWidth="1"/>
    <col min="11275" max="11275" width="15.625" style="159" customWidth="1"/>
    <col min="11276" max="11277" width="13.25" style="159" customWidth="1"/>
    <col min="11278" max="11279" width="12" style="159" customWidth="1"/>
    <col min="11280" max="11280" width="13" style="159" customWidth="1"/>
    <col min="11281" max="11520" width="9" style="159"/>
    <col min="11521" max="11521" width="4.25" style="159" customWidth="1"/>
    <col min="11522" max="11522" width="43.125" style="159" customWidth="1"/>
    <col min="11523" max="11525" width="12.625" style="159" customWidth="1"/>
    <col min="11526" max="11526" width="16.875" style="159" customWidth="1"/>
    <col min="11527" max="11527" width="2.875" style="159" customWidth="1"/>
    <col min="11528" max="11528" width="14.125" style="159" customWidth="1"/>
    <col min="11529" max="11529" width="15.875" style="159" customWidth="1"/>
    <col min="11530" max="11530" width="13.5" style="159" customWidth="1"/>
    <col min="11531" max="11531" width="15.625" style="159" customWidth="1"/>
    <col min="11532" max="11533" width="13.25" style="159" customWidth="1"/>
    <col min="11534" max="11535" width="12" style="159" customWidth="1"/>
    <col min="11536" max="11536" width="13" style="159" customWidth="1"/>
    <col min="11537" max="11776" width="9" style="159"/>
    <col min="11777" max="11777" width="4.25" style="159" customWidth="1"/>
    <col min="11778" max="11778" width="43.125" style="159" customWidth="1"/>
    <col min="11779" max="11781" width="12.625" style="159" customWidth="1"/>
    <col min="11782" max="11782" width="16.875" style="159" customWidth="1"/>
    <col min="11783" max="11783" width="2.875" style="159" customWidth="1"/>
    <col min="11784" max="11784" width="14.125" style="159" customWidth="1"/>
    <col min="11785" max="11785" width="15.875" style="159" customWidth="1"/>
    <col min="11786" max="11786" width="13.5" style="159" customWidth="1"/>
    <col min="11787" max="11787" width="15.625" style="159" customWidth="1"/>
    <col min="11788" max="11789" width="13.25" style="159" customWidth="1"/>
    <col min="11790" max="11791" width="12" style="159" customWidth="1"/>
    <col min="11792" max="11792" width="13" style="159" customWidth="1"/>
    <col min="11793" max="12032" width="9" style="159"/>
    <col min="12033" max="12033" width="4.25" style="159" customWidth="1"/>
    <col min="12034" max="12034" width="43.125" style="159" customWidth="1"/>
    <col min="12035" max="12037" width="12.625" style="159" customWidth="1"/>
    <col min="12038" max="12038" width="16.875" style="159" customWidth="1"/>
    <col min="12039" max="12039" width="2.875" style="159" customWidth="1"/>
    <col min="12040" max="12040" width="14.125" style="159" customWidth="1"/>
    <col min="12041" max="12041" width="15.875" style="159" customWidth="1"/>
    <col min="12042" max="12042" width="13.5" style="159" customWidth="1"/>
    <col min="12043" max="12043" width="15.625" style="159" customWidth="1"/>
    <col min="12044" max="12045" width="13.25" style="159" customWidth="1"/>
    <col min="12046" max="12047" width="12" style="159" customWidth="1"/>
    <col min="12048" max="12048" width="13" style="159" customWidth="1"/>
    <col min="12049" max="12288" width="9" style="159"/>
    <col min="12289" max="12289" width="4.25" style="159" customWidth="1"/>
    <col min="12290" max="12290" width="43.125" style="159" customWidth="1"/>
    <col min="12291" max="12293" width="12.625" style="159" customWidth="1"/>
    <col min="12294" max="12294" width="16.875" style="159" customWidth="1"/>
    <col min="12295" max="12295" width="2.875" style="159" customWidth="1"/>
    <col min="12296" max="12296" width="14.125" style="159" customWidth="1"/>
    <col min="12297" max="12297" width="15.875" style="159" customWidth="1"/>
    <col min="12298" max="12298" width="13.5" style="159" customWidth="1"/>
    <col min="12299" max="12299" width="15.625" style="159" customWidth="1"/>
    <col min="12300" max="12301" width="13.25" style="159" customWidth="1"/>
    <col min="12302" max="12303" width="12" style="159" customWidth="1"/>
    <col min="12304" max="12304" width="13" style="159" customWidth="1"/>
    <col min="12305" max="12544" width="9" style="159"/>
    <col min="12545" max="12545" width="4.25" style="159" customWidth="1"/>
    <col min="12546" max="12546" width="43.125" style="159" customWidth="1"/>
    <col min="12547" max="12549" width="12.625" style="159" customWidth="1"/>
    <col min="12550" max="12550" width="16.875" style="159" customWidth="1"/>
    <col min="12551" max="12551" width="2.875" style="159" customWidth="1"/>
    <col min="12552" max="12552" width="14.125" style="159" customWidth="1"/>
    <col min="12553" max="12553" width="15.875" style="159" customWidth="1"/>
    <col min="12554" max="12554" width="13.5" style="159" customWidth="1"/>
    <col min="12555" max="12555" width="15.625" style="159" customWidth="1"/>
    <col min="12556" max="12557" width="13.25" style="159" customWidth="1"/>
    <col min="12558" max="12559" width="12" style="159" customWidth="1"/>
    <col min="12560" max="12560" width="13" style="159" customWidth="1"/>
    <col min="12561" max="12800" width="9" style="159"/>
    <col min="12801" max="12801" width="4.25" style="159" customWidth="1"/>
    <col min="12802" max="12802" width="43.125" style="159" customWidth="1"/>
    <col min="12803" max="12805" width="12.625" style="159" customWidth="1"/>
    <col min="12806" max="12806" width="16.875" style="159" customWidth="1"/>
    <col min="12807" max="12807" width="2.875" style="159" customWidth="1"/>
    <col min="12808" max="12808" width="14.125" style="159" customWidth="1"/>
    <col min="12809" max="12809" width="15.875" style="159" customWidth="1"/>
    <col min="12810" max="12810" width="13.5" style="159" customWidth="1"/>
    <col min="12811" max="12811" width="15.625" style="159" customWidth="1"/>
    <col min="12812" max="12813" width="13.25" style="159" customWidth="1"/>
    <col min="12814" max="12815" width="12" style="159" customWidth="1"/>
    <col min="12816" max="12816" width="13" style="159" customWidth="1"/>
    <col min="12817" max="13056" width="9" style="159"/>
    <col min="13057" max="13057" width="4.25" style="159" customWidth="1"/>
    <col min="13058" max="13058" width="43.125" style="159" customWidth="1"/>
    <col min="13059" max="13061" width="12.625" style="159" customWidth="1"/>
    <col min="13062" max="13062" width="16.875" style="159" customWidth="1"/>
    <col min="13063" max="13063" width="2.875" style="159" customWidth="1"/>
    <col min="13064" max="13064" width="14.125" style="159" customWidth="1"/>
    <col min="13065" max="13065" width="15.875" style="159" customWidth="1"/>
    <col min="13066" max="13066" width="13.5" style="159" customWidth="1"/>
    <col min="13067" max="13067" width="15.625" style="159" customWidth="1"/>
    <col min="13068" max="13069" width="13.25" style="159" customWidth="1"/>
    <col min="13070" max="13071" width="12" style="159" customWidth="1"/>
    <col min="13072" max="13072" width="13" style="159" customWidth="1"/>
    <col min="13073" max="13312" width="9" style="159"/>
    <col min="13313" max="13313" width="4.25" style="159" customWidth="1"/>
    <col min="13314" max="13314" width="43.125" style="159" customWidth="1"/>
    <col min="13315" max="13317" width="12.625" style="159" customWidth="1"/>
    <col min="13318" max="13318" width="16.875" style="159" customWidth="1"/>
    <col min="13319" max="13319" width="2.875" style="159" customWidth="1"/>
    <col min="13320" max="13320" width="14.125" style="159" customWidth="1"/>
    <col min="13321" max="13321" width="15.875" style="159" customWidth="1"/>
    <col min="13322" max="13322" width="13.5" style="159" customWidth="1"/>
    <col min="13323" max="13323" width="15.625" style="159" customWidth="1"/>
    <col min="13324" max="13325" width="13.25" style="159" customWidth="1"/>
    <col min="13326" max="13327" width="12" style="159" customWidth="1"/>
    <col min="13328" max="13328" width="13" style="159" customWidth="1"/>
    <col min="13329" max="13568" width="9" style="159"/>
    <col min="13569" max="13569" width="4.25" style="159" customWidth="1"/>
    <col min="13570" max="13570" width="43.125" style="159" customWidth="1"/>
    <col min="13571" max="13573" width="12.625" style="159" customWidth="1"/>
    <col min="13574" max="13574" width="16.875" style="159" customWidth="1"/>
    <col min="13575" max="13575" width="2.875" style="159" customWidth="1"/>
    <col min="13576" max="13576" width="14.125" style="159" customWidth="1"/>
    <col min="13577" max="13577" width="15.875" style="159" customWidth="1"/>
    <col min="13578" max="13578" width="13.5" style="159" customWidth="1"/>
    <col min="13579" max="13579" width="15.625" style="159" customWidth="1"/>
    <col min="13580" max="13581" width="13.25" style="159" customWidth="1"/>
    <col min="13582" max="13583" width="12" style="159" customWidth="1"/>
    <col min="13584" max="13584" width="13" style="159" customWidth="1"/>
    <col min="13585" max="13824" width="9" style="159"/>
    <col min="13825" max="13825" width="4.25" style="159" customWidth="1"/>
    <col min="13826" max="13826" width="43.125" style="159" customWidth="1"/>
    <col min="13827" max="13829" width="12.625" style="159" customWidth="1"/>
    <col min="13830" max="13830" width="16.875" style="159" customWidth="1"/>
    <col min="13831" max="13831" width="2.875" style="159" customWidth="1"/>
    <col min="13832" max="13832" width="14.125" style="159" customWidth="1"/>
    <col min="13833" max="13833" width="15.875" style="159" customWidth="1"/>
    <col min="13834" max="13834" width="13.5" style="159" customWidth="1"/>
    <col min="13835" max="13835" width="15.625" style="159" customWidth="1"/>
    <col min="13836" max="13837" width="13.25" style="159" customWidth="1"/>
    <col min="13838" max="13839" width="12" style="159" customWidth="1"/>
    <col min="13840" max="13840" width="13" style="159" customWidth="1"/>
    <col min="13841" max="14080" width="9" style="159"/>
    <col min="14081" max="14081" width="4.25" style="159" customWidth="1"/>
    <col min="14082" max="14082" width="43.125" style="159" customWidth="1"/>
    <col min="14083" max="14085" width="12.625" style="159" customWidth="1"/>
    <col min="14086" max="14086" width="16.875" style="159" customWidth="1"/>
    <col min="14087" max="14087" width="2.875" style="159" customWidth="1"/>
    <col min="14088" max="14088" width="14.125" style="159" customWidth="1"/>
    <col min="14089" max="14089" width="15.875" style="159" customWidth="1"/>
    <col min="14090" max="14090" width="13.5" style="159" customWidth="1"/>
    <col min="14091" max="14091" width="15.625" style="159" customWidth="1"/>
    <col min="14092" max="14093" width="13.25" style="159" customWidth="1"/>
    <col min="14094" max="14095" width="12" style="159" customWidth="1"/>
    <col min="14096" max="14096" width="13" style="159" customWidth="1"/>
    <col min="14097" max="14336" width="9" style="159"/>
    <col min="14337" max="14337" width="4.25" style="159" customWidth="1"/>
    <col min="14338" max="14338" width="43.125" style="159" customWidth="1"/>
    <col min="14339" max="14341" width="12.625" style="159" customWidth="1"/>
    <col min="14342" max="14342" width="16.875" style="159" customWidth="1"/>
    <col min="14343" max="14343" width="2.875" style="159" customWidth="1"/>
    <col min="14344" max="14344" width="14.125" style="159" customWidth="1"/>
    <col min="14345" max="14345" width="15.875" style="159" customWidth="1"/>
    <col min="14346" max="14346" width="13.5" style="159" customWidth="1"/>
    <col min="14347" max="14347" width="15.625" style="159" customWidth="1"/>
    <col min="14348" max="14349" width="13.25" style="159" customWidth="1"/>
    <col min="14350" max="14351" width="12" style="159" customWidth="1"/>
    <col min="14352" max="14352" width="13" style="159" customWidth="1"/>
    <col min="14353" max="14592" width="9" style="159"/>
    <col min="14593" max="14593" width="4.25" style="159" customWidth="1"/>
    <col min="14594" max="14594" width="43.125" style="159" customWidth="1"/>
    <col min="14595" max="14597" width="12.625" style="159" customWidth="1"/>
    <col min="14598" max="14598" width="16.875" style="159" customWidth="1"/>
    <col min="14599" max="14599" width="2.875" style="159" customWidth="1"/>
    <col min="14600" max="14600" width="14.125" style="159" customWidth="1"/>
    <col min="14601" max="14601" width="15.875" style="159" customWidth="1"/>
    <col min="14602" max="14602" width="13.5" style="159" customWidth="1"/>
    <col min="14603" max="14603" width="15.625" style="159" customWidth="1"/>
    <col min="14604" max="14605" width="13.25" style="159" customWidth="1"/>
    <col min="14606" max="14607" width="12" style="159" customWidth="1"/>
    <col min="14608" max="14608" width="13" style="159" customWidth="1"/>
    <col min="14609" max="14848" width="9" style="159"/>
    <col min="14849" max="14849" width="4.25" style="159" customWidth="1"/>
    <col min="14850" max="14850" width="43.125" style="159" customWidth="1"/>
    <col min="14851" max="14853" width="12.625" style="159" customWidth="1"/>
    <col min="14854" max="14854" width="16.875" style="159" customWidth="1"/>
    <col min="14855" max="14855" width="2.875" style="159" customWidth="1"/>
    <col min="14856" max="14856" width="14.125" style="159" customWidth="1"/>
    <col min="14857" max="14857" width="15.875" style="159" customWidth="1"/>
    <col min="14858" max="14858" width="13.5" style="159" customWidth="1"/>
    <col min="14859" max="14859" width="15.625" style="159" customWidth="1"/>
    <col min="14860" max="14861" width="13.25" style="159" customWidth="1"/>
    <col min="14862" max="14863" width="12" style="159" customWidth="1"/>
    <col min="14864" max="14864" width="13" style="159" customWidth="1"/>
    <col min="14865" max="15104" width="9" style="159"/>
    <col min="15105" max="15105" width="4.25" style="159" customWidth="1"/>
    <col min="15106" max="15106" width="43.125" style="159" customWidth="1"/>
    <col min="15107" max="15109" width="12.625" style="159" customWidth="1"/>
    <col min="15110" max="15110" width="16.875" style="159" customWidth="1"/>
    <col min="15111" max="15111" width="2.875" style="159" customWidth="1"/>
    <col min="15112" max="15112" width="14.125" style="159" customWidth="1"/>
    <col min="15113" max="15113" width="15.875" style="159" customWidth="1"/>
    <col min="15114" max="15114" width="13.5" style="159" customWidth="1"/>
    <col min="15115" max="15115" width="15.625" style="159" customWidth="1"/>
    <col min="15116" max="15117" width="13.25" style="159" customWidth="1"/>
    <col min="15118" max="15119" width="12" style="159" customWidth="1"/>
    <col min="15120" max="15120" width="13" style="159" customWidth="1"/>
    <col min="15121" max="15360" width="9" style="159"/>
    <col min="15361" max="15361" width="4.25" style="159" customWidth="1"/>
    <col min="15362" max="15362" width="43.125" style="159" customWidth="1"/>
    <col min="15363" max="15365" width="12.625" style="159" customWidth="1"/>
    <col min="15366" max="15366" width="16.875" style="159" customWidth="1"/>
    <col min="15367" max="15367" width="2.875" style="159" customWidth="1"/>
    <col min="15368" max="15368" width="14.125" style="159" customWidth="1"/>
    <col min="15369" max="15369" width="15.875" style="159" customWidth="1"/>
    <col min="15370" max="15370" width="13.5" style="159" customWidth="1"/>
    <col min="15371" max="15371" width="15.625" style="159" customWidth="1"/>
    <col min="15372" max="15373" width="13.25" style="159" customWidth="1"/>
    <col min="15374" max="15375" width="12" style="159" customWidth="1"/>
    <col min="15376" max="15376" width="13" style="159" customWidth="1"/>
    <col min="15377" max="15616" width="9" style="159"/>
    <col min="15617" max="15617" width="4.25" style="159" customWidth="1"/>
    <col min="15618" max="15618" width="43.125" style="159" customWidth="1"/>
    <col min="15619" max="15621" width="12.625" style="159" customWidth="1"/>
    <col min="15622" max="15622" width="16.875" style="159" customWidth="1"/>
    <col min="15623" max="15623" width="2.875" style="159" customWidth="1"/>
    <col min="15624" max="15624" width="14.125" style="159" customWidth="1"/>
    <col min="15625" max="15625" width="15.875" style="159" customWidth="1"/>
    <col min="15626" max="15626" width="13.5" style="159" customWidth="1"/>
    <col min="15627" max="15627" width="15.625" style="159" customWidth="1"/>
    <col min="15628" max="15629" width="13.25" style="159" customWidth="1"/>
    <col min="15630" max="15631" width="12" style="159" customWidth="1"/>
    <col min="15632" max="15632" width="13" style="159" customWidth="1"/>
    <col min="15633" max="15872" width="9" style="159"/>
    <col min="15873" max="15873" width="4.25" style="159" customWidth="1"/>
    <col min="15874" max="15874" width="43.125" style="159" customWidth="1"/>
    <col min="15875" max="15877" width="12.625" style="159" customWidth="1"/>
    <col min="15878" max="15878" width="16.875" style="159" customWidth="1"/>
    <col min="15879" max="15879" width="2.875" style="159" customWidth="1"/>
    <col min="15880" max="15880" width="14.125" style="159" customWidth="1"/>
    <col min="15881" max="15881" width="15.875" style="159" customWidth="1"/>
    <col min="15882" max="15882" width="13.5" style="159" customWidth="1"/>
    <col min="15883" max="15883" width="15.625" style="159" customWidth="1"/>
    <col min="15884" max="15885" width="13.25" style="159" customWidth="1"/>
    <col min="15886" max="15887" width="12" style="159" customWidth="1"/>
    <col min="15888" max="15888" width="13" style="159" customWidth="1"/>
    <col min="15889" max="16128" width="9" style="159"/>
    <col min="16129" max="16129" width="4.25" style="159" customWidth="1"/>
    <col min="16130" max="16130" width="43.125" style="159" customWidth="1"/>
    <col min="16131" max="16133" width="12.625" style="159" customWidth="1"/>
    <col min="16134" max="16134" width="16.875" style="159" customWidth="1"/>
    <col min="16135" max="16135" width="2.875" style="159" customWidth="1"/>
    <col min="16136" max="16136" width="14.125" style="159" customWidth="1"/>
    <col min="16137" max="16137" width="15.875" style="159" customWidth="1"/>
    <col min="16138" max="16138" width="13.5" style="159" customWidth="1"/>
    <col min="16139" max="16139" width="15.625" style="159" customWidth="1"/>
    <col min="16140" max="16141" width="13.25" style="159" customWidth="1"/>
    <col min="16142" max="16143" width="12" style="159" customWidth="1"/>
    <col min="16144" max="16144" width="13" style="159" customWidth="1"/>
    <col min="16145" max="16384" width="9" style="159"/>
  </cols>
  <sheetData>
    <row r="1" spans="2:9" s="157" customFormat="1" ht="24" customHeight="1">
      <c r="B1" s="357" t="s">
        <v>117</v>
      </c>
      <c r="C1" s="357"/>
      <c r="D1" s="357"/>
      <c r="E1" s="357"/>
      <c r="F1" s="357"/>
    </row>
    <row r="2" spans="2:9" s="158" customFormat="1" ht="24" customHeight="1">
      <c r="B2" s="406" t="s">
        <v>105</v>
      </c>
      <c r="C2" s="406"/>
      <c r="D2" s="406"/>
      <c r="E2" s="406"/>
      <c r="F2" s="406"/>
    </row>
    <row r="3" spans="2:9" ht="15.75" customHeight="1"/>
    <row r="4" spans="2:9" s="162" customFormat="1" ht="39.75" customHeight="1">
      <c r="B4" s="160" t="s">
        <v>85</v>
      </c>
      <c r="C4" s="160" t="s">
        <v>86</v>
      </c>
      <c r="D4" s="160" t="s">
        <v>87</v>
      </c>
      <c r="E4" s="160" t="s">
        <v>88</v>
      </c>
      <c r="F4" s="161" t="s">
        <v>89</v>
      </c>
    </row>
    <row r="5" spans="2:9" s="166" customFormat="1" ht="31.5" customHeight="1">
      <c r="B5" s="163" t="s">
        <v>107</v>
      </c>
      <c r="C5" s="163"/>
      <c r="D5" s="163"/>
      <c r="E5" s="164"/>
      <c r="F5" s="165"/>
    </row>
    <row r="6" spans="2:9" ht="31.5" customHeight="1">
      <c r="B6" s="167" t="s">
        <v>108</v>
      </c>
      <c r="C6" s="163" t="s">
        <v>177</v>
      </c>
      <c r="D6" s="163">
        <v>1</v>
      </c>
      <c r="E6" s="163">
        <v>25000</v>
      </c>
      <c r="F6" s="163">
        <f>D6*E6</f>
        <v>25000</v>
      </c>
    </row>
    <row r="7" spans="2:9" ht="31.5" customHeight="1">
      <c r="B7" s="170"/>
      <c r="C7" s="168"/>
      <c r="D7" s="169"/>
      <c r="E7" s="165"/>
      <c r="F7" s="165"/>
    </row>
    <row r="8" spans="2:9" ht="31.5" customHeight="1">
      <c r="B8" s="170"/>
      <c r="C8" s="168"/>
      <c r="D8" s="169"/>
      <c r="E8" s="165"/>
      <c r="F8" s="165"/>
    </row>
    <row r="9" spans="2:9" ht="31.5" customHeight="1">
      <c r="B9" s="170"/>
      <c r="C9" s="168"/>
      <c r="D9" s="169"/>
      <c r="E9" s="165"/>
      <c r="F9" s="165"/>
    </row>
    <row r="10" spans="2:9" ht="31.5" customHeight="1">
      <c r="B10" s="167"/>
      <c r="C10" s="167"/>
      <c r="D10" s="167"/>
      <c r="E10" s="165"/>
      <c r="F10" s="165"/>
    </row>
    <row r="11" spans="2:9" ht="31.5" customHeight="1">
      <c r="B11" s="167"/>
      <c r="C11" s="167"/>
      <c r="D11" s="167"/>
      <c r="E11" s="165"/>
      <c r="F11" s="165"/>
    </row>
    <row r="12" spans="2:9" s="166" customFormat="1" ht="31.5" customHeight="1">
      <c r="B12" s="407" t="s">
        <v>91</v>
      </c>
      <c r="C12" s="408"/>
      <c r="D12" s="408"/>
      <c r="E12" s="409"/>
      <c r="F12" s="164"/>
    </row>
    <row r="13" spans="2:9" s="166" customFormat="1" ht="31.5" customHeight="1">
      <c r="B13" s="163" t="s">
        <v>106</v>
      </c>
      <c r="C13" s="163"/>
      <c r="D13" s="163"/>
      <c r="E13" s="163"/>
      <c r="F13" s="171"/>
      <c r="I13" s="16"/>
    </row>
    <row r="14" spans="2:9" s="166" customFormat="1" ht="31.5" customHeight="1">
      <c r="B14" s="295" t="s">
        <v>156</v>
      </c>
      <c r="C14" s="163" t="s">
        <v>177</v>
      </c>
      <c r="D14" s="163">
        <v>1</v>
      </c>
      <c r="E14" s="163">
        <v>12000</v>
      </c>
      <c r="F14" s="171">
        <f>D14*E14</f>
        <v>12000</v>
      </c>
      <c r="I14" s="16"/>
    </row>
    <row r="15" spans="2:9" s="166" customFormat="1" ht="31.5" customHeight="1">
      <c r="B15" s="296" t="s">
        <v>157</v>
      </c>
      <c r="C15" s="163" t="s">
        <v>177</v>
      </c>
      <c r="D15" s="163">
        <v>1</v>
      </c>
      <c r="E15" s="163">
        <v>6000</v>
      </c>
      <c r="F15" s="171">
        <f t="shared" ref="F15:F23" si="0">D15*E15</f>
        <v>6000</v>
      </c>
      <c r="I15" s="16"/>
    </row>
    <row r="16" spans="2:9" s="166" customFormat="1" ht="31.5" customHeight="1">
      <c r="B16" s="296" t="s">
        <v>158</v>
      </c>
      <c r="C16" s="163" t="s">
        <v>177</v>
      </c>
      <c r="D16" s="163">
        <v>1</v>
      </c>
      <c r="E16" s="163">
        <v>6000</v>
      </c>
      <c r="F16" s="171">
        <f t="shared" si="0"/>
        <v>6000</v>
      </c>
      <c r="I16" s="16"/>
    </row>
    <row r="17" spans="2:9" s="166" customFormat="1" ht="31.5" customHeight="1">
      <c r="B17" s="296" t="s">
        <v>159</v>
      </c>
      <c r="C17" s="163" t="s">
        <v>177</v>
      </c>
      <c r="D17" s="163">
        <v>1</v>
      </c>
      <c r="E17" s="163">
        <v>25000</v>
      </c>
      <c r="F17" s="171">
        <f t="shared" si="0"/>
        <v>25000</v>
      </c>
      <c r="I17" s="16"/>
    </row>
    <row r="18" spans="2:9" s="166" customFormat="1" ht="31.5" customHeight="1">
      <c r="B18" s="296" t="s">
        <v>160</v>
      </c>
      <c r="C18" s="163" t="s">
        <v>177</v>
      </c>
      <c r="D18" s="163">
        <v>1</v>
      </c>
      <c r="E18" s="163">
        <v>25000</v>
      </c>
      <c r="F18" s="171">
        <f t="shared" si="0"/>
        <v>25000</v>
      </c>
      <c r="I18" s="16"/>
    </row>
    <row r="19" spans="2:9" s="166" customFormat="1" ht="31.5" customHeight="1">
      <c r="B19" s="296" t="s">
        <v>161</v>
      </c>
      <c r="C19" s="163" t="s">
        <v>177</v>
      </c>
      <c r="D19" s="163">
        <v>1</v>
      </c>
      <c r="E19" s="163">
        <v>1500</v>
      </c>
      <c r="F19" s="171">
        <f t="shared" si="0"/>
        <v>1500</v>
      </c>
      <c r="I19" s="16"/>
    </row>
    <row r="20" spans="2:9" s="166" customFormat="1" ht="31.5" customHeight="1">
      <c r="B20" s="296" t="s">
        <v>162</v>
      </c>
      <c r="C20" s="163" t="s">
        <v>177</v>
      </c>
      <c r="D20" s="163">
        <v>1</v>
      </c>
      <c r="E20" s="163">
        <v>1500</v>
      </c>
      <c r="F20" s="171">
        <f t="shared" si="0"/>
        <v>1500</v>
      </c>
      <c r="I20" s="16"/>
    </row>
    <row r="21" spans="2:9" s="166" customFormat="1" ht="31.5" customHeight="1">
      <c r="B21" s="296" t="s">
        <v>163</v>
      </c>
      <c r="C21" s="163" t="s">
        <v>177</v>
      </c>
      <c r="D21" s="163">
        <v>1</v>
      </c>
      <c r="E21" s="163">
        <v>40000</v>
      </c>
      <c r="F21" s="171">
        <f t="shared" si="0"/>
        <v>40000</v>
      </c>
      <c r="I21" s="16"/>
    </row>
    <row r="22" spans="2:9" ht="31.5" customHeight="1">
      <c r="B22" s="295" t="s">
        <v>164</v>
      </c>
      <c r="C22" s="163" t="s">
        <v>177</v>
      </c>
      <c r="D22" s="167">
        <v>1</v>
      </c>
      <c r="E22" s="163">
        <v>12000</v>
      </c>
      <c r="F22" s="171">
        <f t="shared" si="0"/>
        <v>12000</v>
      </c>
    </row>
    <row r="23" spans="2:9" ht="31.5" customHeight="1">
      <c r="B23" s="296" t="s">
        <v>165</v>
      </c>
      <c r="C23" s="163" t="s">
        <v>177</v>
      </c>
      <c r="D23" s="167">
        <v>1</v>
      </c>
      <c r="E23" s="163">
        <v>22000</v>
      </c>
      <c r="F23" s="171">
        <f t="shared" si="0"/>
        <v>22000</v>
      </c>
    </row>
    <row r="24" spans="2:9" ht="31.5" customHeight="1">
      <c r="B24" s="167"/>
      <c r="C24" s="167"/>
      <c r="D24" s="167"/>
      <c r="E24" s="165"/>
      <c r="F24" s="165"/>
    </row>
    <row r="25" spans="2:9" ht="31.5" customHeight="1">
      <c r="B25" s="167"/>
      <c r="C25" s="167"/>
      <c r="D25" s="167"/>
      <c r="E25" s="165"/>
      <c r="F25" s="165"/>
    </row>
    <row r="26" spans="2:9" ht="31.5" customHeight="1">
      <c r="B26" s="167"/>
      <c r="C26" s="167"/>
      <c r="D26" s="167"/>
      <c r="E26" s="165"/>
      <c r="F26" s="165"/>
    </row>
    <row r="27" spans="2:9" s="166" customFormat="1" ht="31.5" customHeight="1">
      <c r="B27" s="407" t="s">
        <v>91</v>
      </c>
      <c r="C27" s="408"/>
      <c r="D27" s="408"/>
      <c r="E27" s="409"/>
      <c r="F27" s="164">
        <f>SUM(F5:F26)</f>
        <v>176000</v>
      </c>
    </row>
    <row r="28" spans="2:9" s="166" customFormat="1" ht="31.5" customHeight="1">
      <c r="B28" s="407" t="s">
        <v>93</v>
      </c>
      <c r="C28" s="408"/>
      <c r="D28" s="408"/>
      <c r="E28" s="409"/>
      <c r="F28" s="164">
        <f>+F12+F27</f>
        <v>176000</v>
      </c>
    </row>
  </sheetData>
  <mergeCells count="5">
    <mergeCell ref="B1:F1"/>
    <mergeCell ref="B2:F2"/>
    <mergeCell ref="B12:E12"/>
    <mergeCell ref="B27:E27"/>
    <mergeCell ref="B28:E28"/>
  </mergeCells>
  <pageMargins left="0.7" right="0.7" top="0.75" bottom="0.75" header="0.3" footer="0.3"/>
  <pageSetup paperSize="9" scale="74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p:Policy xmlns:p="office.server.policy" id="" local="true">
  <p:Name>문서</p:Name>
  <p:Description>CubeLook 대용량 첨부파일 3년 보관 후 영구삭제</p:Description>
  <p:Statement/>
  <p:PolicyItems>
    <p:PolicyItem featureId="Microsoft.Office.RecordsManagement.PolicyFeatures.Expiration" staticId="0x010100F2474AE5FE53204C835D4C6F86621033|-2027218648" UniqueId="66960027-1336-4e34-bc16-c2e775a14660">
      <p:Name>보존</p:Name>
      <p:Description>콘텐츠 처리 일정을 자동으로 설정하고 기한에 도달한 콘텐츠에 대해 보존 작업을 수행합니다.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35</number>
                  <property>Created</property>
                  <propertyId>8c06beca-0777-48f7-91c7-6da68bc07b69</propertyId>
                  <period>months</period>
                </formula>
                <action type="action" id="Microsoft.Office.RecordsManagement.PolicyFeatures.Expiration.Action.Delete"/>
              </data>
            </stages>
          </Schedule>
        </Schedules>
      </p:CustomData>
    </p:PolicyItem>
  </p:PolicyItems>
</p:Polic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2474AE5FE53204C835D4C6F86621033" ma:contentTypeVersion="10" ma:contentTypeDescription="새 문서를 만듭니다." ma:contentTypeScope="" ma:versionID="6f734d86140badaec257ee532327c4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2e87bbfbba001d9dd19a0ae30bb6bce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_dlc_ExpireDateSaved" minOccurs="0"/>
                <xsd:element ref="ns1:_dlc_Expir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정책에서 제외" ma:hidden="true" ma:internalName="_dlc_Exempt" ma:readOnly="true">
      <xsd:simpleType>
        <xsd:restriction base="dms:Unknown"/>
      </xsd:simpleType>
    </xsd:element>
    <xsd:element name="_dlc_ExpireDateSaved" ma:index="9" nillable="true" ma:displayName="원래 만료 날짜" ma:hidden="true" ma:internalName="_dlc_ExpireDateSaved" ma:readOnly="true">
      <xsd:simpleType>
        <xsd:restriction base="dms:DateTime"/>
      </xsd:simpleType>
    </xsd:element>
    <xsd:element name="_dlc_ExpireDate" ma:index="10" nillable="true" ma:displayName="만료 날짜" ma:description="" ma:hidden="true" ma:indexed="true" ma:internalName="_dlc_ExpireDat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pireDateSaved xmlns="http://schemas.microsoft.com/sharepoint/v3" xsi:nil="true"/>
    <_dlc_ExpireDate xmlns="http://schemas.microsoft.com/sharepoint/v3">2020-04-12T06:20:55+00:00</_dlc_ExpireDate>
  </documentManagement>
</p:properties>
</file>

<file path=customXml/itemProps1.xml><?xml version="1.0" encoding="utf-8"?>
<ds:datastoreItem xmlns:ds="http://schemas.openxmlformats.org/officeDocument/2006/customXml" ds:itemID="{47515363-8894-49C3-885C-6DC3FE5C2EAC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048A3B2F-3186-4BAC-B385-A386BDA5F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0E1E2-EBD1-449B-AB16-24C245921B1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4CD7BC-0223-41F6-98C3-85F6E136488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11</vt:i4>
      </vt:variant>
    </vt:vector>
  </HeadingPairs>
  <TitlesOfParts>
    <vt:vector size="21" baseType="lpstr">
      <vt:lpstr>Organisation</vt:lpstr>
      <vt:lpstr>1.Cover</vt:lpstr>
      <vt:lpstr>2.Subcontract Price Summary O1</vt:lpstr>
      <vt:lpstr>2.BOQ</vt:lpstr>
      <vt:lpstr>Schedule</vt:lpstr>
      <vt:lpstr>5.Manpower</vt:lpstr>
      <vt:lpstr>6.Equipment </vt:lpstr>
      <vt:lpstr>7.Subcontractor</vt:lpstr>
      <vt:lpstr>8. Material</vt:lpstr>
      <vt:lpstr>9. Mob-Demob Masrafları</vt:lpstr>
      <vt:lpstr>'1.Cover'!Yazdırma_Alanı</vt:lpstr>
      <vt:lpstr>'2.BOQ'!Yazdırma_Alanı</vt:lpstr>
      <vt:lpstr>'2.Subcontract Price Summary O1'!Yazdırma_Alanı</vt:lpstr>
      <vt:lpstr>'5.Manpower'!Yazdırma_Alanı</vt:lpstr>
      <vt:lpstr>'6.Equipment '!Yazdırma_Alanı</vt:lpstr>
      <vt:lpstr>'7.Subcontractor'!Yazdırma_Alanı</vt:lpstr>
      <vt:lpstr>'8. Material'!Yazdırma_Alanı</vt:lpstr>
      <vt:lpstr>'9. Mob-Demob Masrafları'!Yazdırma_Alanı</vt:lpstr>
      <vt:lpstr>Organisation!Yazdırma_Alanı</vt:lpstr>
      <vt:lpstr>Schedule!Yazdırma_Alanı</vt:lpstr>
      <vt:lpstr>'2.BOQ'!Yazdırma_Başlıkları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박근영</dc:creator>
  <cp:lastModifiedBy>Taygun Sancı</cp:lastModifiedBy>
  <cp:lastPrinted>2018-02-01T08:43:28Z</cp:lastPrinted>
  <dcterms:created xsi:type="dcterms:W3CDTF">2014-04-14T05:29:52Z</dcterms:created>
  <dcterms:modified xsi:type="dcterms:W3CDTF">2018-10-11T07:03:25Z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0x010100F2474AE5FE53204C835D4C6F86621033</vt:lpwstr>
  </property>
  <property fmtid="{D5CDD505-2E9C-101B-9397-08002B2CF9AE}" pid="3" name="Functional_x0020_Product_x0020_Code">
    <vt:lpwstr>48;#GC0805 Inquiry Document|2562a009-5f36-4c2d-8280-e1afcece093b</vt:lpwstr>
  </property>
  <property fmtid="{D5CDD505-2E9C-101B-9397-08002B2CF9AE}" pid="4" name="Cost_x0020_Code">
    <vt:lpwstr/>
  </property>
  <property fmtid="{D5CDD505-2E9C-101B-9397-08002B2CF9AE}" pid="5" name="Functional Product Code">
    <vt:lpwstr>48;#GC0805 Inquiry Document|2562a009-5f36-4c2d-8280-e1afcece093b</vt:lpwstr>
  </property>
  <property fmtid="{D5CDD505-2E9C-101B-9397-08002B2CF9AE}" pid="6" name="Cost Code">
    <vt:lpwstr/>
  </property>
  <property fmtid="{D5CDD505-2E9C-101B-9397-08002B2CF9AE}" pid="7" name="Project Code">
    <vt:lpwstr/>
  </property>
  <property fmtid="{D5CDD505-2E9C-101B-9397-08002B2CF9AE}" pid="8" name="ItemRetentionFormula">
    <vt:lpwstr>&lt;formula id="Microsoft.Office.RecordsManagement.PolicyFeatures.Expiration.Formula.BuiltIn"&gt;&lt;number&gt;35&lt;/number&gt;&lt;property&gt;Created&lt;/property&gt;&lt;propertyId&gt;8c06beca-0777-48f7-91c7-6da68bc07b69&lt;/propertyId&gt;&lt;period&gt;months&lt;/period&gt;&lt;/formula&gt;</vt:lpwstr>
  </property>
  <property fmtid="{D5CDD505-2E9C-101B-9397-08002B2CF9AE}" pid="9" name="_dlc_policyId">
    <vt:lpwstr>0x010100F2474AE5FE53204C835D4C6F86621033|-2027218648</vt:lpwstr>
  </property>
</Properties>
</file>