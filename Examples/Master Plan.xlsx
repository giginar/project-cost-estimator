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QUOTATIONS\QUOTATIONS-UNDERWORK\Hunutlu Termik Santrali\Çalışmalar\"/>
    </mc:Choice>
  </mc:AlternateContent>
  <xr:revisionPtr revIDLastSave="0" documentId="13_ncr:1_{1F3D2E40-A26F-4EF5-A88E-0D03F303E7F3}" xr6:coauthVersionLast="38" xr6:coauthVersionMax="38" xr10:uidLastSave="{00000000-0000-0000-0000-000000000000}"/>
  <bookViews>
    <workbookView xWindow="0" yWindow="0" windowWidth="16200" windowHeight="11595" xr2:uid="{B44CA737-FDD6-49E0-8171-31EC5DCFEFF7}"/>
  </bookViews>
  <sheets>
    <sheet name="2.Subcontract Price Summary O1" sheetId="12" r:id="rId1"/>
    <sheet name="3.Schedule" sheetId="4" r:id="rId2"/>
    <sheet name="4.Equipment" sheetId="3" r:id="rId3"/>
    <sheet name="5.Manpower" sheetId="6" r:id="rId4"/>
    <sheet name="6.Mob-Demob" sheetId="8" r:id="rId5"/>
    <sheet name="7.MGO+Lub+Insurance" sheetId="7" r:id="rId6"/>
    <sheet name="8.Material" sheetId="10" r:id="rId7"/>
    <sheet name="9.Indirect" sheetId="11" r:id="rId8"/>
  </sheets>
  <definedNames>
    <definedName name="_xlnm.Print_Area" localSheetId="0">'2.Subcontract Price Summary O1'!$A$2:$F$37</definedName>
    <definedName name="_xlnm.Print_Area" localSheetId="1">'3.Schedule'!$A$2:$AN$14</definedName>
    <definedName name="_xlnm.Print_Area" localSheetId="2">'4.Equipment'!$A$2:$AL$10</definedName>
    <definedName name="_xlnm.Print_Area" localSheetId="3">'5.Manpower'!$A$2:$AJ$20</definedName>
    <definedName name="_xlnm.Print_Area" localSheetId="4">'6.Mob-Demob'!$A$2:$B$8</definedName>
    <definedName name="_xlnm.Print_Area" localSheetId="5">'7.MGO+Lub+Insurance'!$A$2:$J$10</definedName>
    <definedName name="_xlnm.Print_Area" localSheetId="6">'8.Material'!$A$2:$F$11</definedName>
    <definedName name="_xlnm.Print_Area" localSheetId="7">'9.Indirect'!$A$2:$F$11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3" i="6" l="1"/>
  <c r="AI14" i="6"/>
  <c r="AI15" i="6"/>
  <c r="AI16" i="6"/>
  <c r="AI17" i="6"/>
  <c r="AI18" i="6"/>
  <c r="AI19" i="6"/>
  <c r="AI20" i="6"/>
  <c r="AI21" i="6"/>
  <c r="AI13" i="6"/>
  <c r="AI7" i="6"/>
  <c r="AI8" i="6"/>
  <c r="AI9" i="6"/>
  <c r="AI10" i="6"/>
  <c r="AI11" i="6"/>
  <c r="AI6" i="6"/>
  <c r="C6" i="7"/>
  <c r="C7" i="7"/>
  <c r="C8" i="7"/>
  <c r="C9" i="7"/>
  <c r="C10" i="7"/>
  <c r="C5" i="7"/>
  <c r="E5" i="7"/>
  <c r="AE21" i="6"/>
  <c r="AE14" i="6"/>
  <c r="AE15" i="6"/>
  <c r="AE16" i="6"/>
  <c r="AE17" i="6"/>
  <c r="AE18" i="6"/>
  <c r="AE19" i="6"/>
  <c r="AE20" i="6"/>
  <c r="AE13" i="6"/>
  <c r="AE7" i="6"/>
  <c r="AE8" i="6"/>
  <c r="AE9" i="6"/>
  <c r="AE10" i="6"/>
  <c r="AE11" i="6"/>
  <c r="AE6" i="6"/>
  <c r="AH13" i="6"/>
  <c r="AI6" i="3"/>
  <c r="AI7" i="3"/>
  <c r="AI8" i="3"/>
  <c r="AI9" i="3"/>
  <c r="AI10" i="3"/>
  <c r="AI5" i="3"/>
  <c r="F5" i="7" l="1"/>
  <c r="I5" i="7" s="1"/>
  <c r="AK5" i="3"/>
  <c r="E7" i="4"/>
  <c r="F7" i="4" s="1"/>
  <c r="F6" i="4"/>
  <c r="F9" i="4"/>
  <c r="F10" i="4"/>
  <c r="F11" i="4"/>
  <c r="F12" i="4"/>
  <c r="F13" i="4"/>
  <c r="G6" i="4"/>
  <c r="G7" i="4"/>
  <c r="G8" i="4"/>
  <c r="G9" i="4"/>
  <c r="G10" i="4"/>
  <c r="G11" i="4"/>
  <c r="G12" i="4"/>
  <c r="G13" i="4"/>
  <c r="G14" i="4"/>
  <c r="G5" i="4"/>
  <c r="F8" i="4" l="1"/>
  <c r="AH19" i="6" l="1"/>
  <c r="I23" i="12" l="1"/>
  <c r="I25" i="12" s="1"/>
  <c r="I26" i="12" s="1"/>
  <c r="J21" i="12"/>
  <c r="K21" i="12" s="1"/>
  <c r="J23" i="12" l="1"/>
  <c r="J25" i="12" s="1"/>
  <c r="J26" i="12" s="1"/>
  <c r="L21" i="12"/>
  <c r="L23" i="12" s="1"/>
  <c r="L25" i="12" s="1"/>
  <c r="L26" i="12" s="1"/>
  <c r="K23" i="12"/>
  <c r="K25" i="12" s="1"/>
  <c r="K26" i="12" s="1"/>
  <c r="H11" i="7" l="1"/>
  <c r="G11" i="7"/>
  <c r="G5" i="8"/>
  <c r="G8" i="8"/>
  <c r="G9" i="8"/>
  <c r="G10" i="8"/>
  <c r="G11" i="8"/>
  <c r="G12" i="8"/>
  <c r="C7" i="8"/>
  <c r="C6" i="8"/>
  <c r="AH21" i="6"/>
  <c r="AF22" i="6" l="1"/>
  <c r="AK7" i="3" l="1"/>
  <c r="AK8" i="3"/>
  <c r="E6" i="7"/>
  <c r="F6" i="7" s="1"/>
  <c r="E14" i="4"/>
  <c r="F14" i="4" s="1"/>
  <c r="E5" i="4"/>
  <c r="F5" i="4" s="1"/>
  <c r="F7" i="8" l="1"/>
  <c r="G7" i="8" s="1"/>
  <c r="F6" i="8"/>
  <c r="G6" i="8" s="1"/>
  <c r="F4" i="8"/>
  <c r="G4" i="8" s="1"/>
  <c r="D9" i="11"/>
  <c r="D7" i="11"/>
  <c r="C8" i="8"/>
  <c r="C9" i="8"/>
  <c r="E4" i="8"/>
  <c r="D4" i="8"/>
  <c r="C5" i="8" l="1"/>
  <c r="AF24" i="6" l="1"/>
  <c r="AK9" i="3"/>
  <c r="AK10" i="3"/>
  <c r="AK6" i="3"/>
  <c r="D9" i="8"/>
  <c r="D8" i="8"/>
  <c r="D7" i="8"/>
  <c r="D6" i="8"/>
  <c r="D5" i="8"/>
  <c r="E10" i="7"/>
  <c r="F10" i="7" s="1"/>
  <c r="E9" i="7"/>
  <c r="F9" i="7" s="1"/>
  <c r="E8" i="7"/>
  <c r="F8" i="7" s="1"/>
  <c r="E7" i="7"/>
  <c r="F7" i="7" s="1"/>
  <c r="AH20" i="6"/>
  <c r="AH18" i="6"/>
  <c r="E9" i="8" s="1"/>
  <c r="AH17" i="6"/>
  <c r="E8" i="8" s="1"/>
  <c r="AH16" i="6"/>
  <c r="E7" i="8" s="1"/>
  <c r="AH15" i="6"/>
  <c r="E6" i="8" s="1"/>
  <c r="AH14" i="6"/>
  <c r="E5" i="8" s="1"/>
  <c r="AH11" i="6"/>
  <c r="AH10" i="6"/>
  <c r="AH9" i="6"/>
  <c r="AH8" i="6"/>
  <c r="AH7" i="6"/>
  <c r="AH6" i="6"/>
  <c r="C7" i="11" l="1"/>
  <c r="E7" i="11" s="1"/>
  <c r="C9" i="11"/>
  <c r="E9" i="11" s="1"/>
  <c r="C8" i="11"/>
  <c r="E8" i="11" s="1"/>
  <c r="AK12" i="3"/>
  <c r="D10" i="12" s="1"/>
  <c r="E10" i="12" s="1"/>
  <c r="E13" i="8"/>
  <c r="I7" i="7"/>
  <c r="I8" i="7"/>
  <c r="I9" i="7"/>
  <c r="I6" i="7"/>
  <c r="I10" i="7"/>
  <c r="D13" i="8"/>
  <c r="G13" i="8"/>
  <c r="I11" i="7" l="1"/>
  <c r="D12" i="12" s="1"/>
  <c r="E12" i="12" s="1"/>
  <c r="E23" i="10"/>
  <c r="D9" i="12" s="1"/>
  <c r="E9" i="12" s="1"/>
  <c r="AI22" i="6"/>
  <c r="AI23" i="6"/>
  <c r="G15" i="8"/>
  <c r="D25" i="12" l="1"/>
  <c r="E25" i="12" s="1"/>
  <c r="D7" i="12"/>
  <c r="E7" i="12" s="1"/>
  <c r="AI24" i="6"/>
  <c r="D11" i="12" s="1"/>
  <c r="E11" i="12" s="1"/>
  <c r="D6" i="11" l="1"/>
  <c r="E6" i="11" s="1"/>
  <c r="D5" i="11"/>
  <c r="E5" i="11" s="1"/>
  <c r="E23" i="11" l="1"/>
  <c r="D15" i="12" s="1"/>
  <c r="E15" i="12" s="1"/>
  <c r="D27" i="12" s="1"/>
  <c r="D29" i="12" s="1"/>
</calcChain>
</file>

<file path=xl/sharedStrings.xml><?xml version="1.0" encoding="utf-8"?>
<sst xmlns="http://schemas.openxmlformats.org/spreadsheetml/2006/main" count="332" uniqueCount="139">
  <si>
    <t>Own</t>
  </si>
  <si>
    <t>Total Price</t>
  </si>
  <si>
    <t>Monthly Price</t>
  </si>
  <si>
    <t>Total Month</t>
  </si>
  <si>
    <t>REMARKS</t>
    <phoneticPr fontId="0" type="noConversion"/>
  </si>
  <si>
    <t>Equipment</t>
  </si>
  <si>
    <t>Item</t>
  </si>
  <si>
    <t>Table 2: Marine construction works</t>
  </si>
  <si>
    <t>Description</t>
  </si>
  <si>
    <t>Unit</t>
  </si>
  <si>
    <t>Tot. Qua.</t>
  </si>
  <si>
    <t>Duration</t>
  </si>
  <si>
    <t>Mobilisation</t>
  </si>
  <si>
    <t>no's</t>
  </si>
  <si>
    <t>Demobilisation</t>
  </si>
  <si>
    <t>LS</t>
  </si>
  <si>
    <t>Staff No</t>
  </si>
  <si>
    <t>Avr.Staff Salary</t>
  </si>
  <si>
    <t>Monthly Total</t>
  </si>
  <si>
    <t>Staff</t>
  </si>
  <si>
    <t>Project Manager</t>
  </si>
  <si>
    <t>Construction Manager</t>
  </si>
  <si>
    <t xml:space="preserve">Survey Chief </t>
  </si>
  <si>
    <t>Site Engineer</t>
  </si>
  <si>
    <t>Surveyor</t>
  </si>
  <si>
    <t>Admin Personnel</t>
  </si>
  <si>
    <t>Labour</t>
  </si>
  <si>
    <t>Daily MGO</t>
  </si>
  <si>
    <t>Monthly MGO</t>
  </si>
  <si>
    <t>MGO USD</t>
  </si>
  <si>
    <t>Lub USD</t>
  </si>
  <si>
    <t>Insurance</t>
  </si>
  <si>
    <t>Mob+Demob Duration</t>
  </si>
  <si>
    <t>Equipment Rate</t>
  </si>
  <si>
    <t>MGO
(ton/month)</t>
  </si>
  <si>
    <t>MGO
(USD)</t>
  </si>
  <si>
    <t>Mob Total</t>
  </si>
  <si>
    <t>Manpower</t>
  </si>
  <si>
    <t>Total Price for Staff</t>
  </si>
  <si>
    <t>Total Price for Labour</t>
  </si>
  <si>
    <t xml:space="preserve">Total Workmanship </t>
  </si>
  <si>
    <t>Total Amount</t>
  </si>
  <si>
    <t>Unit Price</t>
  </si>
  <si>
    <t>Accomandation</t>
  </si>
  <si>
    <t>Work Permit Cost</t>
  </si>
  <si>
    <t>Provision</t>
  </si>
  <si>
    <t>Social Security Costs (%29)</t>
  </si>
  <si>
    <t>m3</t>
  </si>
  <si>
    <t>Daily Production</t>
  </si>
  <si>
    <t>Backhoe Dredger</t>
  </si>
  <si>
    <t>Split Barge-1</t>
  </si>
  <si>
    <t>Split Barge-2</t>
  </si>
  <si>
    <t>Survey Boat</t>
  </si>
  <si>
    <t>Service Boat</t>
  </si>
  <si>
    <t>Tugboat</t>
  </si>
  <si>
    <t>Taxes (%6)</t>
  </si>
  <si>
    <t>Backfilling of Pipeline</t>
  </si>
  <si>
    <t>Excavator</t>
  </si>
  <si>
    <t>Roller</t>
  </si>
  <si>
    <t>Table 2: Equipment Schedule</t>
  </si>
  <si>
    <t>Table 1: Work Schedule</t>
  </si>
  <si>
    <t>Table 3: Manpower Schedule</t>
  </si>
  <si>
    <t>Table 2: Material List</t>
  </si>
  <si>
    <t xml:space="preserve">Doc. No: FR.SAT.07-A  Date of Issue : 30.03.2018  Rev. Date : ..  Rev. No : 02  </t>
  </si>
  <si>
    <t xml:space="preserve">Price Summary </t>
  </si>
  <si>
    <t xml:space="preserve">■ Project : </t>
  </si>
  <si>
    <t>Item No.</t>
    <phoneticPr fontId="2" type="noConversion"/>
  </si>
  <si>
    <t>Amount</t>
    <phoneticPr fontId="3" type="noConversion"/>
  </si>
  <si>
    <t>Remarks</t>
    <phoneticPr fontId="3" type="noConversion"/>
  </si>
  <si>
    <t>0.</t>
  </si>
  <si>
    <t>'0</t>
  </si>
  <si>
    <t>Section 9*(2/3)</t>
  </si>
  <si>
    <t>1.</t>
  </si>
  <si>
    <t>Direct</t>
  </si>
  <si>
    <t>Running Cost</t>
  </si>
  <si>
    <t>Direct Material</t>
  </si>
  <si>
    <t>Construction Materials</t>
  </si>
  <si>
    <t>Direct Equipment</t>
  </si>
  <si>
    <t>Construction Equipment</t>
  </si>
  <si>
    <t>Mark Up</t>
  </si>
  <si>
    <t>ARAS</t>
  </si>
  <si>
    <t>TAŞARON</t>
  </si>
  <si>
    <t>YAKIT</t>
  </si>
  <si>
    <t>MALZEME</t>
  </si>
  <si>
    <t>Direct Labor</t>
  </si>
  <si>
    <t>Rate*1,35</t>
  </si>
  <si>
    <t>Genel Gider ve Merkez Payı</t>
  </si>
  <si>
    <t>Direct Consumables</t>
  </si>
  <si>
    <t>Diesel, Lube and water</t>
  </si>
  <si>
    <t>Teminatlar</t>
  </si>
  <si>
    <t>Finasman</t>
  </si>
  <si>
    <t>2.</t>
  </si>
  <si>
    <t>Indirect</t>
  </si>
  <si>
    <t>Enflasyon</t>
  </si>
  <si>
    <t>Site Management&amp;Staff</t>
  </si>
  <si>
    <t>Engineer ect*1,35</t>
  </si>
  <si>
    <t>QHSE Cost</t>
  </si>
  <si>
    <t>Temporary Facilities</t>
  </si>
  <si>
    <t>Site Office, Accomodation ect</t>
  </si>
  <si>
    <t>SSK</t>
  </si>
  <si>
    <t>Indirect Consumables</t>
  </si>
  <si>
    <t>Car rent ect…</t>
  </si>
  <si>
    <t>Risk/Fire</t>
  </si>
  <si>
    <t>Kar/Zarar</t>
  </si>
  <si>
    <t>3.</t>
  </si>
  <si>
    <t>Environmental Monitoring</t>
  </si>
  <si>
    <t>Gelir Vergisi</t>
  </si>
  <si>
    <t>4.</t>
  </si>
  <si>
    <t>Permit process</t>
  </si>
  <si>
    <t>Sigorta</t>
  </si>
  <si>
    <t>Consulting for permission</t>
  </si>
  <si>
    <t>Damga Vergisi ve Noter</t>
  </si>
  <si>
    <t xml:space="preserve">Any extra charge for permit </t>
  </si>
  <si>
    <t>Stopaj</t>
  </si>
  <si>
    <t>TOPLAM</t>
  </si>
  <si>
    <t>5.</t>
  </si>
  <si>
    <t>5</t>
  </si>
  <si>
    <t>Section 9*(1/3)</t>
  </si>
  <si>
    <t>Markup-Çarpanı</t>
  </si>
  <si>
    <t>Overheads and Profits</t>
  </si>
  <si>
    <t>Approximately*1,15</t>
  </si>
  <si>
    <t>TOTAL</t>
    <phoneticPr fontId="3" type="noConversion"/>
  </si>
  <si>
    <t>■ Terms and Conditions</t>
    <phoneticPr fontId="3" type="noConversion"/>
  </si>
  <si>
    <t>[Currency :EURO]</t>
  </si>
  <si>
    <t>Mobilisation of Marine Vessel</t>
  </si>
  <si>
    <t>Divers</t>
  </si>
  <si>
    <t>Native Soil</t>
  </si>
  <si>
    <t>30-80 mm Crushed Stone</t>
  </si>
  <si>
    <t>60-300 kg ROCK</t>
  </si>
  <si>
    <t>Backfill</t>
  </si>
  <si>
    <t>Dredging of Pipeline Trench</t>
  </si>
  <si>
    <t>Sinking Pipeline</t>
  </si>
  <si>
    <t>Pipe Bedding</t>
  </si>
  <si>
    <t>m</t>
  </si>
  <si>
    <t>4.1</t>
  </si>
  <si>
    <t>4.2</t>
  </si>
  <si>
    <t>4.3</t>
  </si>
  <si>
    <t>4.4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</si>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</sst>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₺&quot;* #,##0.00_-;\-&quot;₺&quot;* #,##0.00_-;_-&quot;₺&quot;* &quot;-&quot;??_-;_-@_-"/>
    <numFmt numFmtId="164" formatCode="[$$-409]#,##0"/>
    <numFmt numFmtId="165" formatCode="#,##0.0_ "/>
    <numFmt numFmtId="166" formatCode="#,##0_ "/>
    <numFmt numFmtId="167" formatCode="0\ &quot;months&quot;"/>
    <numFmt numFmtId="168" formatCode="_-[$€-2]\ * #,##0.00_-;\-[$€-2]\ * #,##0.00_-;_-[$€-2]\ * &quot;-&quot;??_-;_-@_-"/>
    <numFmt numFmtId="169" formatCode="#,##0.00_ "/>
    <numFmt numFmtId="170" formatCode="0.0"/>
    <numFmt numFmtId="171" formatCode="0.000"/>
    <numFmt numFmtId="172" formatCode="#,##0.000"/>
    <numFmt numFmtId="173" formatCode="0.0%"/>
  </numFmts>
  <fonts count="25">
    <font>
      <sz val="11"/>
      <color theme="1"/>
      <name val="Arial Narrow"/>
      <family val="2"/>
      <charset val="162"/>
    </font>
    <font>
      <sz val="11"/>
      <color theme="1"/>
      <name val="Arial Narrow"/>
      <family val="2"/>
      <charset val="162"/>
    </font>
    <font>
      <b/>
      <sz val="11"/>
      <color theme="1"/>
      <name val="Arial Narrow"/>
      <family val="2"/>
      <charset val="162"/>
    </font>
    <font>
      <sz val="10"/>
      <name val="Arial Narrow"/>
      <family val="2"/>
      <charset val="162"/>
    </font>
    <font>
      <sz val="11"/>
      <name val="Arial Narrow"/>
      <family val="2"/>
      <charset val="162"/>
    </font>
    <font>
      <b/>
      <sz val="11"/>
      <name val="Arial Narrow"/>
      <family val="2"/>
      <charset val="162"/>
    </font>
    <font>
      <b/>
      <sz val="16"/>
      <color theme="1"/>
      <name val="Arial Narrow"/>
      <family val="2"/>
      <charset val="162"/>
    </font>
    <font>
      <b/>
      <sz val="16"/>
      <name val="Arial Narrow"/>
      <family val="2"/>
      <charset val="162"/>
    </font>
    <font>
      <b/>
      <sz val="10"/>
      <name val="Arial Narrow"/>
      <family val="2"/>
      <charset val="162"/>
    </font>
    <font>
      <sz val="10"/>
      <color rgb="FF00B0F0"/>
      <name val="Arial Narrow"/>
      <family val="2"/>
      <charset val="162"/>
    </font>
    <font>
      <i/>
      <sz val="11"/>
      <color theme="1"/>
      <name val="Arial Narrow"/>
      <family val="2"/>
      <charset val="162"/>
    </font>
    <font>
      <sz val="11"/>
      <color theme="1"/>
      <name val="굴림"/>
      <family val="2"/>
      <charset val="129"/>
    </font>
    <font>
      <sz val="11"/>
      <color theme="1"/>
      <name val="Calibri"/>
      <family val="3"/>
      <charset val="129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2"/>
      <color rgb="FF0000CC"/>
      <name val="Calibri"/>
      <family val="3"/>
      <charset val="129"/>
      <scheme val="minor"/>
    </font>
    <font>
      <b/>
      <sz val="20"/>
      <color indexed="8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10"/>
      <color indexed="8"/>
      <name val="Calibri"/>
      <family val="3"/>
      <charset val="129"/>
      <scheme val="minor"/>
    </font>
    <font>
      <sz val="12"/>
      <color theme="1"/>
      <name val="Avenir Next Condensed Regular"/>
    </font>
    <font>
      <b/>
      <sz val="12"/>
      <color indexed="8"/>
      <name val="Calibri"/>
      <family val="3"/>
      <charset val="129"/>
      <scheme val="minor"/>
    </font>
    <font>
      <sz val="12"/>
      <color indexed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>
      <alignment vertical="center"/>
    </xf>
    <xf numFmtId="0" fontId="13" fillId="0" borderId="0"/>
    <xf numFmtId="9" fontId="11" fillId="0" borderId="0" applyFont="0" applyFill="0" applyBorder="0" applyAlignment="0" applyProtection="0"/>
  </cellStyleXfs>
  <cellXfs count="21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6" xfId="0" applyFont="1" applyFill="1" applyBorder="1" applyAlignment="1">
      <alignment vertical="center"/>
    </xf>
    <xf numFmtId="164" fontId="4" fillId="0" borderId="7" xfId="0" applyNumberFormat="1" applyFont="1" applyFill="1" applyBorder="1" applyAlignment="1">
      <alignment vertical="center" shrinkToFit="1"/>
    </xf>
    <xf numFmtId="165" fontId="4" fillId="0" borderId="7" xfId="0" applyNumberFormat="1" applyFont="1" applyFill="1" applyBorder="1" applyAlignment="1">
      <alignment vertical="center" shrinkToFit="1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/>
    <xf numFmtId="0" fontId="5" fillId="2" borderId="9" xfId="0" applyFont="1" applyFill="1" applyBorder="1" applyAlignment="1">
      <alignment horizontal="center" vertical="center" shrinkToFit="1"/>
    </xf>
    <xf numFmtId="0" fontId="2" fillId="3" borderId="2" xfId="0" applyFont="1" applyFill="1" applyBorder="1" applyAlignment="1"/>
    <xf numFmtId="0" fontId="0" fillId="3" borderId="10" xfId="0" applyFont="1" applyFill="1" applyBorder="1"/>
    <xf numFmtId="41" fontId="5" fillId="2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6" fillId="0" borderId="11" xfId="0" applyFont="1" applyBorder="1" applyAlignment="1"/>
    <xf numFmtId="0" fontId="7" fillId="0" borderId="0" xfId="0" applyFont="1" applyAlignment="1">
      <alignment vertical="center"/>
    </xf>
    <xf numFmtId="0" fontId="3" fillId="0" borderId="14" xfId="0" applyFont="1" applyFill="1" applyBorder="1" applyAlignment="1">
      <alignment vertical="center"/>
    </xf>
    <xf numFmtId="0" fontId="0" fillId="0" borderId="1" xfId="0" applyBorder="1" applyAlignment="1">
      <alignment horizontal="left" indent="1"/>
    </xf>
    <xf numFmtId="3" fontId="0" fillId="0" borderId="1" xfId="0" applyNumberFormat="1" applyBorder="1" applyAlignment="1">
      <alignment horizontal="left" indent="1"/>
    </xf>
    <xf numFmtId="0" fontId="3" fillId="0" borderId="6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left" wrapText="1"/>
    </xf>
    <xf numFmtId="0" fontId="3" fillId="0" borderId="19" xfId="0" applyFont="1" applyFill="1" applyBorder="1" applyAlignment="1">
      <alignment vertical="center"/>
    </xf>
    <xf numFmtId="3" fontId="0" fillId="0" borderId="1" xfId="0" applyNumberFormat="1" applyFill="1" applyBorder="1" applyAlignment="1">
      <alignment horizontal="left" indent="1"/>
    </xf>
    <xf numFmtId="0" fontId="0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Border="1" applyAlignment="1"/>
    <xf numFmtId="0" fontId="4" fillId="0" borderId="0" xfId="0" applyFont="1" applyAlignment="1">
      <alignment horizontal="right" vertical="center"/>
    </xf>
    <xf numFmtId="0" fontId="2" fillId="2" borderId="12" xfId="0" applyFont="1" applyFill="1" applyBorder="1" applyAlignment="1">
      <alignment horizontal="left"/>
    </xf>
    <xf numFmtId="41" fontId="5" fillId="2" borderId="13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2" fillId="2" borderId="15" xfId="0" applyFont="1" applyFill="1" applyBorder="1" applyAlignment="1"/>
    <xf numFmtId="0" fontId="5" fillId="2" borderId="7" xfId="0" applyFont="1" applyFill="1" applyBorder="1" applyAlignment="1">
      <alignment horizontal="center" vertical="center" shrinkToFit="1"/>
    </xf>
    <xf numFmtId="0" fontId="5" fillId="2" borderId="22" xfId="0" applyFont="1" applyFill="1" applyBorder="1" applyAlignment="1">
      <alignment horizontal="center" vertical="center"/>
    </xf>
    <xf numFmtId="166" fontId="4" fillId="0" borderId="7" xfId="0" applyNumberFormat="1" applyFont="1" applyFill="1" applyBorder="1" applyAlignment="1">
      <alignment horizontal="left" vertical="center" indent="1" shrinkToFit="1"/>
    </xf>
    <xf numFmtId="0" fontId="2" fillId="0" borderId="11" xfId="0" applyFont="1" applyBorder="1" applyAlignment="1"/>
    <xf numFmtId="167" fontId="0" fillId="0" borderId="0" xfId="0" applyNumberFormat="1" applyFont="1"/>
    <xf numFmtId="0" fontId="2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wrapText="1" indent="1"/>
    </xf>
    <xf numFmtId="164" fontId="4" fillId="0" borderId="1" xfId="0" applyNumberFormat="1" applyFont="1" applyFill="1" applyBorder="1" applyAlignment="1">
      <alignment vertical="center" shrinkToFit="1"/>
    </xf>
    <xf numFmtId="164" fontId="0" fillId="0" borderId="1" xfId="0" applyNumberFormat="1" applyFont="1" applyBorder="1"/>
    <xf numFmtId="0" fontId="4" fillId="0" borderId="1" xfId="0" applyFont="1" applyFill="1" applyBorder="1" applyAlignment="1">
      <alignment horizontal="left" vertical="center" indent="1"/>
    </xf>
    <xf numFmtId="168" fontId="4" fillId="0" borderId="1" xfId="1" applyNumberFormat="1" applyFont="1" applyFill="1" applyBorder="1" applyAlignment="1">
      <alignment vertical="center"/>
    </xf>
    <xf numFmtId="168" fontId="0" fillId="0" borderId="1" xfId="0" applyNumberFormat="1" applyFont="1" applyBorder="1"/>
    <xf numFmtId="168" fontId="0" fillId="0" borderId="0" xfId="0" applyNumberFormat="1" applyFont="1"/>
    <xf numFmtId="168" fontId="4" fillId="0" borderId="1" xfId="0" applyNumberFormat="1" applyFont="1" applyFill="1" applyBorder="1" applyAlignment="1">
      <alignment vertical="center" shrinkToFit="1"/>
    </xf>
    <xf numFmtId="168" fontId="0" fillId="0" borderId="0" xfId="2" applyNumberFormat="1" applyFont="1"/>
    <xf numFmtId="168" fontId="4" fillId="0" borderId="7" xfId="0" applyNumberFormat="1" applyFont="1" applyFill="1" applyBorder="1" applyAlignment="1">
      <alignment vertical="center" shrinkToFit="1"/>
    </xf>
    <xf numFmtId="168" fontId="4" fillId="0" borderId="0" xfId="0" applyNumberFormat="1" applyFont="1" applyAlignment="1">
      <alignment vertical="center"/>
    </xf>
    <xf numFmtId="168" fontId="4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 indent="1"/>
    </xf>
    <xf numFmtId="168" fontId="2" fillId="3" borderId="1" xfId="0" applyNumberFormat="1" applyFont="1" applyFill="1" applyBorder="1" applyAlignment="1">
      <alignment horizontal="left" vertical="center" indent="1"/>
    </xf>
    <xf numFmtId="168" fontId="5" fillId="3" borderId="1" xfId="0" applyNumberFormat="1" applyFont="1" applyFill="1" applyBorder="1" applyAlignment="1">
      <alignment horizontal="left" vertical="center" wrapText="1" indent="1"/>
    </xf>
    <xf numFmtId="169" fontId="4" fillId="0" borderId="7" xfId="0" applyNumberFormat="1" applyFont="1" applyFill="1" applyBorder="1" applyAlignment="1">
      <alignment vertical="center" shrinkToFit="1"/>
    </xf>
    <xf numFmtId="170" fontId="4" fillId="0" borderId="7" xfId="0" applyNumberFormat="1" applyFont="1" applyFill="1" applyBorder="1" applyAlignment="1">
      <alignment vertical="center" shrinkToFit="1"/>
    </xf>
    <xf numFmtId="0" fontId="0" fillId="0" borderId="15" xfId="0" applyFont="1" applyBorder="1" applyAlignment="1">
      <alignment horizontal="left" indent="1"/>
    </xf>
    <xf numFmtId="0" fontId="0" fillId="0" borderId="1" xfId="0" applyFont="1" applyBorder="1" applyAlignment="1">
      <alignment horizontal="center"/>
    </xf>
    <xf numFmtId="0" fontId="2" fillId="0" borderId="12" xfId="0" applyFont="1" applyFill="1" applyBorder="1"/>
    <xf numFmtId="0" fontId="2" fillId="0" borderId="12" xfId="0" applyFont="1" applyFill="1" applyBorder="1" applyAlignment="1">
      <alignment horizontal="left"/>
    </xf>
    <xf numFmtId="0" fontId="2" fillId="0" borderId="12" xfId="0" applyFont="1" applyFill="1" applyBorder="1" applyAlignment="1">
      <alignment horizontal="left" indent="1"/>
    </xf>
    <xf numFmtId="171" fontId="2" fillId="0" borderId="12" xfId="0" applyNumberFormat="1" applyFont="1" applyFill="1" applyBorder="1" applyAlignment="1">
      <alignment horizontal="left" indent="1"/>
    </xf>
    <xf numFmtId="3" fontId="2" fillId="0" borderId="12" xfId="0" applyNumberFormat="1" applyFont="1" applyBorder="1" applyAlignment="1">
      <alignment horizontal="left" indent="1"/>
    </xf>
    <xf numFmtId="0" fontId="2" fillId="0" borderId="16" xfId="0" applyFont="1" applyBorder="1"/>
    <xf numFmtId="0" fontId="2" fillId="0" borderId="16" xfId="0" applyFont="1" applyFill="1" applyBorder="1" applyAlignment="1">
      <alignment horizontal="left" indent="1"/>
    </xf>
    <xf numFmtId="3" fontId="2" fillId="0" borderId="16" xfId="0" applyNumberFormat="1" applyFont="1" applyFill="1" applyBorder="1" applyAlignment="1">
      <alignment horizontal="left" indent="1"/>
    </xf>
    <xf numFmtId="172" fontId="2" fillId="0" borderId="16" xfId="0" applyNumberFormat="1" applyFont="1" applyFill="1" applyBorder="1" applyAlignment="1">
      <alignment horizontal="left" indent="1"/>
    </xf>
    <xf numFmtId="3" fontId="2" fillId="0" borderId="16" xfId="0" applyNumberFormat="1" applyFont="1" applyBorder="1" applyAlignment="1">
      <alignment horizontal="left" indent="1"/>
    </xf>
    <xf numFmtId="168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5" fontId="9" fillId="0" borderId="29" xfId="0" applyNumberFormat="1" applyFont="1" applyFill="1" applyBorder="1" applyAlignment="1">
      <alignment vertical="center" shrinkToFit="1"/>
    </xf>
    <xf numFmtId="165" fontId="9" fillId="0" borderId="30" xfId="0" applyNumberFormat="1" applyFont="1" applyFill="1" applyBorder="1" applyAlignment="1">
      <alignment vertical="center" shrinkToFit="1"/>
    </xf>
    <xf numFmtId="165" fontId="9" fillId="0" borderId="31" xfId="0" applyNumberFormat="1" applyFont="1" applyFill="1" applyBorder="1" applyAlignment="1">
      <alignment vertical="center" shrinkToFit="1"/>
    </xf>
    <xf numFmtId="165" fontId="9" fillId="0" borderId="32" xfId="0" applyNumberFormat="1" applyFont="1" applyFill="1" applyBorder="1" applyAlignment="1">
      <alignment vertical="center" shrinkToFit="1"/>
    </xf>
    <xf numFmtId="165" fontId="9" fillId="0" borderId="21" xfId="0" applyNumberFormat="1" applyFont="1" applyFill="1" applyBorder="1" applyAlignment="1">
      <alignment vertical="center" shrinkToFit="1"/>
    </xf>
    <xf numFmtId="165" fontId="9" fillId="0" borderId="33" xfId="0" applyNumberFormat="1" applyFont="1" applyFill="1" applyBorder="1" applyAlignment="1">
      <alignment vertical="center" shrinkToFit="1"/>
    </xf>
    <xf numFmtId="0" fontId="3" fillId="0" borderId="34" xfId="0" applyFont="1" applyFill="1" applyBorder="1" applyAlignment="1">
      <alignment vertical="center"/>
    </xf>
    <xf numFmtId="0" fontId="3" fillId="0" borderId="35" xfId="0" applyFont="1" applyFill="1" applyBorder="1" applyAlignment="1">
      <alignment vertical="center"/>
    </xf>
    <xf numFmtId="0" fontId="3" fillId="0" borderId="36" xfId="0" applyFont="1" applyFill="1" applyBorder="1" applyAlignment="1">
      <alignment vertical="center"/>
    </xf>
    <xf numFmtId="0" fontId="6" fillId="0" borderId="0" xfId="0" applyFont="1" applyBorder="1" applyAlignment="1"/>
    <xf numFmtId="41" fontId="8" fillId="2" borderId="40" xfId="0" applyNumberFormat="1" applyFont="1" applyFill="1" applyBorder="1" applyAlignment="1">
      <alignment horizontal="center" vertical="center"/>
    </xf>
    <xf numFmtId="0" fontId="0" fillId="0" borderId="16" xfId="0" applyFont="1" applyBorder="1"/>
    <xf numFmtId="0" fontId="0" fillId="0" borderId="17" xfId="0" applyFont="1" applyBorder="1" applyAlignment="1">
      <alignment horizontal="left" indent="1"/>
    </xf>
    <xf numFmtId="165" fontId="4" fillId="0" borderId="18" xfId="0" applyNumberFormat="1" applyFont="1" applyFill="1" applyBorder="1" applyAlignment="1">
      <alignment vertical="center" shrinkToFit="1"/>
    </xf>
    <xf numFmtId="164" fontId="4" fillId="0" borderId="18" xfId="0" applyNumberFormat="1" applyFont="1" applyFill="1" applyBorder="1" applyAlignment="1">
      <alignment vertical="center" shrinkToFit="1"/>
    </xf>
    <xf numFmtId="0" fontId="4" fillId="0" borderId="19" xfId="0" applyFont="1" applyFill="1" applyBorder="1" applyAlignment="1">
      <alignment vertical="center"/>
    </xf>
    <xf numFmtId="168" fontId="4" fillId="0" borderId="27" xfId="0" applyNumberFormat="1" applyFont="1" applyBorder="1" applyAlignment="1">
      <alignment vertical="center"/>
    </xf>
    <xf numFmtId="0" fontId="0" fillId="0" borderId="18" xfId="0" applyFont="1" applyBorder="1" applyAlignment="1">
      <alignment horizontal="left" indent="1"/>
    </xf>
    <xf numFmtId="166" fontId="4" fillId="0" borderId="18" xfId="0" applyNumberFormat="1" applyFont="1" applyFill="1" applyBorder="1" applyAlignment="1">
      <alignment horizontal="left" vertical="center" indent="1" shrinkToFit="1"/>
    </xf>
    <xf numFmtId="168" fontId="4" fillId="0" borderId="18" xfId="0" applyNumberFormat="1" applyFont="1" applyFill="1" applyBorder="1" applyAlignment="1">
      <alignment vertical="center" shrinkToFit="1"/>
    </xf>
    <xf numFmtId="166" fontId="4" fillId="0" borderId="1" xfId="0" applyNumberFormat="1" applyFont="1" applyBorder="1" applyAlignment="1">
      <alignment vertical="center"/>
    </xf>
    <xf numFmtId="0" fontId="0" fillId="0" borderId="45" xfId="0" applyFont="1" applyBorder="1"/>
    <xf numFmtId="0" fontId="0" fillId="0" borderId="0" xfId="0" applyFont="1" applyBorder="1"/>
    <xf numFmtId="0" fontId="4" fillId="0" borderId="0" xfId="0" applyFont="1" applyBorder="1" applyAlignment="1">
      <alignment vertical="center"/>
    </xf>
    <xf numFmtId="166" fontId="4" fillId="0" borderId="27" xfId="0" applyNumberFormat="1" applyFont="1" applyBorder="1" applyAlignment="1">
      <alignment vertical="center"/>
    </xf>
    <xf numFmtId="165" fontId="9" fillId="0" borderId="34" xfId="0" applyNumberFormat="1" applyFont="1" applyFill="1" applyBorder="1" applyAlignment="1">
      <alignment vertical="center" shrinkToFit="1"/>
    </xf>
    <xf numFmtId="165" fontId="9" fillId="0" borderId="35" xfId="0" applyNumberFormat="1" applyFont="1" applyFill="1" applyBorder="1" applyAlignment="1">
      <alignment vertical="center" shrinkToFit="1"/>
    </xf>
    <xf numFmtId="165" fontId="9" fillId="0" borderId="36" xfId="0" applyNumberFormat="1" applyFont="1" applyFill="1" applyBorder="1" applyAlignment="1">
      <alignment vertical="center" shrinkToFit="1"/>
    </xf>
    <xf numFmtId="0" fontId="12" fillId="0" borderId="0" xfId="3" applyFont="1">
      <alignment vertical="center"/>
    </xf>
    <xf numFmtId="0" fontId="15" fillId="4" borderId="0" xfId="3" applyNumberFormat="1" applyFont="1" applyFill="1" applyBorder="1" applyAlignment="1">
      <alignment horizontal="center" vertical="center"/>
    </xf>
    <xf numFmtId="0" fontId="17" fillId="4" borderId="0" xfId="3" applyNumberFormat="1" applyFont="1" applyFill="1" applyBorder="1" applyAlignment="1">
      <alignment vertical="center"/>
    </xf>
    <xf numFmtId="0" fontId="18" fillId="4" borderId="0" xfId="3" applyNumberFormat="1" applyFont="1" applyFill="1" applyAlignment="1">
      <alignment vertical="center"/>
    </xf>
    <xf numFmtId="0" fontId="17" fillId="4" borderId="0" xfId="3" applyNumberFormat="1" applyFont="1" applyFill="1" applyAlignment="1">
      <alignment horizontal="right" vertical="center"/>
    </xf>
    <xf numFmtId="0" fontId="19" fillId="2" borderId="16" xfId="3" applyNumberFormat="1" applyFont="1" applyFill="1" applyBorder="1" applyAlignment="1">
      <alignment horizontal="center" vertical="center"/>
    </xf>
    <xf numFmtId="0" fontId="20" fillId="0" borderId="46" xfId="3" quotePrefix="1" applyNumberFormat="1" applyFont="1" applyFill="1" applyBorder="1" applyAlignment="1">
      <alignment horizontal="left" vertical="center" indent="1"/>
    </xf>
    <xf numFmtId="0" fontId="20" fillId="0" borderId="46" xfId="3" applyNumberFormat="1" applyFont="1" applyFill="1" applyBorder="1" applyAlignment="1">
      <alignment horizontal="left" vertical="center" indent="1"/>
    </xf>
    <xf numFmtId="166" fontId="20" fillId="0" borderId="46" xfId="3" applyNumberFormat="1" applyFont="1" applyFill="1" applyBorder="1" applyAlignment="1">
      <alignment horizontal="right" vertical="center"/>
    </xf>
    <xf numFmtId="0" fontId="20" fillId="0" borderId="46" xfId="3" applyNumberFormat="1" applyFont="1" applyFill="1" applyBorder="1" applyAlignment="1">
      <alignment vertical="center"/>
    </xf>
    <xf numFmtId="0" fontId="18" fillId="4" borderId="47" xfId="3" applyNumberFormat="1" applyFont="1" applyFill="1" applyBorder="1" applyAlignment="1">
      <alignment horizontal="left" vertical="center" indent="1"/>
    </xf>
    <xf numFmtId="0" fontId="18" fillId="4" borderId="47" xfId="3" applyNumberFormat="1" applyFont="1" applyFill="1" applyBorder="1" applyAlignment="1">
      <alignment horizontal="left" vertical="center"/>
    </xf>
    <xf numFmtId="166" fontId="18" fillId="4" borderId="47" xfId="3" applyNumberFormat="1" applyFont="1" applyFill="1" applyBorder="1" applyAlignment="1">
      <alignment horizontal="right" vertical="center"/>
    </xf>
    <xf numFmtId="166" fontId="21" fillId="4" borderId="47" xfId="3" applyNumberFormat="1" applyFont="1" applyFill="1" applyBorder="1" applyAlignment="1">
      <alignment horizontal="right" vertical="center" wrapText="1"/>
    </xf>
    <xf numFmtId="0" fontId="18" fillId="4" borderId="47" xfId="3" applyNumberFormat="1" applyFont="1" applyFill="1" applyBorder="1" applyAlignment="1">
      <alignment vertical="center"/>
    </xf>
    <xf numFmtId="0" fontId="19" fillId="0" borderId="11" xfId="3" applyNumberFormat="1" applyFont="1" applyFill="1" applyBorder="1" applyAlignment="1">
      <alignment horizontal="center" vertical="center"/>
    </xf>
    <xf numFmtId="0" fontId="19" fillId="2" borderId="10" xfId="3" applyNumberFormat="1" applyFont="1" applyFill="1" applyBorder="1" applyAlignment="1">
      <alignment horizontal="center" vertical="center"/>
    </xf>
    <xf numFmtId="166" fontId="18" fillId="0" borderId="47" xfId="3" applyNumberFormat="1" applyFont="1" applyFill="1" applyBorder="1" applyAlignment="1">
      <alignment horizontal="right" vertical="center"/>
    </xf>
    <xf numFmtId="0" fontId="19" fillId="2" borderId="1" xfId="3" applyNumberFormat="1" applyFont="1" applyFill="1" applyBorder="1" applyAlignment="1">
      <alignment horizontal="left" vertical="center"/>
    </xf>
    <xf numFmtId="10" fontId="22" fillId="0" borderId="1" xfId="5" applyNumberFormat="1" applyFont="1" applyBorder="1"/>
    <xf numFmtId="0" fontId="18" fillId="4" borderId="48" xfId="3" applyNumberFormat="1" applyFont="1" applyFill="1" applyBorder="1" applyAlignment="1">
      <alignment horizontal="left" vertical="center"/>
    </xf>
    <xf numFmtId="0" fontId="20" fillId="0" borderId="47" xfId="3" quotePrefix="1" applyNumberFormat="1" applyFont="1" applyFill="1" applyBorder="1" applyAlignment="1">
      <alignment horizontal="left" vertical="center" indent="1"/>
    </xf>
    <xf numFmtId="0" fontId="20" fillId="0" borderId="47" xfId="3" applyNumberFormat="1" applyFont="1" applyFill="1" applyBorder="1" applyAlignment="1">
      <alignment horizontal="left" vertical="center" indent="1"/>
    </xf>
    <xf numFmtId="3" fontId="12" fillId="0" borderId="48" xfId="3" applyNumberFormat="1" applyFont="1" applyFill="1" applyBorder="1" applyAlignment="1">
      <alignment horizontal="left" vertical="center"/>
    </xf>
    <xf numFmtId="0" fontId="19" fillId="0" borderId="0" xfId="3" applyFont="1">
      <alignment vertical="center"/>
    </xf>
    <xf numFmtId="0" fontId="20" fillId="4" borderId="47" xfId="3" applyNumberFormat="1" applyFont="1" applyFill="1" applyBorder="1" applyAlignment="1">
      <alignment vertical="center"/>
    </xf>
    <xf numFmtId="3" fontId="12" fillId="0" borderId="48" xfId="3" applyNumberFormat="1" applyFont="1" applyFill="1" applyBorder="1" applyAlignment="1">
      <alignment horizontal="left" vertical="center" indent="1"/>
    </xf>
    <xf numFmtId="10" fontId="22" fillId="0" borderId="1" xfId="3" applyNumberFormat="1" applyFont="1" applyBorder="1" applyAlignment="1"/>
    <xf numFmtId="173" fontId="22" fillId="0" borderId="1" xfId="3" applyNumberFormat="1" applyFont="1" applyBorder="1" applyAlignment="1"/>
    <xf numFmtId="0" fontId="18" fillId="4" borderId="47" xfId="3" quotePrefix="1" applyNumberFormat="1" applyFont="1" applyFill="1" applyBorder="1" applyAlignment="1">
      <alignment horizontal="left" vertical="center" indent="1"/>
    </xf>
    <xf numFmtId="171" fontId="22" fillId="0" borderId="1" xfId="3" applyNumberFormat="1" applyFont="1" applyBorder="1" applyAlignment="1"/>
    <xf numFmtId="166" fontId="20" fillId="4" borderId="47" xfId="3" applyNumberFormat="1" applyFont="1" applyFill="1" applyBorder="1" applyAlignment="1">
      <alignment horizontal="right" vertical="center"/>
    </xf>
    <xf numFmtId="0" fontId="23" fillId="2" borderId="1" xfId="3" applyNumberFormat="1" applyFont="1" applyFill="1" applyBorder="1" applyAlignment="1">
      <alignment horizontal="left" vertical="center" indent="1"/>
    </xf>
    <xf numFmtId="0" fontId="23" fillId="2" borderId="1" xfId="3" applyNumberFormat="1" applyFont="1" applyFill="1" applyBorder="1" applyAlignment="1">
      <alignment horizontal="center" vertical="center"/>
    </xf>
    <xf numFmtId="166" fontId="23" fillId="2" borderId="1" xfId="3" applyNumberFormat="1" applyFont="1" applyFill="1" applyBorder="1" applyAlignment="1">
      <alignment horizontal="right" vertical="center"/>
    </xf>
    <xf numFmtId="0" fontId="23" fillId="2" borderId="1" xfId="3" applyNumberFormat="1" applyFont="1" applyFill="1" applyBorder="1" applyAlignment="1">
      <alignment vertical="center"/>
    </xf>
    <xf numFmtId="1" fontId="19" fillId="0" borderId="0" xfId="3" applyNumberFormat="1" applyFont="1">
      <alignment vertical="center"/>
    </xf>
    <xf numFmtId="0" fontId="23" fillId="4" borderId="2" xfId="3" applyNumberFormat="1" applyFont="1" applyFill="1" applyBorder="1" applyAlignment="1">
      <alignment vertical="center"/>
    </xf>
    <xf numFmtId="0" fontId="18" fillId="4" borderId="5" xfId="3" applyNumberFormat="1" applyFont="1" applyFill="1" applyBorder="1" applyAlignment="1">
      <alignment horizontal="left" vertical="center" indent="1"/>
    </xf>
    <xf numFmtId="166" fontId="18" fillId="4" borderId="5" xfId="3" applyNumberFormat="1" applyFont="1" applyFill="1" applyBorder="1" applyAlignment="1">
      <alignment horizontal="right" vertical="center"/>
    </xf>
    <xf numFmtId="0" fontId="18" fillId="4" borderId="26" xfId="3" applyNumberFormat="1" applyFont="1" applyFill="1" applyBorder="1" applyAlignment="1">
      <alignment vertical="center"/>
    </xf>
    <xf numFmtId="0" fontId="18" fillId="4" borderId="49" xfId="3" applyNumberFormat="1" applyFont="1" applyFill="1" applyBorder="1" applyAlignment="1">
      <alignment horizontal="left" vertical="center" indent="1"/>
    </xf>
    <xf numFmtId="0" fontId="18" fillId="4" borderId="0" xfId="3" applyNumberFormat="1" applyFont="1" applyFill="1" applyBorder="1" applyAlignment="1">
      <alignment horizontal="left" vertical="center" indent="1"/>
    </xf>
    <xf numFmtId="166" fontId="18" fillId="4" borderId="0" xfId="3" applyNumberFormat="1" applyFont="1" applyFill="1" applyBorder="1" applyAlignment="1">
      <alignment horizontal="right" vertical="center"/>
    </xf>
    <xf numFmtId="0" fontId="18" fillId="4" borderId="50" xfId="3" applyNumberFormat="1" applyFont="1" applyFill="1" applyBorder="1" applyAlignment="1">
      <alignment vertical="center"/>
    </xf>
    <xf numFmtId="0" fontId="18" fillId="4" borderId="42" xfId="3" applyNumberFormat="1" applyFont="1" applyFill="1" applyBorder="1" applyAlignment="1">
      <alignment horizontal="left" vertical="center" indent="1"/>
    </xf>
    <xf numFmtId="0" fontId="18" fillId="4" borderId="11" xfId="3" applyNumberFormat="1" applyFont="1" applyFill="1" applyBorder="1" applyAlignment="1">
      <alignment horizontal="left" vertical="center" indent="1"/>
    </xf>
    <xf numFmtId="166" fontId="18" fillId="4" borderId="11" xfId="3" applyNumberFormat="1" applyFont="1" applyFill="1" applyBorder="1" applyAlignment="1">
      <alignment horizontal="right" vertical="center"/>
    </xf>
    <xf numFmtId="0" fontId="18" fillId="4" borderId="44" xfId="3" applyNumberFormat="1" applyFont="1" applyFill="1" applyBorder="1" applyAlignment="1">
      <alignment vertical="center"/>
    </xf>
    <xf numFmtId="0" fontId="24" fillId="4" borderId="0" xfId="3" applyNumberFormat="1" applyFont="1" applyFill="1" applyAlignment="1">
      <alignment vertical="center"/>
    </xf>
    <xf numFmtId="9" fontId="12" fillId="0" borderId="0" xfId="2" applyFont="1" applyAlignment="1">
      <alignment vertical="center"/>
    </xf>
    <xf numFmtId="169" fontId="4" fillId="0" borderId="7" xfId="0" applyNumberFormat="1" applyFont="1" applyFill="1" applyBorder="1" applyAlignment="1">
      <alignment horizontal="center" vertical="center" shrinkToFit="1"/>
    </xf>
    <xf numFmtId="169" fontId="2" fillId="0" borderId="12" xfId="0" applyNumberFormat="1" applyFont="1" applyFill="1" applyBorder="1" applyAlignment="1">
      <alignment horizontal="left" indent="1"/>
    </xf>
    <xf numFmtId="169" fontId="0" fillId="0" borderId="1" xfId="0" applyNumberFormat="1" applyBorder="1" applyAlignment="1">
      <alignment horizontal="left" indent="1"/>
    </xf>
    <xf numFmtId="169" fontId="2" fillId="0" borderId="16" xfId="0" applyNumberFormat="1" applyFont="1" applyBorder="1" applyAlignment="1">
      <alignment horizontal="left" indent="1"/>
    </xf>
    <xf numFmtId="0" fontId="2" fillId="3" borderId="43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left" indent="1"/>
    </xf>
    <xf numFmtId="0" fontId="10" fillId="0" borderId="1" xfId="0" applyFont="1" applyBorder="1" applyAlignment="1">
      <alignment horizontal="left" indent="1"/>
    </xf>
    <xf numFmtId="0" fontId="0" fillId="0" borderId="1" xfId="0" quotePrefix="1" applyFont="1" applyBorder="1" applyAlignment="1">
      <alignment horizontal="right"/>
    </xf>
    <xf numFmtId="0" fontId="14" fillId="0" borderId="0" xfId="4" applyFont="1" applyAlignment="1">
      <alignment horizontal="left"/>
    </xf>
    <xf numFmtId="0" fontId="16" fillId="4" borderId="0" xfId="3" applyNumberFormat="1" applyFont="1" applyFill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8" fillId="2" borderId="4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shrinkToFit="1"/>
    </xf>
    <xf numFmtId="0" fontId="8" fillId="2" borderId="24" xfId="0" applyFont="1" applyFill="1" applyBorder="1" applyAlignment="1">
      <alignment horizontal="center" vertical="center" shrinkToFit="1"/>
    </xf>
    <xf numFmtId="0" fontId="8" fillId="2" borderId="41" xfId="0" applyFont="1" applyFill="1" applyBorder="1" applyAlignment="1">
      <alignment horizontal="center" vertical="center" shrinkToFit="1"/>
    </xf>
    <xf numFmtId="0" fontId="8" fillId="2" borderId="25" xfId="0" applyFont="1" applyFill="1" applyBorder="1" applyAlignment="1">
      <alignment horizontal="center" vertical="center" shrinkToFi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left" indent="1"/>
    </xf>
    <xf numFmtId="0" fontId="2" fillId="2" borderId="13" xfId="0" applyFont="1" applyFill="1" applyBorder="1" applyAlignment="1">
      <alignment horizontal="left" indent="1"/>
    </xf>
    <xf numFmtId="0" fontId="2" fillId="2" borderId="14" xfId="0" applyFont="1" applyFill="1" applyBorder="1" applyAlignment="1">
      <alignment horizontal="left" indent="1"/>
    </xf>
    <xf numFmtId="0" fontId="2" fillId="2" borderId="15" xfId="0" applyFont="1" applyFill="1" applyBorder="1" applyAlignment="1">
      <alignment horizontal="left" indent="1"/>
    </xf>
    <xf numFmtId="0" fontId="2" fillId="2" borderId="7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left" vertical="center" indent="1"/>
    </xf>
    <xf numFmtId="0" fontId="0" fillId="0" borderId="5" xfId="0" applyFont="1" applyBorder="1" applyAlignment="1">
      <alignment horizontal="center"/>
    </xf>
    <xf numFmtId="0" fontId="0" fillId="0" borderId="0" xfId="0" applyFont="1" applyBorder="1" applyAlignment="1"/>
    <xf numFmtId="169" fontId="4" fillId="0" borderId="7" xfId="0" applyNumberFormat="1" applyFont="1" applyFill="1" applyBorder="1" applyAlignment="1">
      <alignment horizontal="left" vertical="center" indent="1" shrinkToFit="1"/>
    </xf>
    <xf numFmtId="0" fontId="2" fillId="3" borderId="45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 shrinkToFit="1"/>
    </xf>
    <xf numFmtId="0" fontId="8" fillId="2" borderId="9" xfId="0" applyFont="1" applyFill="1" applyBorder="1" applyAlignment="1">
      <alignment horizontal="center" vertical="center" shrinkToFit="1"/>
    </xf>
    <xf numFmtId="0" fontId="8" fillId="2" borderId="52" xfId="0" applyFont="1" applyFill="1" applyBorder="1" applyAlignment="1">
      <alignment horizontal="center" vertical="center" shrinkToFit="1"/>
    </xf>
    <xf numFmtId="0" fontId="8" fillId="2" borderId="53" xfId="0" applyFont="1" applyFill="1" applyBorder="1" applyAlignment="1">
      <alignment horizontal="center" vertic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0" fillId="0" borderId="12" xfId="0" applyFont="1" applyBorder="1"/>
    <xf numFmtId="0" fontId="0" fillId="0" borderId="28" xfId="0" applyFont="1" applyBorder="1" applyAlignment="1">
      <alignment horizontal="left" indent="1"/>
    </xf>
    <xf numFmtId="169" fontId="4" fillId="0" borderId="13" xfId="0" applyNumberFormat="1" applyFont="1" applyFill="1" applyBorder="1" applyAlignment="1">
      <alignment horizontal="left" vertical="center" indent="1" shrinkToFit="1"/>
    </xf>
    <xf numFmtId="168" fontId="4" fillId="0" borderId="13" xfId="0" applyNumberFormat="1" applyFont="1" applyFill="1" applyBorder="1" applyAlignment="1">
      <alignment vertical="center" shrinkToFit="1"/>
    </xf>
    <xf numFmtId="0" fontId="4" fillId="0" borderId="14" xfId="0" applyFont="1" applyFill="1" applyBorder="1" applyAlignment="1">
      <alignment vertical="center"/>
    </xf>
    <xf numFmtId="169" fontId="4" fillId="0" borderId="18" xfId="0" applyNumberFormat="1" applyFont="1" applyFill="1" applyBorder="1" applyAlignment="1">
      <alignment horizontal="center" vertical="center" shrinkToFit="1"/>
    </xf>
    <xf numFmtId="0" fontId="3" fillId="0" borderId="32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165" fontId="9" fillId="3" borderId="32" xfId="0" applyNumberFormat="1" applyFont="1" applyFill="1" applyBorder="1" applyAlignment="1">
      <alignment vertical="center" shrinkToFit="1"/>
    </xf>
    <xf numFmtId="165" fontId="9" fillId="3" borderId="21" xfId="0" applyNumberFormat="1" applyFont="1" applyFill="1" applyBorder="1" applyAlignment="1">
      <alignment vertical="center" shrinkToFit="1"/>
    </xf>
    <xf numFmtId="165" fontId="9" fillId="3" borderId="33" xfId="0" applyNumberFormat="1" applyFont="1" applyFill="1" applyBorder="1" applyAlignment="1">
      <alignment vertical="center" shrinkToFit="1"/>
    </xf>
  </cellXfs>
  <cellStyles count="6">
    <cellStyle name="Normal" xfId="0" builtinId="0"/>
    <cellStyle name="Normal 2" xfId="3" xr:uid="{561857B0-0670-449A-9642-1764B6DC0306}"/>
    <cellStyle name="Normal 2 2" xfId="4" xr:uid="{96CBDAE4-FD1D-4350-8F16-A4A41328CA32}"/>
    <cellStyle name="ParaBirimi" xfId="1" builtinId="4"/>
    <cellStyle name="Yüzde" xfId="2" builtinId="5"/>
    <cellStyle name="Yüzde 2" xfId="5" xr:uid="{46310F5E-62B9-4CBF-85A0-FAABD13648BA}"/>
  </cellStyles>
  <dxfs count="55"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AD9F-A7C9-4B29-BC32-9005F9CF8406}">
  <sheetPr>
    <tabColor theme="4" tint="0.59999389629810485"/>
    <pageSetUpPr fitToPage="1"/>
  </sheetPr>
  <dimension ref="B1:L37"/>
  <sheetViews>
    <sheetView showGridLines="0" showZeros="0" tabSelected="1" topLeftCell="C1" zoomScale="85" zoomScaleNormal="85" zoomScaleSheetLayoutView="70" workbookViewId="0">
      <pane ySplit="5" topLeftCell="A10" activePane="bottomLeft" state="frozen"/>
      <selection activeCell="P146" sqref="P146"/>
      <selection pane="bottomLeft" activeCell="D15" sqref="D15"/>
    </sheetView>
  </sheetViews>
  <sheetFormatPr defaultRowHeight="24" customHeight="1"/>
  <cols>
    <col min="1" max="1" width="2.28515625" style="98" customWidth="1"/>
    <col min="2" max="2" width="14.5703125" style="98" customWidth="1"/>
    <col min="3" max="3" width="48.85546875" style="98" customWidth="1"/>
    <col min="4" max="4" width="22.140625" style="98" customWidth="1"/>
    <col min="5" max="5" width="30.5703125" style="98" customWidth="1"/>
    <col min="6" max="6" width="2.28515625" style="98" customWidth="1"/>
    <col min="7" max="7" width="34.140625" style="98" bestFit="1" customWidth="1"/>
    <col min="8" max="8" width="31.5703125" style="98" bestFit="1" customWidth="1"/>
    <col min="9" max="9" width="9.140625" style="98"/>
    <col min="10" max="10" width="12.28515625" style="98" bestFit="1" customWidth="1"/>
    <col min="11" max="11" width="9.140625" style="98"/>
    <col min="12" max="12" width="12.28515625" style="98" bestFit="1" customWidth="1"/>
    <col min="13" max="16384" width="9.140625" style="98"/>
  </cols>
  <sheetData>
    <row r="1" spans="2:12" ht="24" customHeight="1">
      <c r="B1" s="157" t="s">
        <v>63</v>
      </c>
      <c r="C1" s="157"/>
      <c r="D1" s="157"/>
      <c r="E1" s="157"/>
      <c r="F1" s="157"/>
    </row>
    <row r="2" spans="2:12" ht="18" customHeight="1">
      <c r="B2" s="99"/>
      <c r="C2" s="99"/>
      <c r="D2" s="99"/>
      <c r="E2" s="99"/>
    </row>
    <row r="3" spans="2:12" ht="26.25">
      <c r="B3" s="158" t="s">
        <v>64</v>
      </c>
      <c r="C3" s="158"/>
      <c r="D3" s="158"/>
      <c r="E3" s="158"/>
    </row>
    <row r="4" spans="2:12" ht="24" customHeight="1">
      <c r="B4" s="100" t="s">
        <v>65</v>
      </c>
      <c r="C4" s="101"/>
      <c r="D4" s="101"/>
      <c r="E4" s="102" t="s">
        <v>123</v>
      </c>
    </row>
    <row r="5" spans="2:12" ht="24" customHeight="1" thickBot="1">
      <c r="B5" s="103" t="s">
        <v>66</v>
      </c>
      <c r="C5" s="103" t="s">
        <v>8</v>
      </c>
      <c r="D5" s="103" t="s">
        <v>67</v>
      </c>
      <c r="E5" s="103" t="s">
        <v>68</v>
      </c>
    </row>
    <row r="6" spans="2:12" ht="24" customHeight="1" thickTop="1">
      <c r="B6" s="104" t="s">
        <v>69</v>
      </c>
      <c r="C6" s="105" t="s">
        <v>12</v>
      </c>
      <c r="D6" s="106"/>
      <c r="E6" s="107"/>
    </row>
    <row r="7" spans="2:12" ht="24" customHeight="1">
      <c r="B7" s="108" t="s">
        <v>70</v>
      </c>
      <c r="C7" s="109" t="s">
        <v>12</v>
      </c>
      <c r="D7" s="110">
        <f>'6.Mob-Demob'!G15/3*2</f>
        <v>268666.66666666669</v>
      </c>
      <c r="E7" s="111">
        <f>D7*I26</f>
        <v>147766.66666666669</v>
      </c>
      <c r="G7" s="98" t="s">
        <v>71</v>
      </c>
    </row>
    <row r="8" spans="2:12" ht="24" customHeight="1">
      <c r="B8" s="104" t="s">
        <v>72</v>
      </c>
      <c r="C8" s="105" t="s">
        <v>73</v>
      </c>
      <c r="D8" s="106"/>
      <c r="E8" s="107"/>
      <c r="G8" s="98" t="s">
        <v>74</v>
      </c>
    </row>
    <row r="9" spans="2:12" ht="24" customHeight="1">
      <c r="B9" s="108">
        <v>1.1000000000000001</v>
      </c>
      <c r="C9" s="109" t="s">
        <v>75</v>
      </c>
      <c r="D9" s="110">
        <f>'8.Material'!E23</f>
        <v>0</v>
      </c>
      <c r="E9" s="112">
        <f>D9*J26</f>
        <v>0</v>
      </c>
      <c r="G9" s="98" t="s">
        <v>76</v>
      </c>
      <c r="H9" s="113"/>
      <c r="I9" s="113"/>
      <c r="J9" s="113"/>
      <c r="K9" s="113"/>
      <c r="L9" s="113"/>
    </row>
    <row r="10" spans="2:12" ht="24" customHeight="1">
      <c r="B10" s="108">
        <v>1.2</v>
      </c>
      <c r="C10" s="109" t="s">
        <v>77</v>
      </c>
      <c r="D10" s="110">
        <f>'4.Equipment'!AK12</f>
        <v>669375</v>
      </c>
      <c r="E10" s="112">
        <f>D10*I26</f>
        <v>368156.25000000006</v>
      </c>
      <c r="G10" s="98" t="s">
        <v>78</v>
      </c>
      <c r="H10" s="114" t="s">
        <v>79</v>
      </c>
      <c r="I10" s="114" t="s">
        <v>80</v>
      </c>
      <c r="J10" s="114" t="s">
        <v>81</v>
      </c>
      <c r="K10" s="114" t="s">
        <v>82</v>
      </c>
      <c r="L10" s="114" t="s">
        <v>83</v>
      </c>
    </row>
    <row r="11" spans="2:12" ht="24" customHeight="1">
      <c r="B11" s="108">
        <v>1.3</v>
      </c>
      <c r="C11" s="109" t="s">
        <v>84</v>
      </c>
      <c r="D11" s="115">
        <f>'5.Manpower'!AI24</f>
        <v>357812.5</v>
      </c>
      <c r="E11" s="112">
        <f>D11*I26</f>
        <v>196796.87500000003</v>
      </c>
      <c r="G11" s="98" t="s">
        <v>85</v>
      </c>
      <c r="H11" s="116" t="s">
        <v>86</v>
      </c>
      <c r="I11" s="117">
        <v>0.03</v>
      </c>
      <c r="J11" s="117">
        <v>0</v>
      </c>
      <c r="K11" s="117">
        <v>0.02</v>
      </c>
      <c r="L11" s="117">
        <v>0.02</v>
      </c>
    </row>
    <row r="12" spans="2:12" ht="24" customHeight="1">
      <c r="B12" s="108">
        <v>1.4</v>
      </c>
      <c r="C12" s="109" t="s">
        <v>87</v>
      </c>
      <c r="D12" s="115">
        <f>'7.MGO+Lub+Insurance'!I11</f>
        <v>310800</v>
      </c>
      <c r="E12" s="112">
        <f>D12*K26</f>
        <v>44133.599999999969</v>
      </c>
      <c r="G12" s="98" t="s">
        <v>88</v>
      </c>
      <c r="H12" s="116" t="s">
        <v>89</v>
      </c>
      <c r="I12" s="117">
        <v>2E-3</v>
      </c>
      <c r="J12" s="117">
        <v>2E-3</v>
      </c>
      <c r="K12" s="117">
        <v>2E-3</v>
      </c>
      <c r="L12" s="117">
        <v>2E-3</v>
      </c>
    </row>
    <row r="13" spans="2:12" ht="24" customHeight="1">
      <c r="B13" s="108"/>
      <c r="C13" s="118"/>
      <c r="D13" s="115"/>
      <c r="E13" s="112"/>
      <c r="H13" s="116" t="s">
        <v>90</v>
      </c>
      <c r="I13" s="117">
        <v>5.0000000000000001E-3</v>
      </c>
      <c r="J13" s="117">
        <v>5.0000000000000001E-3</v>
      </c>
      <c r="K13" s="117">
        <v>0.01</v>
      </c>
      <c r="L13" s="117">
        <v>5.0000000000000001E-3</v>
      </c>
    </row>
    <row r="14" spans="2:12" ht="24" customHeight="1">
      <c r="B14" s="119" t="s">
        <v>91</v>
      </c>
      <c r="C14" s="120" t="s">
        <v>92</v>
      </c>
      <c r="D14" s="115"/>
      <c r="E14" s="112"/>
      <c r="G14" s="98" t="s">
        <v>74</v>
      </c>
      <c r="H14" s="116" t="s">
        <v>93</v>
      </c>
      <c r="I14" s="117">
        <v>0</v>
      </c>
      <c r="J14" s="117">
        <v>0</v>
      </c>
      <c r="K14" s="117">
        <v>0.01</v>
      </c>
      <c r="L14" s="117">
        <v>0.01</v>
      </c>
    </row>
    <row r="15" spans="2:12" ht="24" customHeight="1">
      <c r="B15" s="108">
        <v>2.1</v>
      </c>
      <c r="C15" s="121" t="s">
        <v>94</v>
      </c>
      <c r="D15" s="115">
        <f>'9.Indirect'!E23</f>
        <v>594274.375</v>
      </c>
      <c r="E15" s="112">
        <f>D15*I26</f>
        <v>326850.90625</v>
      </c>
      <c r="G15" s="98" t="s">
        <v>95</v>
      </c>
      <c r="H15" s="116" t="s">
        <v>96</v>
      </c>
      <c r="I15" s="117">
        <v>0.01</v>
      </c>
      <c r="J15" s="117"/>
      <c r="K15" s="117"/>
      <c r="L15" s="117"/>
    </row>
    <row r="16" spans="2:12" ht="24" customHeight="1">
      <c r="B16" s="108">
        <v>2.2000000000000002</v>
      </c>
      <c r="C16" s="121" t="s">
        <v>97</v>
      </c>
      <c r="D16" s="115"/>
      <c r="E16" s="112"/>
      <c r="G16" s="98" t="s">
        <v>98</v>
      </c>
      <c r="H16" s="116" t="s">
        <v>99</v>
      </c>
      <c r="I16" s="117">
        <v>0</v>
      </c>
      <c r="J16" s="117">
        <v>0</v>
      </c>
      <c r="K16" s="117">
        <v>0</v>
      </c>
      <c r="L16" s="117">
        <v>0</v>
      </c>
    </row>
    <row r="17" spans="2:12" ht="24" customHeight="1">
      <c r="B17" s="108">
        <v>2.2999999999999998</v>
      </c>
      <c r="C17" s="121" t="s">
        <v>100</v>
      </c>
      <c r="D17" s="110"/>
      <c r="E17" s="112"/>
      <c r="G17" s="98" t="s">
        <v>101</v>
      </c>
      <c r="H17" s="116" t="s">
        <v>102</v>
      </c>
      <c r="I17" s="117">
        <v>0.05</v>
      </c>
      <c r="J17" s="117">
        <v>0.02</v>
      </c>
      <c r="K17" s="117">
        <v>0</v>
      </c>
      <c r="L17" s="117">
        <v>0.01</v>
      </c>
    </row>
    <row r="18" spans="2:12" ht="24" customHeight="1">
      <c r="B18" s="108"/>
      <c r="C18" s="121"/>
      <c r="D18" s="115"/>
      <c r="E18" s="112"/>
      <c r="H18" s="116" t="s">
        <v>103</v>
      </c>
      <c r="I18" s="117">
        <v>0.15</v>
      </c>
      <c r="J18" s="117">
        <v>0.08</v>
      </c>
      <c r="K18" s="117">
        <v>0.06</v>
      </c>
      <c r="L18" s="117">
        <v>0.06</v>
      </c>
    </row>
    <row r="19" spans="2:12" s="122" customFormat="1" ht="24" customHeight="1">
      <c r="B19" s="108" t="s">
        <v>104</v>
      </c>
      <c r="C19" s="120" t="s">
        <v>105</v>
      </c>
      <c r="D19" s="115"/>
      <c r="E19" s="112"/>
      <c r="H19" s="116" t="s">
        <v>106</v>
      </c>
      <c r="I19" s="117">
        <v>0.05</v>
      </c>
      <c r="J19" s="117">
        <v>0.01</v>
      </c>
      <c r="K19" s="117">
        <v>0.01</v>
      </c>
      <c r="L19" s="117">
        <v>0.01</v>
      </c>
    </row>
    <row r="20" spans="2:12" ht="24" customHeight="1">
      <c r="B20" s="108" t="s">
        <v>107</v>
      </c>
      <c r="C20" s="120" t="s">
        <v>108</v>
      </c>
      <c r="D20" s="115"/>
      <c r="E20" s="123"/>
      <c r="H20" s="116" t="s">
        <v>109</v>
      </c>
      <c r="I20" s="117">
        <v>0.01</v>
      </c>
      <c r="J20" s="117">
        <v>0</v>
      </c>
      <c r="K20" s="117">
        <v>0</v>
      </c>
      <c r="L20" s="117">
        <v>0</v>
      </c>
    </row>
    <row r="21" spans="2:12" ht="24" customHeight="1">
      <c r="B21" s="108">
        <v>4.0999999999999996</v>
      </c>
      <c r="C21" s="124" t="s">
        <v>110</v>
      </c>
      <c r="D21" s="115"/>
      <c r="E21" s="112"/>
      <c r="H21" s="116" t="s">
        <v>111</v>
      </c>
      <c r="I21" s="117">
        <v>1.2E-2</v>
      </c>
      <c r="J21" s="125">
        <f>I21</f>
        <v>1.2E-2</v>
      </c>
      <c r="K21" s="125">
        <f>J21</f>
        <v>1.2E-2</v>
      </c>
      <c r="L21" s="125">
        <f>K21</f>
        <v>1.2E-2</v>
      </c>
    </row>
    <row r="22" spans="2:12" ht="24" customHeight="1">
      <c r="B22" s="108">
        <v>4.2</v>
      </c>
      <c r="C22" s="124" t="s">
        <v>112</v>
      </c>
      <c r="D22" s="115"/>
      <c r="E22" s="112"/>
      <c r="H22" s="116" t="s">
        <v>113</v>
      </c>
      <c r="I22" s="117">
        <v>3.5999999999999997E-2</v>
      </c>
      <c r="J22" s="125"/>
      <c r="K22" s="125"/>
      <c r="L22" s="125"/>
    </row>
    <row r="23" spans="2:12" ht="24" customHeight="1">
      <c r="B23" s="108"/>
      <c r="C23" s="124"/>
      <c r="D23" s="115"/>
      <c r="E23" s="112"/>
      <c r="H23" s="116" t="s">
        <v>114</v>
      </c>
      <c r="I23" s="126">
        <f>SUM(I11:I22)</f>
        <v>0.35499999999999998</v>
      </c>
      <c r="J23" s="126">
        <f>SUM(J11:J22)</f>
        <v>0.129</v>
      </c>
      <c r="K23" s="126">
        <f>SUM(K11:K22)</f>
        <v>0.124</v>
      </c>
      <c r="L23" s="126">
        <f>SUM(L11:L22)</f>
        <v>0.129</v>
      </c>
    </row>
    <row r="24" spans="2:12" ht="24" customHeight="1">
      <c r="B24" s="104" t="s">
        <v>115</v>
      </c>
      <c r="C24" s="120" t="s">
        <v>14</v>
      </c>
      <c r="D24" s="106"/>
      <c r="E24" s="123"/>
      <c r="H24" s="116"/>
      <c r="I24" s="126"/>
      <c r="J24" s="126"/>
      <c r="K24" s="126"/>
      <c r="L24" s="126"/>
    </row>
    <row r="25" spans="2:12" ht="24" customHeight="1">
      <c r="B25" s="127" t="s">
        <v>116</v>
      </c>
      <c r="C25" s="109" t="s">
        <v>14</v>
      </c>
      <c r="D25" s="110">
        <f>'6.Mob-Demob'!G15/3</f>
        <v>134333.33333333334</v>
      </c>
      <c r="E25" s="112">
        <f>D25*I26</f>
        <v>73883.333333333343</v>
      </c>
      <c r="G25" s="98" t="s">
        <v>117</v>
      </c>
      <c r="H25" s="116" t="s">
        <v>118</v>
      </c>
      <c r="I25" s="128">
        <f>ROUND(1/(1-I23),3)</f>
        <v>1.55</v>
      </c>
      <c r="J25" s="128">
        <f>ROUND(1/(1-J23),3)</f>
        <v>1.1479999999999999</v>
      </c>
      <c r="K25" s="128">
        <f>ROUND(1/(1-K23),3)</f>
        <v>1.1419999999999999</v>
      </c>
      <c r="L25" s="128">
        <f>ROUND(1/(1-L23),3)</f>
        <v>1.1479999999999999</v>
      </c>
    </row>
    <row r="26" spans="2:12" ht="24" customHeight="1">
      <c r="B26" s="108">
        <v>6</v>
      </c>
      <c r="C26" s="120" t="s">
        <v>119</v>
      </c>
      <c r="D26" s="110"/>
      <c r="E26" s="112"/>
      <c r="I26" s="148">
        <f>I25-1</f>
        <v>0.55000000000000004</v>
      </c>
      <c r="J26" s="148">
        <f t="shared" ref="J26:L26" si="0">J25-1</f>
        <v>0.14799999999999991</v>
      </c>
      <c r="K26" s="148">
        <f t="shared" si="0"/>
        <v>0.1419999999999999</v>
      </c>
      <c r="L26" s="148">
        <f t="shared" si="0"/>
        <v>0.14799999999999991</v>
      </c>
    </row>
    <row r="27" spans="2:12" ht="24" customHeight="1">
      <c r="B27" s="108">
        <v>6.1</v>
      </c>
      <c r="C27" s="121" t="s">
        <v>119</v>
      </c>
      <c r="D27" s="129">
        <f>SUM(E7:E25)</f>
        <v>1157587.6312499999</v>
      </c>
      <c r="E27" s="112"/>
      <c r="G27" s="98" t="s">
        <v>120</v>
      </c>
    </row>
    <row r="28" spans="2:12" s="122" customFormat="1" ht="24" customHeight="1">
      <c r="B28" s="108"/>
      <c r="C28" s="109"/>
      <c r="D28" s="110"/>
      <c r="E28" s="112"/>
    </row>
    <row r="29" spans="2:12" s="122" customFormat="1" ht="24" customHeight="1">
      <c r="B29" s="130"/>
      <c r="C29" s="131" t="s">
        <v>121</v>
      </c>
      <c r="D29" s="132">
        <f>SUM(D7:D28)</f>
        <v>3492849.5062500006</v>
      </c>
      <c r="E29" s="133"/>
      <c r="H29" s="134"/>
    </row>
    <row r="30" spans="2:12" ht="24" customHeight="1">
      <c r="B30" s="135" t="s">
        <v>122</v>
      </c>
      <c r="C30" s="136"/>
      <c r="D30" s="137"/>
      <c r="E30" s="138"/>
    </row>
    <row r="31" spans="2:12" ht="24" customHeight="1">
      <c r="B31" s="139"/>
      <c r="C31" s="140"/>
      <c r="D31" s="141"/>
      <c r="E31" s="142"/>
    </row>
    <row r="32" spans="2:12" ht="24" customHeight="1">
      <c r="B32" s="139"/>
      <c r="C32" s="140"/>
      <c r="D32" s="141"/>
      <c r="E32" s="142"/>
    </row>
    <row r="33" spans="2:5" ht="24" customHeight="1">
      <c r="B33" s="139"/>
      <c r="C33" s="140"/>
      <c r="D33" s="141"/>
      <c r="E33" s="142"/>
    </row>
    <row r="34" spans="2:5" ht="24" customHeight="1">
      <c r="B34" s="139"/>
      <c r="C34" s="140"/>
      <c r="D34" s="141"/>
      <c r="E34" s="142"/>
    </row>
    <row r="35" spans="2:5" ht="24" customHeight="1">
      <c r="B35" s="139"/>
      <c r="C35" s="140"/>
      <c r="D35" s="141"/>
      <c r="E35" s="142"/>
    </row>
    <row r="36" spans="2:5" ht="24" customHeight="1">
      <c r="B36" s="143"/>
      <c r="C36" s="144"/>
      <c r="D36" s="145"/>
      <c r="E36" s="146"/>
    </row>
    <row r="37" spans="2:5" ht="24" customHeight="1">
      <c r="B37" s="147"/>
      <c r="C37" s="147"/>
      <c r="D37" s="147"/>
      <c r="E37" s="147"/>
    </row>
  </sheetData>
  <mergeCells count="2">
    <mergeCell ref="B1:F1"/>
    <mergeCell ref="B3:E3"/>
  </mergeCells>
  <pageMargins left="0.7" right="0.7" top="0.75" bottom="0.75" header="0.3" footer="0.3"/>
  <pageSetup paperSize="9" scale="7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5AEC-6AEA-48A1-B452-BBA913936AD4}">
  <sheetPr>
    <pageSetUpPr fitToPage="1"/>
  </sheetPr>
  <dimension ref="A1:AN15"/>
  <sheetViews>
    <sheetView zoomScaleNormal="100" workbookViewId="0">
      <selection activeCell="B9" sqref="B9"/>
    </sheetView>
  </sheetViews>
  <sheetFormatPr defaultRowHeight="16.5"/>
  <cols>
    <col min="1" max="1" width="5.140625" bestFit="1" customWidth="1"/>
    <col min="2" max="2" width="70.42578125" customWidth="1"/>
    <col min="3" max="3" width="8" customWidth="1"/>
    <col min="4" max="4" width="10.140625" bestFit="1" customWidth="1"/>
    <col min="5" max="5" width="10.140625" customWidth="1"/>
    <col min="6" max="7" width="8.5703125" bestFit="1" customWidth="1"/>
    <col min="8" max="39" width="2.140625" style="1" customWidth="1"/>
    <col min="40" max="40" width="12.5703125" style="1" customWidth="1"/>
  </cols>
  <sheetData>
    <row r="1" spans="1:40" ht="20.25"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ht="21" thickBot="1">
      <c r="A2" s="159" t="s">
        <v>60</v>
      </c>
      <c r="B2" s="159"/>
      <c r="C2" s="79"/>
      <c r="D2" s="79"/>
      <c r="E2" s="79"/>
      <c r="F2" s="79"/>
      <c r="G2" s="79"/>
      <c r="AN2" s="13"/>
    </row>
    <row r="3" spans="1:40">
      <c r="A3" s="171" t="s">
        <v>6</v>
      </c>
      <c r="B3" s="171" t="s">
        <v>8</v>
      </c>
      <c r="C3" s="168" t="s">
        <v>9</v>
      </c>
      <c r="D3" s="168" t="s">
        <v>10</v>
      </c>
      <c r="E3" s="166" t="s">
        <v>48</v>
      </c>
      <c r="F3" s="168" t="s">
        <v>11</v>
      </c>
      <c r="G3" s="168" t="s">
        <v>11</v>
      </c>
      <c r="H3" s="153"/>
      <c r="I3" s="153"/>
      <c r="J3" s="153"/>
      <c r="K3" s="153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80"/>
      <c r="AN3" s="160" t="s">
        <v>4</v>
      </c>
    </row>
    <row r="4" spans="1:40" ht="17.25" thickBot="1">
      <c r="A4" s="172"/>
      <c r="B4" s="172"/>
      <c r="C4" s="169"/>
      <c r="D4" s="169"/>
      <c r="E4" s="167"/>
      <c r="F4" s="169"/>
      <c r="G4" s="169"/>
      <c r="H4" s="162">
        <v>1</v>
      </c>
      <c r="I4" s="163"/>
      <c r="J4" s="163"/>
      <c r="K4" s="165"/>
      <c r="L4" s="162">
        <v>2</v>
      </c>
      <c r="M4" s="163"/>
      <c r="N4" s="163"/>
      <c r="O4" s="165"/>
      <c r="P4" s="162">
        <v>3</v>
      </c>
      <c r="Q4" s="163"/>
      <c r="R4" s="163"/>
      <c r="S4" s="165"/>
      <c r="T4" s="162">
        <v>4</v>
      </c>
      <c r="U4" s="163"/>
      <c r="V4" s="163"/>
      <c r="W4" s="165"/>
      <c r="X4" s="162">
        <v>5</v>
      </c>
      <c r="Y4" s="163"/>
      <c r="Z4" s="163"/>
      <c r="AA4" s="165"/>
      <c r="AB4" s="162">
        <v>6</v>
      </c>
      <c r="AC4" s="163"/>
      <c r="AD4" s="163"/>
      <c r="AE4" s="165"/>
      <c r="AF4" s="162">
        <v>7</v>
      </c>
      <c r="AG4" s="163"/>
      <c r="AH4" s="163"/>
      <c r="AI4" s="165"/>
      <c r="AJ4" s="162">
        <v>8</v>
      </c>
      <c r="AK4" s="163"/>
      <c r="AL4" s="163"/>
      <c r="AM4" s="164"/>
      <c r="AN4" s="161"/>
    </row>
    <row r="5" spans="1:40" ht="17.25" thickTop="1">
      <c r="A5" s="57">
        <v>1</v>
      </c>
      <c r="B5" s="58" t="s">
        <v>124</v>
      </c>
      <c r="C5" s="59" t="s">
        <v>15</v>
      </c>
      <c r="D5" s="59">
        <v>1</v>
      </c>
      <c r="E5" s="60">
        <f>1/30</f>
        <v>3.3333333333333333E-2</v>
      </c>
      <c r="F5" s="61">
        <f>ROUNDUP(D5/E5,0)</f>
        <v>30</v>
      </c>
      <c r="G5" s="150">
        <f>SUM(H5:AI5)</f>
        <v>1</v>
      </c>
      <c r="H5" s="70">
        <v>0.25</v>
      </c>
      <c r="I5" s="71">
        <v>0.25</v>
      </c>
      <c r="J5" s="71">
        <v>0.25</v>
      </c>
      <c r="K5" s="72">
        <v>0.25</v>
      </c>
      <c r="L5" s="70"/>
      <c r="M5" s="71"/>
      <c r="N5" s="71"/>
      <c r="O5" s="72"/>
      <c r="P5" s="70"/>
      <c r="Q5" s="71"/>
      <c r="R5" s="71"/>
      <c r="S5" s="72"/>
      <c r="T5" s="70"/>
      <c r="U5" s="71"/>
      <c r="V5" s="71"/>
      <c r="W5" s="72"/>
      <c r="X5" s="70"/>
      <c r="Y5" s="71"/>
      <c r="Z5" s="71"/>
      <c r="AA5" s="72"/>
      <c r="AB5" s="70"/>
      <c r="AC5" s="71"/>
      <c r="AD5" s="71"/>
      <c r="AE5" s="72"/>
      <c r="AF5" s="70"/>
      <c r="AG5" s="71"/>
      <c r="AH5" s="71"/>
      <c r="AI5" s="72"/>
      <c r="AJ5" s="70"/>
      <c r="AK5" s="71"/>
      <c r="AL5" s="71"/>
      <c r="AM5" s="72"/>
      <c r="AN5" s="16"/>
    </row>
    <row r="6" spans="1:40">
      <c r="A6" s="69">
        <v>2</v>
      </c>
      <c r="B6" s="68" t="s">
        <v>130</v>
      </c>
      <c r="C6" s="17" t="s">
        <v>47</v>
      </c>
      <c r="D6" s="18">
        <v>24080.5</v>
      </c>
      <c r="E6" s="154">
        <v>400</v>
      </c>
      <c r="F6" s="18">
        <f t="shared" ref="F6:F14" si="0">ROUNDUP(D6/E6,0)</f>
        <v>61</v>
      </c>
      <c r="G6" s="151">
        <f t="shared" ref="G6:G14" si="1">SUM(H6:AI6)</f>
        <v>2</v>
      </c>
      <c r="H6" s="73"/>
      <c r="I6" s="74"/>
      <c r="J6" s="74"/>
      <c r="K6" s="75"/>
      <c r="L6" s="73">
        <v>0.25</v>
      </c>
      <c r="M6" s="74">
        <v>0.25</v>
      </c>
      <c r="N6" s="74">
        <v>0.25</v>
      </c>
      <c r="O6" s="75">
        <v>0.25</v>
      </c>
      <c r="P6" s="73">
        <v>0.25</v>
      </c>
      <c r="Q6" s="74">
        <v>0.25</v>
      </c>
      <c r="R6" s="74">
        <v>0.25</v>
      </c>
      <c r="S6" s="75">
        <v>0.25</v>
      </c>
      <c r="T6" s="73"/>
      <c r="U6" s="74"/>
      <c r="V6" s="74"/>
      <c r="W6" s="75"/>
      <c r="X6" s="73"/>
      <c r="Y6" s="74"/>
      <c r="Z6" s="74"/>
      <c r="AA6" s="75"/>
      <c r="AB6" s="73"/>
      <c r="AC6" s="74"/>
      <c r="AD6" s="74"/>
      <c r="AE6" s="75"/>
      <c r="AF6" s="73"/>
      <c r="AG6" s="74"/>
      <c r="AH6" s="74"/>
      <c r="AI6" s="75"/>
      <c r="AJ6" s="73"/>
      <c r="AK6" s="74"/>
      <c r="AL6" s="74"/>
      <c r="AM6" s="75"/>
      <c r="AN6" s="19"/>
    </row>
    <row r="7" spans="1:40">
      <c r="A7" s="69">
        <v>3</v>
      </c>
      <c r="B7" s="68" t="s">
        <v>131</v>
      </c>
      <c r="C7" s="17" t="s">
        <v>133</v>
      </c>
      <c r="D7" s="18">
        <v>500</v>
      </c>
      <c r="E7" s="22">
        <f>D7/7</f>
        <v>71.428571428571431</v>
      </c>
      <c r="F7" s="18">
        <f t="shared" si="0"/>
        <v>7</v>
      </c>
      <c r="G7" s="151">
        <f t="shared" si="1"/>
        <v>0.25</v>
      </c>
      <c r="H7" s="73"/>
      <c r="I7" s="74"/>
      <c r="J7" s="74"/>
      <c r="K7" s="75"/>
      <c r="L7" s="73"/>
      <c r="M7" s="74"/>
      <c r="N7" s="74"/>
      <c r="O7" s="75"/>
      <c r="P7" s="73"/>
      <c r="Q7" s="74"/>
      <c r="R7" s="74"/>
      <c r="S7" s="75"/>
      <c r="T7" s="73"/>
      <c r="U7" s="74">
        <v>0.25</v>
      </c>
      <c r="V7" s="74"/>
      <c r="W7" s="75"/>
      <c r="X7" s="73"/>
      <c r="Y7" s="74"/>
      <c r="Z7" s="74"/>
      <c r="AA7" s="75"/>
      <c r="AB7" s="73"/>
      <c r="AC7" s="74"/>
      <c r="AD7" s="74"/>
      <c r="AE7" s="75"/>
      <c r="AF7" s="73"/>
      <c r="AG7" s="74"/>
      <c r="AH7" s="74"/>
      <c r="AI7" s="75"/>
      <c r="AJ7" s="73"/>
      <c r="AK7" s="74"/>
      <c r="AL7" s="74"/>
      <c r="AM7" s="75"/>
      <c r="AN7" s="19"/>
    </row>
    <row r="8" spans="1:40">
      <c r="A8" s="69">
        <v>4</v>
      </c>
      <c r="B8" s="68" t="s">
        <v>56</v>
      </c>
      <c r="C8" s="17"/>
      <c r="D8" s="18"/>
      <c r="E8" s="22"/>
      <c r="F8" s="18">
        <f>SUM(F9:F13)</f>
        <v>53</v>
      </c>
      <c r="G8" s="151">
        <f t="shared" si="1"/>
        <v>0</v>
      </c>
      <c r="H8" s="73"/>
      <c r="I8" s="74"/>
      <c r="J8" s="74"/>
      <c r="K8" s="75"/>
      <c r="L8" s="73"/>
      <c r="M8" s="74"/>
      <c r="N8" s="74"/>
      <c r="O8" s="75"/>
      <c r="P8" s="73"/>
      <c r="Q8" s="74"/>
      <c r="R8" s="74"/>
      <c r="S8" s="75"/>
      <c r="T8" s="208"/>
      <c r="U8" s="209"/>
      <c r="V8" s="209"/>
      <c r="W8" s="210"/>
      <c r="X8" s="208"/>
      <c r="Y8" s="209"/>
      <c r="Z8" s="209"/>
      <c r="AA8" s="210"/>
      <c r="AB8" s="208"/>
      <c r="AC8" s="74"/>
      <c r="AD8" s="74"/>
      <c r="AE8" s="75"/>
      <c r="AF8" s="73"/>
      <c r="AG8" s="74"/>
      <c r="AH8" s="74"/>
      <c r="AI8" s="75"/>
      <c r="AJ8" s="73"/>
      <c r="AK8" s="74"/>
      <c r="AL8" s="74"/>
      <c r="AM8" s="75"/>
      <c r="AN8" s="19"/>
    </row>
    <row r="9" spans="1:40">
      <c r="A9" s="156" t="s">
        <v>134</v>
      </c>
      <c r="B9" s="155" t="s">
        <v>132</v>
      </c>
      <c r="C9" s="17" t="s">
        <v>47</v>
      </c>
      <c r="D9" s="18">
        <v>377.52000000000004</v>
      </c>
      <c r="E9" s="154">
        <v>100</v>
      </c>
      <c r="F9" s="18">
        <f t="shared" si="0"/>
        <v>4</v>
      </c>
      <c r="G9" s="151">
        <f t="shared" si="1"/>
        <v>0.25</v>
      </c>
      <c r="H9" s="73"/>
      <c r="I9" s="74"/>
      <c r="J9" s="74"/>
      <c r="K9" s="75"/>
      <c r="L9" s="73"/>
      <c r="M9" s="74"/>
      <c r="N9" s="74"/>
      <c r="O9" s="75"/>
      <c r="P9" s="73"/>
      <c r="Q9" s="74"/>
      <c r="R9" s="74"/>
      <c r="S9" s="75"/>
      <c r="T9" s="73">
        <v>0.25</v>
      </c>
      <c r="U9" s="74"/>
      <c r="V9" s="74"/>
      <c r="W9" s="75"/>
      <c r="X9" s="73"/>
      <c r="Y9" s="74"/>
      <c r="Z9" s="74"/>
      <c r="AA9" s="75"/>
      <c r="AB9" s="73"/>
      <c r="AC9" s="74"/>
      <c r="AD9" s="74"/>
      <c r="AE9" s="75"/>
      <c r="AF9" s="73"/>
      <c r="AG9" s="74"/>
      <c r="AH9" s="74"/>
      <c r="AI9" s="75"/>
      <c r="AJ9" s="73"/>
      <c r="AK9" s="74"/>
      <c r="AL9" s="74"/>
      <c r="AM9" s="75"/>
      <c r="AN9" s="19"/>
    </row>
    <row r="10" spans="1:40">
      <c r="A10" s="156" t="s">
        <v>135</v>
      </c>
      <c r="B10" s="155" t="s">
        <v>126</v>
      </c>
      <c r="C10" s="17" t="s">
        <v>47</v>
      </c>
      <c r="D10" s="18">
        <v>2153.7200000000003</v>
      </c>
      <c r="E10" s="154">
        <v>350</v>
      </c>
      <c r="F10" s="18">
        <f t="shared" si="0"/>
        <v>7</v>
      </c>
      <c r="G10" s="151">
        <f t="shared" si="1"/>
        <v>0.25</v>
      </c>
      <c r="H10" s="73"/>
      <c r="I10" s="74"/>
      <c r="J10" s="74"/>
      <c r="K10" s="75"/>
      <c r="L10" s="73"/>
      <c r="M10" s="74"/>
      <c r="N10" s="74"/>
      <c r="O10" s="75"/>
      <c r="P10" s="73"/>
      <c r="Q10" s="74"/>
      <c r="R10" s="74"/>
      <c r="S10" s="75"/>
      <c r="T10" s="73"/>
      <c r="U10" s="74"/>
      <c r="V10" s="74">
        <v>0.25</v>
      </c>
      <c r="W10" s="75"/>
      <c r="X10" s="73"/>
      <c r="Y10" s="74"/>
      <c r="Z10" s="74"/>
      <c r="AA10" s="75"/>
      <c r="AB10" s="73"/>
      <c r="AC10" s="74"/>
      <c r="AD10" s="74"/>
      <c r="AE10" s="75"/>
      <c r="AF10" s="73"/>
      <c r="AG10" s="74"/>
      <c r="AH10" s="74"/>
      <c r="AI10" s="75"/>
      <c r="AJ10" s="73"/>
      <c r="AK10" s="74"/>
      <c r="AL10" s="74"/>
      <c r="AM10" s="75"/>
      <c r="AN10" s="19"/>
    </row>
    <row r="11" spans="1:40">
      <c r="A11" s="156" t="s">
        <v>136</v>
      </c>
      <c r="B11" s="155" t="s">
        <v>127</v>
      </c>
      <c r="C11" s="17" t="s">
        <v>47</v>
      </c>
      <c r="D11" s="18">
        <v>4228.3600000000006</v>
      </c>
      <c r="E11" s="154">
        <v>700</v>
      </c>
      <c r="F11" s="18">
        <f t="shared" si="0"/>
        <v>7</v>
      </c>
      <c r="G11" s="151">
        <f t="shared" si="1"/>
        <v>0.25</v>
      </c>
      <c r="H11" s="73"/>
      <c r="I11" s="74"/>
      <c r="J11" s="74"/>
      <c r="K11" s="75"/>
      <c r="L11" s="73"/>
      <c r="M11" s="74"/>
      <c r="N11" s="74"/>
      <c r="O11" s="75"/>
      <c r="P11" s="73"/>
      <c r="Q11" s="74"/>
      <c r="R11" s="74"/>
      <c r="S11" s="75"/>
      <c r="T11" s="73"/>
      <c r="U11" s="74"/>
      <c r="V11" s="74"/>
      <c r="W11" s="75">
        <v>0.25</v>
      </c>
      <c r="X11" s="73"/>
      <c r="Y11" s="74"/>
      <c r="Z11" s="74"/>
      <c r="AA11" s="75"/>
      <c r="AB11" s="73"/>
      <c r="AC11" s="74"/>
      <c r="AD11" s="74"/>
      <c r="AE11" s="75"/>
      <c r="AF11" s="73"/>
      <c r="AG11" s="74"/>
      <c r="AH11" s="74"/>
      <c r="AI11" s="75"/>
      <c r="AJ11" s="73"/>
      <c r="AK11" s="74"/>
      <c r="AL11" s="74"/>
      <c r="AM11" s="75"/>
      <c r="AN11" s="19"/>
    </row>
    <row r="12" spans="1:40">
      <c r="A12" s="156" t="s">
        <v>137</v>
      </c>
      <c r="B12" s="155" t="s">
        <v>128</v>
      </c>
      <c r="C12" s="17" t="s">
        <v>47</v>
      </c>
      <c r="D12" s="18">
        <v>6902.4400000000005</v>
      </c>
      <c r="E12" s="154">
        <v>500</v>
      </c>
      <c r="F12" s="18">
        <f t="shared" si="0"/>
        <v>14</v>
      </c>
      <c r="G12" s="151">
        <f t="shared" si="1"/>
        <v>0.5</v>
      </c>
      <c r="H12" s="73"/>
      <c r="I12" s="74"/>
      <c r="J12" s="74"/>
      <c r="K12" s="75"/>
      <c r="L12" s="73"/>
      <c r="M12" s="74"/>
      <c r="N12" s="74"/>
      <c r="O12" s="75"/>
      <c r="P12" s="73"/>
      <c r="Q12" s="74"/>
      <c r="R12" s="74"/>
      <c r="S12" s="75"/>
      <c r="T12" s="73"/>
      <c r="U12" s="74"/>
      <c r="V12" s="74"/>
      <c r="W12" s="75"/>
      <c r="X12" s="73">
        <v>0.25</v>
      </c>
      <c r="Y12" s="74">
        <v>0.25</v>
      </c>
      <c r="Z12" s="74"/>
      <c r="AA12" s="75"/>
      <c r="AB12" s="73"/>
      <c r="AC12" s="74"/>
      <c r="AD12" s="74"/>
      <c r="AE12" s="75"/>
      <c r="AF12" s="73"/>
      <c r="AG12" s="74"/>
      <c r="AH12" s="74"/>
      <c r="AI12" s="75"/>
      <c r="AJ12" s="73"/>
      <c r="AK12" s="74"/>
      <c r="AL12" s="74"/>
      <c r="AM12" s="75"/>
      <c r="AN12" s="19"/>
    </row>
    <row r="13" spans="1:40">
      <c r="A13" s="156" t="s">
        <v>138</v>
      </c>
      <c r="B13" s="155" t="s">
        <v>129</v>
      </c>
      <c r="C13" s="17" t="s">
        <v>47</v>
      </c>
      <c r="D13" s="18">
        <v>10418.48</v>
      </c>
      <c r="E13" s="154">
        <v>500</v>
      </c>
      <c r="F13" s="18">
        <f t="shared" si="0"/>
        <v>21</v>
      </c>
      <c r="G13" s="151">
        <f t="shared" si="1"/>
        <v>0.75</v>
      </c>
      <c r="H13" s="73"/>
      <c r="I13" s="74"/>
      <c r="J13" s="74"/>
      <c r="K13" s="75"/>
      <c r="L13" s="73"/>
      <c r="M13" s="74"/>
      <c r="N13" s="74"/>
      <c r="O13" s="75"/>
      <c r="P13" s="73"/>
      <c r="Q13" s="74"/>
      <c r="R13" s="74"/>
      <c r="S13" s="75"/>
      <c r="T13" s="73"/>
      <c r="U13" s="74"/>
      <c r="V13" s="74"/>
      <c r="W13" s="75"/>
      <c r="X13" s="73"/>
      <c r="Y13" s="74"/>
      <c r="Z13" s="74">
        <v>0.25</v>
      </c>
      <c r="AA13" s="75">
        <v>0.25</v>
      </c>
      <c r="AB13" s="73">
        <v>0.25</v>
      </c>
      <c r="AC13" s="74"/>
      <c r="AD13" s="74"/>
      <c r="AE13" s="75"/>
      <c r="AF13" s="73"/>
      <c r="AG13" s="74"/>
      <c r="AH13" s="74"/>
      <c r="AI13" s="75"/>
      <c r="AJ13" s="73"/>
      <c r="AK13" s="74"/>
      <c r="AL13" s="74"/>
      <c r="AM13" s="75"/>
      <c r="AN13" s="19"/>
    </row>
    <row r="14" spans="1:40" ht="17.25" thickBot="1">
      <c r="A14" s="62">
        <v>3</v>
      </c>
      <c r="B14" s="20" t="s">
        <v>14</v>
      </c>
      <c r="C14" s="63" t="s">
        <v>13</v>
      </c>
      <c r="D14" s="64">
        <v>1</v>
      </c>
      <c r="E14" s="65">
        <f>1/30</f>
        <v>3.3333333333333333E-2</v>
      </c>
      <c r="F14" s="66">
        <f t="shared" si="0"/>
        <v>30</v>
      </c>
      <c r="G14" s="152">
        <f t="shared" si="1"/>
        <v>1</v>
      </c>
      <c r="H14" s="76"/>
      <c r="I14" s="77"/>
      <c r="J14" s="77"/>
      <c r="K14" s="78"/>
      <c r="L14" s="76"/>
      <c r="M14" s="77"/>
      <c r="N14" s="77"/>
      <c r="O14" s="78"/>
      <c r="P14" s="76"/>
      <c r="Q14" s="77"/>
      <c r="R14" s="77"/>
      <c r="S14" s="78"/>
      <c r="T14" s="76"/>
      <c r="U14" s="77"/>
      <c r="V14" s="77"/>
      <c r="W14" s="78"/>
      <c r="X14" s="76"/>
      <c r="Y14" s="77"/>
      <c r="Z14" s="77"/>
      <c r="AA14" s="78"/>
      <c r="AB14" s="76"/>
      <c r="AC14" s="77">
        <v>0.25</v>
      </c>
      <c r="AD14" s="77">
        <v>0.25</v>
      </c>
      <c r="AE14" s="78">
        <v>0.25</v>
      </c>
      <c r="AF14" s="76">
        <v>0.25</v>
      </c>
      <c r="AG14" s="77"/>
      <c r="AH14" s="77"/>
      <c r="AI14" s="78"/>
      <c r="AJ14" s="76"/>
      <c r="AK14" s="77"/>
      <c r="AL14" s="77"/>
      <c r="AM14" s="78"/>
      <c r="AN14" s="21"/>
    </row>
    <row r="15" spans="1:40" ht="17.25" thickTop="1"/>
  </sheetData>
  <mergeCells count="18">
    <mergeCell ref="B3:B4"/>
    <mergeCell ref="A3:A4"/>
    <mergeCell ref="A2:B2"/>
    <mergeCell ref="AN3:AN4"/>
    <mergeCell ref="AJ4:AM4"/>
    <mergeCell ref="AB4:AE4"/>
    <mergeCell ref="AF4:AI4"/>
    <mergeCell ref="H4:K4"/>
    <mergeCell ref="L4:O4"/>
    <mergeCell ref="P4:S4"/>
    <mergeCell ref="T4:W4"/>
    <mergeCell ref="X4:AA4"/>
    <mergeCell ref="E3:E4"/>
    <mergeCell ref="C3:C4"/>
    <mergeCell ref="D3:D4"/>
    <mergeCell ref="F3:F4"/>
    <mergeCell ref="G3:G4"/>
    <mergeCell ref="L3:AL3"/>
  </mergeCells>
  <conditionalFormatting sqref="H5:AM8 H14:AM14">
    <cfRule type="cellIs" dxfId="39" priority="7" operator="equal">
      <formula>0.25</formula>
    </cfRule>
  </conditionalFormatting>
  <conditionalFormatting sqref="H9:AM9">
    <cfRule type="cellIs" dxfId="38" priority="5" operator="equal">
      <formula>0.25</formula>
    </cfRule>
  </conditionalFormatting>
  <conditionalFormatting sqref="H13:AM13">
    <cfRule type="cellIs" dxfId="37" priority="4" operator="equal">
      <formula>0.25</formula>
    </cfRule>
  </conditionalFormatting>
  <conditionalFormatting sqref="H12:AM12">
    <cfRule type="cellIs" dxfId="36" priority="3" operator="equal">
      <formula>0.25</formula>
    </cfRule>
  </conditionalFormatting>
  <conditionalFormatting sqref="H10:AM10">
    <cfRule type="cellIs" dxfId="35" priority="2" operator="equal">
      <formula>0.25</formula>
    </cfRule>
  </conditionalFormatting>
  <conditionalFormatting sqref="H11:AM11">
    <cfRule type="cellIs" dxfId="34" priority="1" operator="equal">
      <formula>0.25</formula>
    </cfRule>
  </conditionalFormatting>
  <pageMargins left="0.11811023622047245" right="0.11811023622047245" top="0.74803149606299213" bottom="0.74803149606299213" header="0.31496062992125984" footer="0.31496062992125984"/>
  <pageSetup paperSize="9" scale="53" orientation="landscape" horizontalDpi="4294967293" verticalDpi="4294967293" r:id="rId1"/>
  <ignoredErrors>
    <ignoredError sqref="F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0A79-6D22-4B83-BC54-596D68E797CD}">
  <sheetPr>
    <pageSetUpPr fitToPage="1"/>
  </sheetPr>
  <dimension ref="A1:AN12"/>
  <sheetViews>
    <sheetView zoomScaleNormal="100" workbookViewId="0">
      <selection activeCell="C1" sqref="C1:AH1048576"/>
    </sheetView>
  </sheetViews>
  <sheetFormatPr defaultRowHeight="16.5"/>
  <cols>
    <col min="1" max="1" width="5.140625" bestFit="1" customWidth="1"/>
    <col min="2" max="2" width="36.7109375" customWidth="1"/>
    <col min="3" max="34" width="2.140625" style="1" customWidth="1"/>
    <col min="35" max="35" width="10" style="1" customWidth="1"/>
    <col min="36" max="36" width="13.28515625" style="1" customWidth="1"/>
    <col min="37" max="37" width="15" style="1" bestFit="1" customWidth="1"/>
    <col min="38" max="38" width="12.5703125" style="1" customWidth="1"/>
    <col min="40" max="40" width="10.42578125" bestFit="1" customWidth="1"/>
  </cols>
  <sheetData>
    <row r="1" spans="1:40" ht="20.25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40" ht="21" thickBot="1">
      <c r="B2" s="14" t="s">
        <v>59</v>
      </c>
      <c r="AL2" s="13"/>
    </row>
    <row r="3" spans="1:40">
      <c r="A3" s="175" t="s">
        <v>6</v>
      </c>
      <c r="B3" s="176" t="s">
        <v>5</v>
      </c>
      <c r="C3" s="153"/>
      <c r="D3" s="153"/>
      <c r="E3" s="153"/>
      <c r="F3" s="153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80"/>
      <c r="AI3" s="177" t="s">
        <v>3</v>
      </c>
      <c r="AJ3" s="177" t="s">
        <v>2</v>
      </c>
      <c r="AK3" s="177" t="s">
        <v>1</v>
      </c>
      <c r="AL3" s="173" t="s">
        <v>4</v>
      </c>
    </row>
    <row r="4" spans="1:40" ht="17.25" thickBot="1">
      <c r="A4" s="189"/>
      <c r="B4" s="190"/>
      <c r="C4" s="191">
        <v>1</v>
      </c>
      <c r="D4" s="192"/>
      <c r="E4" s="192"/>
      <c r="F4" s="193"/>
      <c r="G4" s="191">
        <v>2</v>
      </c>
      <c r="H4" s="192"/>
      <c r="I4" s="192"/>
      <c r="J4" s="193"/>
      <c r="K4" s="191">
        <v>3</v>
      </c>
      <c r="L4" s="192"/>
      <c r="M4" s="192"/>
      <c r="N4" s="193"/>
      <c r="O4" s="191">
        <v>4</v>
      </c>
      <c r="P4" s="192"/>
      <c r="Q4" s="192"/>
      <c r="R4" s="193"/>
      <c r="S4" s="191">
        <v>5</v>
      </c>
      <c r="T4" s="192"/>
      <c r="U4" s="192"/>
      <c r="V4" s="193"/>
      <c r="W4" s="191">
        <v>6</v>
      </c>
      <c r="X4" s="192"/>
      <c r="Y4" s="192"/>
      <c r="Z4" s="193"/>
      <c r="AA4" s="191">
        <v>7</v>
      </c>
      <c r="AB4" s="192"/>
      <c r="AC4" s="192"/>
      <c r="AD4" s="193"/>
      <c r="AE4" s="191">
        <v>8</v>
      </c>
      <c r="AF4" s="192"/>
      <c r="AG4" s="192"/>
      <c r="AH4" s="194"/>
      <c r="AI4" s="195"/>
      <c r="AJ4" s="195"/>
      <c r="AK4" s="195"/>
      <c r="AL4" s="174"/>
    </row>
    <row r="5" spans="1:40" ht="17.25" thickTop="1">
      <c r="A5" s="196">
        <v>1</v>
      </c>
      <c r="B5" s="197" t="s">
        <v>54</v>
      </c>
      <c r="C5" s="70"/>
      <c r="D5" s="71"/>
      <c r="E5" s="71"/>
      <c r="F5" s="72"/>
      <c r="G5" s="70">
        <v>0.25</v>
      </c>
      <c r="H5" s="71">
        <v>0.25</v>
      </c>
      <c r="I5" s="71">
        <v>0.25</v>
      </c>
      <c r="J5" s="72">
        <v>0.25</v>
      </c>
      <c r="K5" s="70">
        <v>0.25</v>
      </c>
      <c r="L5" s="71">
        <v>0.25</v>
      </c>
      <c r="M5" s="71">
        <v>0.25</v>
      </c>
      <c r="N5" s="72">
        <v>0.25</v>
      </c>
      <c r="O5" s="70">
        <v>0.25</v>
      </c>
      <c r="P5" s="71">
        <v>0.25</v>
      </c>
      <c r="Q5" s="71">
        <v>0.25</v>
      </c>
      <c r="R5" s="72">
        <v>0.25</v>
      </c>
      <c r="S5" s="70">
        <v>0.25</v>
      </c>
      <c r="T5" s="71">
        <v>0.25</v>
      </c>
      <c r="U5" s="71">
        <v>0.25</v>
      </c>
      <c r="V5" s="72">
        <v>0.25</v>
      </c>
      <c r="W5" s="70">
        <v>0.25</v>
      </c>
      <c r="X5" s="71"/>
      <c r="Y5" s="71"/>
      <c r="Z5" s="72"/>
      <c r="AA5" s="70"/>
      <c r="AB5" s="71"/>
      <c r="AC5" s="71"/>
      <c r="AD5" s="72"/>
      <c r="AE5" s="70"/>
      <c r="AF5" s="71"/>
      <c r="AG5" s="71"/>
      <c r="AH5" s="72"/>
      <c r="AI5" s="198">
        <f>SUM(C5:AH5)</f>
        <v>4.25</v>
      </c>
      <c r="AJ5" s="199">
        <v>75000</v>
      </c>
      <c r="AK5" s="199">
        <f t="shared" ref="AK5" si="0">AI5*AJ5</f>
        <v>318750</v>
      </c>
      <c r="AL5" s="200" t="s">
        <v>0</v>
      </c>
      <c r="AN5" s="67"/>
    </row>
    <row r="6" spans="1:40">
      <c r="A6" s="7">
        <v>1</v>
      </c>
      <c r="B6" s="55" t="s">
        <v>49</v>
      </c>
      <c r="C6" s="73"/>
      <c r="D6" s="74"/>
      <c r="E6" s="74"/>
      <c r="F6" s="75"/>
      <c r="G6" s="73">
        <v>0.25</v>
      </c>
      <c r="H6" s="74">
        <v>0.25</v>
      </c>
      <c r="I6" s="74">
        <v>0.25</v>
      </c>
      <c r="J6" s="75">
        <v>0.25</v>
      </c>
      <c r="K6" s="73">
        <v>0.25</v>
      </c>
      <c r="L6" s="74">
        <v>0.25</v>
      </c>
      <c r="M6" s="74">
        <v>0.25</v>
      </c>
      <c r="N6" s="75">
        <v>0.25</v>
      </c>
      <c r="O6" s="73">
        <v>0.25</v>
      </c>
      <c r="P6" s="74">
        <v>0.25</v>
      </c>
      <c r="Q6" s="74">
        <v>0.25</v>
      </c>
      <c r="R6" s="75">
        <v>0.25</v>
      </c>
      <c r="S6" s="73">
        <v>0.25</v>
      </c>
      <c r="T6" s="74">
        <v>0.25</v>
      </c>
      <c r="U6" s="74">
        <v>0.25</v>
      </c>
      <c r="V6" s="75">
        <v>0.25</v>
      </c>
      <c r="W6" s="73">
        <v>0.25</v>
      </c>
      <c r="X6" s="74"/>
      <c r="Y6" s="74"/>
      <c r="Z6" s="75"/>
      <c r="AA6" s="73"/>
      <c r="AB6" s="74"/>
      <c r="AC6" s="74"/>
      <c r="AD6" s="75"/>
      <c r="AE6" s="73"/>
      <c r="AF6" s="74"/>
      <c r="AG6" s="74"/>
      <c r="AH6" s="75"/>
      <c r="AI6" s="188">
        <f t="shared" ref="AI6:AI10" si="1">SUM(C6:AH6)</f>
        <v>4.25</v>
      </c>
      <c r="AJ6" s="47">
        <v>100000</v>
      </c>
      <c r="AK6" s="47">
        <f t="shared" ref="AK6:AK10" si="2">AI6*AJ6</f>
        <v>425000</v>
      </c>
      <c r="AL6" s="3" t="s">
        <v>0</v>
      </c>
      <c r="AN6" s="67"/>
    </row>
    <row r="7" spans="1:40">
      <c r="A7" s="7">
        <v>2</v>
      </c>
      <c r="B7" s="55" t="s">
        <v>50</v>
      </c>
      <c r="C7" s="73"/>
      <c r="D7" s="74"/>
      <c r="E7" s="74"/>
      <c r="F7" s="75"/>
      <c r="G7" s="73">
        <v>0.25</v>
      </c>
      <c r="H7" s="74">
        <v>0.25</v>
      </c>
      <c r="I7" s="74">
        <v>0.25</v>
      </c>
      <c r="J7" s="75">
        <v>0.25</v>
      </c>
      <c r="K7" s="73">
        <v>0.25</v>
      </c>
      <c r="L7" s="74">
        <v>0.25</v>
      </c>
      <c r="M7" s="74">
        <v>0.25</v>
      </c>
      <c r="N7" s="75">
        <v>0.25</v>
      </c>
      <c r="O7" s="73">
        <v>0.25</v>
      </c>
      <c r="P7" s="74">
        <v>0.25</v>
      </c>
      <c r="Q7" s="74">
        <v>0.25</v>
      </c>
      <c r="R7" s="75">
        <v>0.25</v>
      </c>
      <c r="S7" s="73">
        <v>0.25</v>
      </c>
      <c r="T7" s="74">
        <v>0.25</v>
      </c>
      <c r="U7" s="74">
        <v>0.25</v>
      </c>
      <c r="V7" s="75">
        <v>0.25</v>
      </c>
      <c r="W7" s="73">
        <v>0.25</v>
      </c>
      <c r="X7" s="74"/>
      <c r="Y7" s="74"/>
      <c r="Z7" s="75"/>
      <c r="AA7" s="73"/>
      <c r="AB7" s="74"/>
      <c r="AC7" s="74"/>
      <c r="AD7" s="75"/>
      <c r="AE7" s="73"/>
      <c r="AF7" s="74"/>
      <c r="AG7" s="74"/>
      <c r="AH7" s="75"/>
      <c r="AI7" s="188">
        <f t="shared" si="1"/>
        <v>4.25</v>
      </c>
      <c r="AJ7" s="47">
        <v>20000</v>
      </c>
      <c r="AK7" s="47">
        <f t="shared" ref="AK7:AK8" si="3">AI7*AJ7</f>
        <v>85000</v>
      </c>
      <c r="AL7" s="3" t="s">
        <v>0</v>
      </c>
    </row>
    <row r="8" spans="1:40">
      <c r="A8" s="7">
        <v>3</v>
      </c>
      <c r="B8" s="55" t="s">
        <v>51</v>
      </c>
      <c r="C8" s="73"/>
      <c r="D8" s="74"/>
      <c r="E8" s="74"/>
      <c r="F8" s="75"/>
      <c r="G8" s="73">
        <v>0.25</v>
      </c>
      <c r="H8" s="74">
        <v>0.25</v>
      </c>
      <c r="I8" s="74">
        <v>0.25</v>
      </c>
      <c r="J8" s="75">
        <v>0.25</v>
      </c>
      <c r="K8" s="73">
        <v>0.25</v>
      </c>
      <c r="L8" s="74">
        <v>0.25</v>
      </c>
      <c r="M8" s="74">
        <v>0.25</v>
      </c>
      <c r="N8" s="75">
        <v>0.25</v>
      </c>
      <c r="O8" s="73">
        <v>0.25</v>
      </c>
      <c r="P8" s="74">
        <v>0.25</v>
      </c>
      <c r="Q8" s="74">
        <v>0.25</v>
      </c>
      <c r="R8" s="75">
        <v>0.25</v>
      </c>
      <c r="S8" s="73">
        <v>0.25</v>
      </c>
      <c r="T8" s="74">
        <v>0.25</v>
      </c>
      <c r="U8" s="74">
        <v>0.25</v>
      </c>
      <c r="V8" s="75">
        <v>0.25</v>
      </c>
      <c r="W8" s="73">
        <v>0.25</v>
      </c>
      <c r="X8" s="74"/>
      <c r="Y8" s="74"/>
      <c r="Z8" s="75"/>
      <c r="AA8" s="73"/>
      <c r="AB8" s="74"/>
      <c r="AC8" s="74"/>
      <c r="AD8" s="75"/>
      <c r="AE8" s="73"/>
      <c r="AF8" s="74"/>
      <c r="AG8" s="74"/>
      <c r="AH8" s="75"/>
      <c r="AI8" s="188">
        <f t="shared" si="1"/>
        <v>4.25</v>
      </c>
      <c r="AJ8" s="47">
        <v>20000</v>
      </c>
      <c r="AK8" s="47">
        <f t="shared" si="3"/>
        <v>85000</v>
      </c>
      <c r="AL8" s="3" t="s">
        <v>0</v>
      </c>
    </row>
    <row r="9" spans="1:40">
      <c r="A9" s="7">
        <v>4</v>
      </c>
      <c r="B9" s="55" t="s">
        <v>52</v>
      </c>
      <c r="C9" s="73"/>
      <c r="D9" s="74"/>
      <c r="E9" s="74"/>
      <c r="F9" s="75"/>
      <c r="G9" s="73">
        <v>0.25</v>
      </c>
      <c r="H9" s="74">
        <v>0.25</v>
      </c>
      <c r="I9" s="74">
        <v>0.25</v>
      </c>
      <c r="J9" s="75">
        <v>0.25</v>
      </c>
      <c r="K9" s="73">
        <v>0.25</v>
      </c>
      <c r="L9" s="74">
        <v>0.25</v>
      </c>
      <c r="M9" s="74">
        <v>0.25</v>
      </c>
      <c r="N9" s="75">
        <v>0.25</v>
      </c>
      <c r="O9" s="73">
        <v>0.25</v>
      </c>
      <c r="P9" s="74">
        <v>0.25</v>
      </c>
      <c r="Q9" s="74">
        <v>0.25</v>
      </c>
      <c r="R9" s="75">
        <v>0.25</v>
      </c>
      <c r="S9" s="73">
        <v>0.25</v>
      </c>
      <c r="T9" s="74">
        <v>0.25</v>
      </c>
      <c r="U9" s="74">
        <v>0.25</v>
      </c>
      <c r="V9" s="75">
        <v>0.25</v>
      </c>
      <c r="W9" s="73">
        <v>0.25</v>
      </c>
      <c r="X9" s="74"/>
      <c r="Y9" s="74"/>
      <c r="Z9" s="75"/>
      <c r="AA9" s="73"/>
      <c r="AB9" s="74"/>
      <c r="AC9" s="74"/>
      <c r="AD9" s="75"/>
      <c r="AE9" s="73"/>
      <c r="AF9" s="74"/>
      <c r="AG9" s="74"/>
      <c r="AH9" s="75"/>
      <c r="AI9" s="188">
        <f t="shared" si="1"/>
        <v>4.25</v>
      </c>
      <c r="AJ9" s="47">
        <v>10000</v>
      </c>
      <c r="AK9" s="47">
        <f t="shared" si="2"/>
        <v>42500</v>
      </c>
      <c r="AL9" s="3" t="s">
        <v>0</v>
      </c>
    </row>
    <row r="10" spans="1:40">
      <c r="A10" s="7">
        <v>5</v>
      </c>
      <c r="B10" s="55" t="s">
        <v>53</v>
      </c>
      <c r="C10" s="73"/>
      <c r="D10" s="74"/>
      <c r="E10" s="74"/>
      <c r="F10" s="75"/>
      <c r="G10" s="73">
        <v>0.25</v>
      </c>
      <c r="H10" s="74">
        <v>0.25</v>
      </c>
      <c r="I10" s="74">
        <v>0.25</v>
      </c>
      <c r="J10" s="75">
        <v>0.25</v>
      </c>
      <c r="K10" s="73">
        <v>0.25</v>
      </c>
      <c r="L10" s="74">
        <v>0.25</v>
      </c>
      <c r="M10" s="74">
        <v>0.25</v>
      </c>
      <c r="N10" s="75">
        <v>0.25</v>
      </c>
      <c r="O10" s="73">
        <v>0.25</v>
      </c>
      <c r="P10" s="74">
        <v>0.25</v>
      </c>
      <c r="Q10" s="74">
        <v>0.25</v>
      </c>
      <c r="R10" s="75">
        <v>0.25</v>
      </c>
      <c r="S10" s="73">
        <v>0.25</v>
      </c>
      <c r="T10" s="74">
        <v>0.25</v>
      </c>
      <c r="U10" s="74">
        <v>0.25</v>
      </c>
      <c r="V10" s="75">
        <v>0.25</v>
      </c>
      <c r="W10" s="73">
        <v>0.25</v>
      </c>
      <c r="X10" s="74"/>
      <c r="Y10" s="74"/>
      <c r="Z10" s="75"/>
      <c r="AA10" s="73"/>
      <c r="AB10" s="74"/>
      <c r="AC10" s="74"/>
      <c r="AD10" s="75"/>
      <c r="AE10" s="73"/>
      <c r="AF10" s="74"/>
      <c r="AG10" s="74"/>
      <c r="AH10" s="75"/>
      <c r="AI10" s="188">
        <f t="shared" si="1"/>
        <v>4.25</v>
      </c>
      <c r="AJ10" s="47">
        <v>7500</v>
      </c>
      <c r="AK10" s="47">
        <f t="shared" si="2"/>
        <v>31875</v>
      </c>
      <c r="AL10" s="3" t="s">
        <v>0</v>
      </c>
    </row>
    <row r="11" spans="1:40" ht="17.25" thickBot="1">
      <c r="A11" s="81"/>
      <c r="B11" s="82"/>
      <c r="C11" s="95"/>
      <c r="D11" s="96"/>
      <c r="E11" s="96"/>
      <c r="F11" s="97"/>
      <c r="G11" s="95"/>
      <c r="H11" s="96"/>
      <c r="I11" s="96"/>
      <c r="J11" s="97"/>
      <c r="K11" s="95"/>
      <c r="L11" s="96"/>
      <c r="M11" s="96"/>
      <c r="N11" s="97"/>
      <c r="O11" s="95"/>
      <c r="P11" s="96"/>
      <c r="Q11" s="96"/>
      <c r="R11" s="97"/>
      <c r="S11" s="95"/>
      <c r="T11" s="96"/>
      <c r="U11" s="96"/>
      <c r="V11" s="97"/>
      <c r="W11" s="95"/>
      <c r="X11" s="96"/>
      <c r="Y11" s="96"/>
      <c r="Z11" s="97"/>
      <c r="AA11" s="95"/>
      <c r="AB11" s="96"/>
      <c r="AC11" s="96"/>
      <c r="AD11" s="97"/>
      <c r="AE11" s="95"/>
      <c r="AF11" s="96"/>
      <c r="AG11" s="96"/>
      <c r="AH11" s="97"/>
      <c r="AI11" s="83"/>
      <c r="AJ11" s="84"/>
      <c r="AK11" s="84"/>
      <c r="AL11" s="85"/>
    </row>
    <row r="12" spans="1:40" ht="17.25" thickTop="1">
      <c r="A12" s="187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48">
        <f>SUM(AK6:AK11)</f>
        <v>669375</v>
      </c>
      <c r="AL12" s="2"/>
    </row>
  </sheetData>
  <mergeCells count="15">
    <mergeCell ref="O4:R4"/>
    <mergeCell ref="S4:V4"/>
    <mergeCell ref="W4:Z4"/>
    <mergeCell ref="AA4:AD4"/>
    <mergeCell ref="AE4:AH4"/>
    <mergeCell ref="AL3:AL4"/>
    <mergeCell ref="A3:A4"/>
    <mergeCell ref="B3:B4"/>
    <mergeCell ref="AI3:AI4"/>
    <mergeCell ref="AJ3:AJ4"/>
    <mergeCell ref="AK3:AK4"/>
    <mergeCell ref="G3:AG3"/>
    <mergeCell ref="C4:F4"/>
    <mergeCell ref="G4:J4"/>
    <mergeCell ref="K4:N4"/>
  </mergeCells>
  <conditionalFormatting sqref="AK12:AL12 AI6:AL6 AL4 AI1:AL3 AI13:AL1048576 AI9:AL11">
    <cfRule type="cellIs" dxfId="33" priority="19" stopIfTrue="1" operator="equal">
      <formula>0.5</formula>
    </cfRule>
  </conditionalFormatting>
  <conditionalFormatting sqref="AI7:AL8">
    <cfRule type="cellIs" dxfId="32" priority="12" stopIfTrue="1" operator="equal">
      <formula>0.5</formula>
    </cfRule>
  </conditionalFormatting>
  <conditionalFormatting sqref="AI5:AL5">
    <cfRule type="cellIs" dxfId="31" priority="8" stopIfTrue="1" operator="equal">
      <formula>0.5</formula>
    </cfRule>
  </conditionalFormatting>
  <conditionalFormatting sqref="C5:AH8">
    <cfRule type="cellIs" dxfId="30" priority="6" operator="equal">
      <formula>0.25</formula>
    </cfRule>
  </conditionalFormatting>
  <conditionalFormatting sqref="C9:AH9">
    <cfRule type="cellIs" dxfId="29" priority="5" operator="equal">
      <formula>0.25</formula>
    </cfRule>
  </conditionalFormatting>
  <conditionalFormatting sqref="C12:AH12">
    <cfRule type="cellIs" dxfId="28" priority="4" operator="equal">
      <formula>0.25</formula>
    </cfRule>
  </conditionalFormatting>
  <conditionalFormatting sqref="C11:AH11">
    <cfRule type="cellIs" dxfId="27" priority="3" operator="equal">
      <formula>0.25</formula>
    </cfRule>
  </conditionalFormatting>
  <conditionalFormatting sqref="C10:AH10">
    <cfRule type="cellIs" dxfId="26" priority="2" operator="equal">
      <formula>0.25</formula>
    </cfRule>
  </conditionalFormatting>
  <pageMargins left="0.11811023622047245" right="0.11811023622047245" top="0.74803149606299213" bottom="0.74803149606299213" header="0.31496062992125984" footer="0.31496062992125984"/>
  <pageSetup paperSize="9" scale="7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F83C-ABBA-403A-830C-063BABB3F2C4}">
  <sheetPr>
    <pageSetUpPr fitToPage="1"/>
  </sheetPr>
  <dimension ref="A1:AJ24"/>
  <sheetViews>
    <sheetView zoomScale="115" zoomScaleNormal="115" workbookViewId="0">
      <selection activeCell="W30" sqref="W30"/>
    </sheetView>
  </sheetViews>
  <sheetFormatPr defaultRowHeight="16.5"/>
  <cols>
    <col min="1" max="1" width="5.140625" style="23" bestFit="1" customWidth="1"/>
    <col min="2" max="2" width="30.5703125" style="23" bestFit="1" customWidth="1"/>
    <col min="3" max="30" width="2.140625" style="1" customWidth="1"/>
    <col min="31" max="31" width="9" style="2" customWidth="1"/>
    <col min="32" max="32" width="6.5703125" style="2" customWidth="1"/>
    <col min="33" max="33" width="11.85546875" style="2" customWidth="1"/>
    <col min="34" max="34" width="10.7109375" style="2" customWidth="1"/>
    <col min="35" max="35" width="14" style="2" bestFit="1" customWidth="1"/>
    <col min="36" max="36" width="17.140625" style="2" customWidth="1"/>
    <col min="37" max="16384" width="9.140625" style="23"/>
  </cols>
  <sheetData>
    <row r="1" spans="1:36" ht="20.25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24"/>
      <c r="AF1" s="24"/>
      <c r="AG1" s="24"/>
      <c r="AH1" s="24"/>
      <c r="AI1" s="24"/>
      <c r="AJ1" s="24"/>
    </row>
    <row r="2" spans="1:36" ht="17.25" thickBot="1">
      <c r="B2" s="25" t="s">
        <v>61</v>
      </c>
      <c r="AJ2" s="26"/>
    </row>
    <row r="3" spans="1:36" ht="17.25" thickTop="1">
      <c r="A3" s="27" t="s">
        <v>6</v>
      </c>
      <c r="B3" s="27" t="s">
        <v>5</v>
      </c>
      <c r="C3" s="153"/>
      <c r="D3" s="153"/>
      <c r="E3" s="153"/>
      <c r="F3" s="153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28"/>
      <c r="AF3" s="28"/>
      <c r="AG3" s="28"/>
      <c r="AH3" s="28"/>
      <c r="AI3" s="28"/>
      <c r="AJ3" s="29" t="s">
        <v>4</v>
      </c>
    </row>
    <row r="4" spans="1:36">
      <c r="A4" s="30"/>
      <c r="B4" s="31"/>
      <c r="C4" s="191">
        <v>1</v>
      </c>
      <c r="D4" s="192"/>
      <c r="E4" s="192"/>
      <c r="F4" s="193"/>
      <c r="G4" s="191">
        <v>2</v>
      </c>
      <c r="H4" s="192"/>
      <c r="I4" s="192"/>
      <c r="J4" s="193"/>
      <c r="K4" s="191">
        <v>3</v>
      </c>
      <c r="L4" s="192"/>
      <c r="M4" s="192"/>
      <c r="N4" s="193"/>
      <c r="O4" s="191">
        <v>4</v>
      </c>
      <c r="P4" s="192"/>
      <c r="Q4" s="192"/>
      <c r="R4" s="193"/>
      <c r="S4" s="191">
        <v>5</v>
      </c>
      <c r="T4" s="192"/>
      <c r="U4" s="192"/>
      <c r="V4" s="193"/>
      <c r="W4" s="191">
        <v>6</v>
      </c>
      <c r="X4" s="192"/>
      <c r="Y4" s="192"/>
      <c r="Z4" s="193"/>
      <c r="AA4" s="191">
        <v>7</v>
      </c>
      <c r="AB4" s="192"/>
      <c r="AC4" s="192"/>
      <c r="AD4" s="193"/>
      <c r="AE4" s="32" t="s">
        <v>3</v>
      </c>
      <c r="AF4" s="32" t="s">
        <v>16</v>
      </c>
      <c r="AG4" s="32" t="s">
        <v>17</v>
      </c>
      <c r="AH4" s="32" t="s">
        <v>18</v>
      </c>
      <c r="AI4" s="32" t="s">
        <v>1</v>
      </c>
      <c r="AJ4" s="33"/>
    </row>
    <row r="5" spans="1:36">
      <c r="A5" s="183" t="s">
        <v>19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</row>
    <row r="6" spans="1:36">
      <c r="A6" s="7">
        <v>1</v>
      </c>
      <c r="B6" s="55" t="s">
        <v>20</v>
      </c>
      <c r="C6" s="73">
        <v>0.25</v>
      </c>
      <c r="D6" s="74">
        <v>0.25</v>
      </c>
      <c r="E6" s="74">
        <v>0.25</v>
      </c>
      <c r="F6" s="75">
        <v>0.25</v>
      </c>
      <c r="G6" s="73">
        <v>0.25</v>
      </c>
      <c r="H6" s="74">
        <v>0.25</v>
      </c>
      <c r="I6" s="74">
        <v>0.25</v>
      </c>
      <c r="J6" s="75">
        <v>0.25</v>
      </c>
      <c r="K6" s="73">
        <v>0.25</v>
      </c>
      <c r="L6" s="74">
        <v>0.25</v>
      </c>
      <c r="M6" s="74">
        <v>0.25</v>
      </c>
      <c r="N6" s="75">
        <v>0.25</v>
      </c>
      <c r="O6" s="73">
        <v>0.25</v>
      </c>
      <c r="P6" s="74">
        <v>0.25</v>
      </c>
      <c r="Q6" s="74">
        <v>0.25</v>
      </c>
      <c r="R6" s="75">
        <v>0.25</v>
      </c>
      <c r="S6" s="73">
        <v>0.25</v>
      </c>
      <c r="T6" s="74">
        <v>0.25</v>
      </c>
      <c r="U6" s="74">
        <v>0.25</v>
      </c>
      <c r="V6" s="75">
        <v>0.25</v>
      </c>
      <c r="W6" s="73">
        <v>0.25</v>
      </c>
      <c r="X6" s="74">
        <v>0.25</v>
      </c>
      <c r="Y6" s="74">
        <v>0.25</v>
      </c>
      <c r="Z6" s="75">
        <v>0.25</v>
      </c>
      <c r="AA6" s="73">
        <v>0.25</v>
      </c>
      <c r="AB6" s="74"/>
      <c r="AC6" s="74"/>
      <c r="AD6" s="75"/>
      <c r="AE6" s="149">
        <f>SUM(C6:AD6)</f>
        <v>6.25</v>
      </c>
      <c r="AF6" s="34">
        <v>1</v>
      </c>
      <c r="AG6" s="47">
        <v>2250</v>
      </c>
      <c r="AH6" s="47">
        <f>AG6*AF6</f>
        <v>2250</v>
      </c>
      <c r="AI6" s="47">
        <f>AH6*AE6</f>
        <v>14062.5</v>
      </c>
      <c r="AJ6" s="3"/>
    </row>
    <row r="7" spans="1:36">
      <c r="A7" s="7">
        <v>2</v>
      </c>
      <c r="B7" s="55" t="s">
        <v>21</v>
      </c>
      <c r="C7" s="73">
        <v>0.25</v>
      </c>
      <c r="D7" s="74">
        <v>0.25</v>
      </c>
      <c r="E7" s="74">
        <v>0.25</v>
      </c>
      <c r="F7" s="75">
        <v>0.25</v>
      </c>
      <c r="G7" s="73">
        <v>0.25</v>
      </c>
      <c r="H7" s="74">
        <v>0.25</v>
      </c>
      <c r="I7" s="74">
        <v>0.25</v>
      </c>
      <c r="J7" s="75">
        <v>0.25</v>
      </c>
      <c r="K7" s="73">
        <v>0.25</v>
      </c>
      <c r="L7" s="74">
        <v>0.25</v>
      </c>
      <c r="M7" s="74">
        <v>0.25</v>
      </c>
      <c r="N7" s="75">
        <v>0.25</v>
      </c>
      <c r="O7" s="73">
        <v>0.25</v>
      </c>
      <c r="P7" s="74">
        <v>0.25</v>
      </c>
      <c r="Q7" s="74">
        <v>0.25</v>
      </c>
      <c r="R7" s="75">
        <v>0.25</v>
      </c>
      <c r="S7" s="73">
        <v>0.25</v>
      </c>
      <c r="T7" s="74">
        <v>0.25</v>
      </c>
      <c r="U7" s="74">
        <v>0.25</v>
      </c>
      <c r="V7" s="75">
        <v>0.25</v>
      </c>
      <c r="W7" s="73">
        <v>0.25</v>
      </c>
      <c r="X7" s="74">
        <v>0.25</v>
      </c>
      <c r="Y7" s="74">
        <v>0.25</v>
      </c>
      <c r="Z7" s="75">
        <v>0.25</v>
      </c>
      <c r="AA7" s="73">
        <v>0.25</v>
      </c>
      <c r="AB7" s="74"/>
      <c r="AC7" s="74"/>
      <c r="AD7" s="75"/>
      <c r="AE7" s="149">
        <f>SUM(C7:AD7)</f>
        <v>6.25</v>
      </c>
      <c r="AF7" s="34">
        <v>1</v>
      </c>
      <c r="AG7" s="47">
        <v>1750</v>
      </c>
      <c r="AH7" s="47">
        <f t="shared" ref="AH7:AH10" si="0">AG7*AF7</f>
        <v>1750</v>
      </c>
      <c r="AI7" s="47">
        <f t="shared" ref="AI7:AI11" si="1">AH7*AE7</f>
        <v>10937.5</v>
      </c>
      <c r="AJ7" s="3"/>
    </row>
    <row r="8" spans="1:36">
      <c r="A8" s="7">
        <v>6</v>
      </c>
      <c r="B8" s="55" t="s">
        <v>22</v>
      </c>
      <c r="C8" s="73">
        <v>0.25</v>
      </c>
      <c r="D8" s="74">
        <v>0.25</v>
      </c>
      <c r="E8" s="74">
        <v>0.25</v>
      </c>
      <c r="F8" s="75">
        <v>0.25</v>
      </c>
      <c r="G8" s="73">
        <v>0.25</v>
      </c>
      <c r="H8" s="74">
        <v>0.25</v>
      </c>
      <c r="I8" s="74">
        <v>0.25</v>
      </c>
      <c r="J8" s="75">
        <v>0.25</v>
      </c>
      <c r="K8" s="73">
        <v>0.25</v>
      </c>
      <c r="L8" s="74">
        <v>0.25</v>
      </c>
      <c r="M8" s="74">
        <v>0.25</v>
      </c>
      <c r="N8" s="75">
        <v>0.25</v>
      </c>
      <c r="O8" s="73">
        <v>0.25</v>
      </c>
      <c r="P8" s="74">
        <v>0.25</v>
      </c>
      <c r="Q8" s="74">
        <v>0.25</v>
      </c>
      <c r="R8" s="75">
        <v>0.25</v>
      </c>
      <c r="S8" s="73">
        <v>0.25</v>
      </c>
      <c r="T8" s="74">
        <v>0.25</v>
      </c>
      <c r="U8" s="74">
        <v>0.25</v>
      </c>
      <c r="V8" s="75">
        <v>0.25</v>
      </c>
      <c r="W8" s="73">
        <v>0.25</v>
      </c>
      <c r="X8" s="74">
        <v>0.25</v>
      </c>
      <c r="Y8" s="74">
        <v>0.25</v>
      </c>
      <c r="Z8" s="75">
        <v>0.25</v>
      </c>
      <c r="AA8" s="73">
        <v>0.25</v>
      </c>
      <c r="AB8" s="74"/>
      <c r="AC8" s="74"/>
      <c r="AD8" s="75"/>
      <c r="AE8" s="149">
        <f>SUM(C8:AD8)</f>
        <v>6.25</v>
      </c>
      <c r="AF8" s="34">
        <v>1</v>
      </c>
      <c r="AG8" s="47">
        <v>1750</v>
      </c>
      <c r="AH8" s="47">
        <f t="shared" si="0"/>
        <v>1750</v>
      </c>
      <c r="AI8" s="47">
        <f t="shared" si="1"/>
        <v>10937.5</v>
      </c>
      <c r="AJ8" s="3"/>
    </row>
    <row r="9" spans="1:36">
      <c r="A9" s="7">
        <v>7</v>
      </c>
      <c r="B9" s="55" t="s">
        <v>23</v>
      </c>
      <c r="C9" s="73">
        <v>0.25</v>
      </c>
      <c r="D9" s="74">
        <v>0.25</v>
      </c>
      <c r="E9" s="74">
        <v>0.25</v>
      </c>
      <c r="F9" s="75">
        <v>0.25</v>
      </c>
      <c r="G9" s="73">
        <v>0.25</v>
      </c>
      <c r="H9" s="74">
        <v>0.25</v>
      </c>
      <c r="I9" s="74">
        <v>0.25</v>
      </c>
      <c r="J9" s="75">
        <v>0.25</v>
      </c>
      <c r="K9" s="73">
        <v>0.25</v>
      </c>
      <c r="L9" s="74">
        <v>0.25</v>
      </c>
      <c r="M9" s="74">
        <v>0.25</v>
      </c>
      <c r="N9" s="75">
        <v>0.25</v>
      </c>
      <c r="O9" s="73">
        <v>0.25</v>
      </c>
      <c r="P9" s="74">
        <v>0.25</v>
      </c>
      <c r="Q9" s="74">
        <v>0.25</v>
      </c>
      <c r="R9" s="75">
        <v>0.25</v>
      </c>
      <c r="S9" s="73">
        <v>0.25</v>
      </c>
      <c r="T9" s="74">
        <v>0.25</v>
      </c>
      <c r="U9" s="74">
        <v>0.25</v>
      </c>
      <c r="V9" s="75">
        <v>0.25</v>
      </c>
      <c r="W9" s="73">
        <v>0.25</v>
      </c>
      <c r="X9" s="74">
        <v>0.25</v>
      </c>
      <c r="Y9" s="74">
        <v>0.25</v>
      </c>
      <c r="Z9" s="75">
        <v>0.25</v>
      </c>
      <c r="AA9" s="73">
        <v>0.25</v>
      </c>
      <c r="AB9" s="74"/>
      <c r="AC9" s="74"/>
      <c r="AD9" s="75"/>
      <c r="AE9" s="149">
        <f>SUM(C9:AD9)</f>
        <v>6.25</v>
      </c>
      <c r="AF9" s="34">
        <v>2</v>
      </c>
      <c r="AG9" s="47">
        <v>1250</v>
      </c>
      <c r="AH9" s="47">
        <f t="shared" si="0"/>
        <v>2500</v>
      </c>
      <c r="AI9" s="47">
        <f t="shared" si="1"/>
        <v>15625</v>
      </c>
      <c r="AJ9" s="3"/>
    </row>
    <row r="10" spans="1:36">
      <c r="A10" s="7">
        <v>8</v>
      </c>
      <c r="B10" s="55" t="s">
        <v>24</v>
      </c>
      <c r="C10" s="73">
        <v>0.25</v>
      </c>
      <c r="D10" s="74">
        <v>0.25</v>
      </c>
      <c r="E10" s="74">
        <v>0.25</v>
      </c>
      <c r="F10" s="75">
        <v>0.25</v>
      </c>
      <c r="G10" s="73">
        <v>0.25</v>
      </c>
      <c r="H10" s="74">
        <v>0.25</v>
      </c>
      <c r="I10" s="74">
        <v>0.25</v>
      </c>
      <c r="J10" s="75">
        <v>0.25</v>
      </c>
      <c r="K10" s="73">
        <v>0.25</v>
      </c>
      <c r="L10" s="74">
        <v>0.25</v>
      </c>
      <c r="M10" s="74">
        <v>0.25</v>
      </c>
      <c r="N10" s="75">
        <v>0.25</v>
      </c>
      <c r="O10" s="73">
        <v>0.25</v>
      </c>
      <c r="P10" s="74">
        <v>0.25</v>
      </c>
      <c r="Q10" s="74">
        <v>0.25</v>
      </c>
      <c r="R10" s="75">
        <v>0.25</v>
      </c>
      <c r="S10" s="73">
        <v>0.25</v>
      </c>
      <c r="T10" s="74">
        <v>0.25</v>
      </c>
      <c r="U10" s="74">
        <v>0.25</v>
      </c>
      <c r="V10" s="75">
        <v>0.25</v>
      </c>
      <c r="W10" s="73">
        <v>0.25</v>
      </c>
      <c r="X10" s="74">
        <v>0.25</v>
      </c>
      <c r="Y10" s="74">
        <v>0.25</v>
      </c>
      <c r="Z10" s="75">
        <v>0.25</v>
      </c>
      <c r="AA10" s="73">
        <v>0.25</v>
      </c>
      <c r="AB10" s="74"/>
      <c r="AC10" s="74"/>
      <c r="AD10" s="75"/>
      <c r="AE10" s="149">
        <f>SUM(C10:AD10)</f>
        <v>6.25</v>
      </c>
      <c r="AF10" s="34">
        <v>2</v>
      </c>
      <c r="AG10" s="47">
        <v>1000</v>
      </c>
      <c r="AH10" s="47">
        <f t="shared" si="0"/>
        <v>2000</v>
      </c>
      <c r="AI10" s="47">
        <f t="shared" si="1"/>
        <v>12500</v>
      </c>
      <c r="AJ10" s="3"/>
    </row>
    <row r="11" spans="1:36" ht="17.25" thickBot="1">
      <c r="A11" s="81">
        <v>10</v>
      </c>
      <c r="B11" s="82" t="s">
        <v>25</v>
      </c>
      <c r="C11" s="95">
        <v>0.25</v>
      </c>
      <c r="D11" s="96">
        <v>0.25</v>
      </c>
      <c r="E11" s="96">
        <v>0.25</v>
      </c>
      <c r="F11" s="97">
        <v>0.25</v>
      </c>
      <c r="G11" s="95">
        <v>0.25</v>
      </c>
      <c r="H11" s="96">
        <v>0.25</v>
      </c>
      <c r="I11" s="96">
        <v>0.25</v>
      </c>
      <c r="J11" s="97">
        <v>0.25</v>
      </c>
      <c r="K11" s="95">
        <v>0.25</v>
      </c>
      <c r="L11" s="96">
        <v>0.25</v>
      </c>
      <c r="M11" s="96">
        <v>0.25</v>
      </c>
      <c r="N11" s="97">
        <v>0.25</v>
      </c>
      <c r="O11" s="95">
        <v>0.25</v>
      </c>
      <c r="P11" s="96">
        <v>0.25</v>
      </c>
      <c r="Q11" s="96">
        <v>0.25</v>
      </c>
      <c r="R11" s="97">
        <v>0.25</v>
      </c>
      <c r="S11" s="95">
        <v>0.25</v>
      </c>
      <c r="T11" s="96">
        <v>0.25</v>
      </c>
      <c r="U11" s="96">
        <v>0.25</v>
      </c>
      <c r="V11" s="97">
        <v>0.25</v>
      </c>
      <c r="W11" s="95">
        <v>0.25</v>
      </c>
      <c r="X11" s="96">
        <v>0.25</v>
      </c>
      <c r="Y11" s="96">
        <v>0.25</v>
      </c>
      <c r="Z11" s="97">
        <v>0.25</v>
      </c>
      <c r="AA11" s="95">
        <v>0.25</v>
      </c>
      <c r="AB11" s="96"/>
      <c r="AC11" s="96"/>
      <c r="AD11" s="97"/>
      <c r="AE11" s="201">
        <f>SUM(C11:AD11)</f>
        <v>6.25</v>
      </c>
      <c r="AF11" s="88">
        <v>2</v>
      </c>
      <c r="AG11" s="89">
        <v>1000</v>
      </c>
      <c r="AH11" s="89">
        <f>AG11*AF11</f>
        <v>2000</v>
      </c>
      <c r="AI11" s="89">
        <f t="shared" si="1"/>
        <v>12500</v>
      </c>
      <c r="AJ11" s="85"/>
    </row>
    <row r="12" spans="1:36" ht="17.25" thickTop="1">
      <c r="A12" s="180" t="s">
        <v>26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2"/>
    </row>
    <row r="13" spans="1:36">
      <c r="A13" s="7">
        <v>1</v>
      </c>
      <c r="B13" s="55" t="s">
        <v>54</v>
      </c>
      <c r="C13" s="202">
        <v>0.25</v>
      </c>
      <c r="D13" s="203">
        <v>0.25</v>
      </c>
      <c r="E13" s="203">
        <v>0.25</v>
      </c>
      <c r="F13" s="204">
        <v>0.25</v>
      </c>
      <c r="G13" s="202">
        <v>0.25</v>
      </c>
      <c r="H13" s="203">
        <v>0.25</v>
      </c>
      <c r="I13" s="203">
        <v>0.25</v>
      </c>
      <c r="J13" s="204">
        <v>0.25</v>
      </c>
      <c r="K13" s="202">
        <v>0.25</v>
      </c>
      <c r="L13" s="203">
        <v>0.25</v>
      </c>
      <c r="M13" s="203">
        <v>0.25</v>
      </c>
      <c r="N13" s="204">
        <v>0.25</v>
      </c>
      <c r="O13" s="202">
        <v>0.25</v>
      </c>
      <c r="P13" s="203">
        <v>0.25</v>
      </c>
      <c r="Q13" s="203">
        <v>0.25</v>
      </c>
      <c r="R13" s="204">
        <v>0.25</v>
      </c>
      <c r="S13" s="202">
        <v>0.25</v>
      </c>
      <c r="T13" s="203">
        <v>0.25</v>
      </c>
      <c r="U13" s="203">
        <v>0.25</v>
      </c>
      <c r="V13" s="204">
        <v>0.25</v>
      </c>
      <c r="W13" s="202">
        <v>0.25</v>
      </c>
      <c r="X13" s="203">
        <v>0.25</v>
      </c>
      <c r="Y13" s="203">
        <v>0.25</v>
      </c>
      <c r="Z13" s="204">
        <v>0.25</v>
      </c>
      <c r="AA13" s="202">
        <v>0.25</v>
      </c>
      <c r="AB13" s="203"/>
      <c r="AC13" s="203"/>
      <c r="AD13" s="204"/>
      <c r="AE13" s="149">
        <f>SUM(C13:AD13)</f>
        <v>6.25</v>
      </c>
      <c r="AF13" s="34">
        <v>8</v>
      </c>
      <c r="AG13" s="47">
        <v>1250</v>
      </c>
      <c r="AH13" s="47">
        <f>AG13*AF13</f>
        <v>10000</v>
      </c>
      <c r="AI13" s="47">
        <f>AE13*AH13</f>
        <v>62500</v>
      </c>
      <c r="AJ13" s="3"/>
    </row>
    <row r="14" spans="1:36">
      <c r="A14" s="7">
        <v>2</v>
      </c>
      <c r="B14" s="55" t="s">
        <v>49</v>
      </c>
      <c r="C14" s="202">
        <v>0.25</v>
      </c>
      <c r="D14" s="203">
        <v>0.25</v>
      </c>
      <c r="E14" s="203">
        <v>0.25</v>
      </c>
      <c r="F14" s="204">
        <v>0.25</v>
      </c>
      <c r="G14" s="202">
        <v>0.25</v>
      </c>
      <c r="H14" s="203">
        <v>0.25</v>
      </c>
      <c r="I14" s="203">
        <v>0.25</v>
      </c>
      <c r="J14" s="204">
        <v>0.25</v>
      </c>
      <c r="K14" s="202">
        <v>0.25</v>
      </c>
      <c r="L14" s="203">
        <v>0.25</v>
      </c>
      <c r="M14" s="203">
        <v>0.25</v>
      </c>
      <c r="N14" s="204">
        <v>0.25</v>
      </c>
      <c r="O14" s="202">
        <v>0.25</v>
      </c>
      <c r="P14" s="203">
        <v>0.25</v>
      </c>
      <c r="Q14" s="203">
        <v>0.25</v>
      </c>
      <c r="R14" s="204">
        <v>0.25</v>
      </c>
      <c r="S14" s="202">
        <v>0.25</v>
      </c>
      <c r="T14" s="203">
        <v>0.25</v>
      </c>
      <c r="U14" s="203">
        <v>0.25</v>
      </c>
      <c r="V14" s="204">
        <v>0.25</v>
      </c>
      <c r="W14" s="202">
        <v>0.25</v>
      </c>
      <c r="X14" s="203">
        <v>0.25</v>
      </c>
      <c r="Y14" s="203">
        <v>0.25</v>
      </c>
      <c r="Z14" s="204">
        <v>0.25</v>
      </c>
      <c r="AA14" s="202">
        <v>0.25</v>
      </c>
      <c r="AB14" s="203"/>
      <c r="AC14" s="203"/>
      <c r="AD14" s="204"/>
      <c r="AE14" s="149">
        <f>SUM(C14:AD14)</f>
        <v>6.25</v>
      </c>
      <c r="AF14" s="34">
        <v>6</v>
      </c>
      <c r="AG14" s="47">
        <v>2000</v>
      </c>
      <c r="AH14" s="47">
        <f>AG14*AF14</f>
        <v>12000</v>
      </c>
      <c r="AI14" s="47">
        <f t="shared" ref="AI14:AI21" si="2">AE14*AH14</f>
        <v>75000</v>
      </c>
      <c r="AJ14" s="3"/>
    </row>
    <row r="15" spans="1:36">
      <c r="A15" s="7">
        <v>3</v>
      </c>
      <c r="B15" s="55" t="s">
        <v>50</v>
      </c>
      <c r="C15" s="202">
        <v>0.25</v>
      </c>
      <c r="D15" s="203">
        <v>0.25</v>
      </c>
      <c r="E15" s="203">
        <v>0.25</v>
      </c>
      <c r="F15" s="204">
        <v>0.25</v>
      </c>
      <c r="G15" s="202">
        <v>0.25</v>
      </c>
      <c r="H15" s="203">
        <v>0.25</v>
      </c>
      <c r="I15" s="203">
        <v>0.25</v>
      </c>
      <c r="J15" s="204">
        <v>0.25</v>
      </c>
      <c r="K15" s="202">
        <v>0.25</v>
      </c>
      <c r="L15" s="203">
        <v>0.25</v>
      </c>
      <c r="M15" s="203">
        <v>0.25</v>
      </c>
      <c r="N15" s="204">
        <v>0.25</v>
      </c>
      <c r="O15" s="202">
        <v>0.25</v>
      </c>
      <c r="P15" s="203">
        <v>0.25</v>
      </c>
      <c r="Q15" s="203">
        <v>0.25</v>
      </c>
      <c r="R15" s="204">
        <v>0.25</v>
      </c>
      <c r="S15" s="202">
        <v>0.25</v>
      </c>
      <c r="T15" s="203">
        <v>0.25</v>
      </c>
      <c r="U15" s="203">
        <v>0.25</v>
      </c>
      <c r="V15" s="204">
        <v>0.25</v>
      </c>
      <c r="W15" s="202">
        <v>0.25</v>
      </c>
      <c r="X15" s="203">
        <v>0.25</v>
      </c>
      <c r="Y15" s="203">
        <v>0.25</v>
      </c>
      <c r="Z15" s="204">
        <v>0.25</v>
      </c>
      <c r="AA15" s="202">
        <v>0.25</v>
      </c>
      <c r="AB15" s="203"/>
      <c r="AC15" s="203"/>
      <c r="AD15" s="204"/>
      <c r="AE15" s="149">
        <f>SUM(C15:AD15)</f>
        <v>6.25</v>
      </c>
      <c r="AF15" s="34">
        <v>5</v>
      </c>
      <c r="AG15" s="47">
        <v>1000</v>
      </c>
      <c r="AH15" s="47">
        <f t="shared" ref="AH15:AH20" si="3">AG15*AF15</f>
        <v>5000</v>
      </c>
      <c r="AI15" s="47">
        <f t="shared" si="2"/>
        <v>31250</v>
      </c>
      <c r="AJ15" s="3"/>
    </row>
    <row r="16" spans="1:36">
      <c r="A16" s="7">
        <v>4</v>
      </c>
      <c r="B16" s="55" t="s">
        <v>51</v>
      </c>
      <c r="C16" s="202">
        <v>0.25</v>
      </c>
      <c r="D16" s="203">
        <v>0.25</v>
      </c>
      <c r="E16" s="203">
        <v>0.25</v>
      </c>
      <c r="F16" s="204">
        <v>0.25</v>
      </c>
      <c r="G16" s="202">
        <v>0.25</v>
      </c>
      <c r="H16" s="203">
        <v>0.25</v>
      </c>
      <c r="I16" s="203">
        <v>0.25</v>
      </c>
      <c r="J16" s="204">
        <v>0.25</v>
      </c>
      <c r="K16" s="202">
        <v>0.25</v>
      </c>
      <c r="L16" s="203">
        <v>0.25</v>
      </c>
      <c r="M16" s="203">
        <v>0.25</v>
      </c>
      <c r="N16" s="204">
        <v>0.25</v>
      </c>
      <c r="O16" s="202">
        <v>0.25</v>
      </c>
      <c r="P16" s="203">
        <v>0.25</v>
      </c>
      <c r="Q16" s="203">
        <v>0.25</v>
      </c>
      <c r="R16" s="204">
        <v>0.25</v>
      </c>
      <c r="S16" s="202">
        <v>0.25</v>
      </c>
      <c r="T16" s="203">
        <v>0.25</v>
      </c>
      <c r="U16" s="203">
        <v>0.25</v>
      </c>
      <c r="V16" s="204">
        <v>0.25</v>
      </c>
      <c r="W16" s="202">
        <v>0.25</v>
      </c>
      <c r="X16" s="203">
        <v>0.25</v>
      </c>
      <c r="Y16" s="203">
        <v>0.25</v>
      </c>
      <c r="Z16" s="204">
        <v>0.25</v>
      </c>
      <c r="AA16" s="202">
        <v>0.25</v>
      </c>
      <c r="AB16" s="203"/>
      <c r="AC16" s="203"/>
      <c r="AD16" s="204"/>
      <c r="AE16" s="149">
        <f>SUM(C16:AD16)</f>
        <v>6.25</v>
      </c>
      <c r="AF16" s="34">
        <v>5</v>
      </c>
      <c r="AG16" s="47">
        <v>1000</v>
      </c>
      <c r="AH16" s="47">
        <f t="shared" si="3"/>
        <v>5000</v>
      </c>
      <c r="AI16" s="47">
        <f t="shared" si="2"/>
        <v>31250</v>
      </c>
      <c r="AJ16" s="3"/>
    </row>
    <row r="17" spans="1:36">
      <c r="A17" s="7">
        <v>5</v>
      </c>
      <c r="B17" s="55" t="s">
        <v>52</v>
      </c>
      <c r="C17" s="202">
        <v>0.25</v>
      </c>
      <c r="D17" s="203">
        <v>0.25</v>
      </c>
      <c r="E17" s="203">
        <v>0.25</v>
      </c>
      <c r="F17" s="204">
        <v>0.25</v>
      </c>
      <c r="G17" s="202">
        <v>0.25</v>
      </c>
      <c r="H17" s="203">
        <v>0.25</v>
      </c>
      <c r="I17" s="203">
        <v>0.25</v>
      </c>
      <c r="J17" s="204">
        <v>0.25</v>
      </c>
      <c r="K17" s="202">
        <v>0.25</v>
      </c>
      <c r="L17" s="203">
        <v>0.25</v>
      </c>
      <c r="M17" s="203">
        <v>0.25</v>
      </c>
      <c r="N17" s="204">
        <v>0.25</v>
      </c>
      <c r="O17" s="202">
        <v>0.25</v>
      </c>
      <c r="P17" s="203">
        <v>0.25</v>
      </c>
      <c r="Q17" s="203">
        <v>0.25</v>
      </c>
      <c r="R17" s="204">
        <v>0.25</v>
      </c>
      <c r="S17" s="202">
        <v>0.25</v>
      </c>
      <c r="T17" s="203">
        <v>0.25</v>
      </c>
      <c r="U17" s="203">
        <v>0.25</v>
      </c>
      <c r="V17" s="204">
        <v>0.25</v>
      </c>
      <c r="W17" s="202">
        <v>0.25</v>
      </c>
      <c r="X17" s="203">
        <v>0.25</v>
      </c>
      <c r="Y17" s="203">
        <v>0.25</v>
      </c>
      <c r="Z17" s="204">
        <v>0.25</v>
      </c>
      <c r="AA17" s="202">
        <v>0.25</v>
      </c>
      <c r="AB17" s="203"/>
      <c r="AC17" s="203"/>
      <c r="AD17" s="204"/>
      <c r="AE17" s="149">
        <f>SUM(C17:AD17)</f>
        <v>6.25</v>
      </c>
      <c r="AF17" s="34">
        <v>2</v>
      </c>
      <c r="AG17" s="47">
        <v>1000</v>
      </c>
      <c r="AH17" s="47">
        <f t="shared" si="3"/>
        <v>2000</v>
      </c>
      <c r="AI17" s="47">
        <f t="shared" si="2"/>
        <v>12500</v>
      </c>
      <c r="AJ17" s="3"/>
    </row>
    <row r="18" spans="1:36">
      <c r="A18" s="7">
        <v>6</v>
      </c>
      <c r="B18" s="55" t="s">
        <v>53</v>
      </c>
      <c r="C18" s="202">
        <v>0.25</v>
      </c>
      <c r="D18" s="203">
        <v>0.25</v>
      </c>
      <c r="E18" s="203">
        <v>0.25</v>
      </c>
      <c r="F18" s="204">
        <v>0.25</v>
      </c>
      <c r="G18" s="202">
        <v>0.25</v>
      </c>
      <c r="H18" s="203">
        <v>0.25</v>
      </c>
      <c r="I18" s="203">
        <v>0.25</v>
      </c>
      <c r="J18" s="204">
        <v>0.25</v>
      </c>
      <c r="K18" s="202">
        <v>0.25</v>
      </c>
      <c r="L18" s="203">
        <v>0.25</v>
      </c>
      <c r="M18" s="203">
        <v>0.25</v>
      </c>
      <c r="N18" s="204">
        <v>0.25</v>
      </c>
      <c r="O18" s="202">
        <v>0.25</v>
      </c>
      <c r="P18" s="203">
        <v>0.25</v>
      </c>
      <c r="Q18" s="203">
        <v>0.25</v>
      </c>
      <c r="R18" s="204">
        <v>0.25</v>
      </c>
      <c r="S18" s="202">
        <v>0.25</v>
      </c>
      <c r="T18" s="203">
        <v>0.25</v>
      </c>
      <c r="U18" s="203">
        <v>0.25</v>
      </c>
      <c r="V18" s="204">
        <v>0.25</v>
      </c>
      <c r="W18" s="202">
        <v>0.25</v>
      </c>
      <c r="X18" s="203">
        <v>0.25</v>
      </c>
      <c r="Y18" s="203">
        <v>0.25</v>
      </c>
      <c r="Z18" s="204">
        <v>0.25</v>
      </c>
      <c r="AA18" s="202">
        <v>0.25</v>
      </c>
      <c r="AB18" s="203"/>
      <c r="AC18" s="203"/>
      <c r="AD18" s="204"/>
      <c r="AE18" s="149">
        <f>SUM(C18:AD18)</f>
        <v>6.25</v>
      </c>
      <c r="AF18" s="34">
        <v>2</v>
      </c>
      <c r="AG18" s="47">
        <v>1000</v>
      </c>
      <c r="AH18" s="47">
        <f t="shared" si="3"/>
        <v>2000</v>
      </c>
      <c r="AI18" s="47">
        <f t="shared" si="2"/>
        <v>12500</v>
      </c>
      <c r="AJ18" s="3"/>
    </row>
    <row r="19" spans="1:36">
      <c r="A19" s="7">
        <v>7</v>
      </c>
      <c r="B19" s="55" t="s">
        <v>125</v>
      </c>
      <c r="C19" s="202">
        <v>0.25</v>
      </c>
      <c r="D19" s="203">
        <v>0.25</v>
      </c>
      <c r="E19" s="203">
        <v>0.25</v>
      </c>
      <c r="F19" s="204">
        <v>0.25</v>
      </c>
      <c r="G19" s="202">
        <v>0.25</v>
      </c>
      <c r="H19" s="203">
        <v>0.25</v>
      </c>
      <c r="I19" s="203">
        <v>0.25</v>
      </c>
      <c r="J19" s="204">
        <v>0.25</v>
      </c>
      <c r="K19" s="202">
        <v>0.25</v>
      </c>
      <c r="L19" s="203">
        <v>0.25</v>
      </c>
      <c r="M19" s="203">
        <v>0.25</v>
      </c>
      <c r="N19" s="204">
        <v>0.25</v>
      </c>
      <c r="O19" s="202">
        <v>0.25</v>
      </c>
      <c r="P19" s="203">
        <v>0.25</v>
      </c>
      <c r="Q19" s="203">
        <v>0.25</v>
      </c>
      <c r="R19" s="204">
        <v>0.25</v>
      </c>
      <c r="S19" s="202">
        <v>0.25</v>
      </c>
      <c r="T19" s="203">
        <v>0.25</v>
      </c>
      <c r="U19" s="203">
        <v>0.25</v>
      </c>
      <c r="V19" s="204">
        <v>0.25</v>
      </c>
      <c r="W19" s="202">
        <v>0.25</v>
      </c>
      <c r="X19" s="203">
        <v>0.25</v>
      </c>
      <c r="Y19" s="203">
        <v>0.25</v>
      </c>
      <c r="Z19" s="204">
        <v>0.25</v>
      </c>
      <c r="AA19" s="202">
        <v>0.25</v>
      </c>
      <c r="AB19" s="203"/>
      <c r="AC19" s="203"/>
      <c r="AD19" s="204"/>
      <c r="AE19" s="149">
        <f>SUM(C19:AD19)</f>
        <v>6.25</v>
      </c>
      <c r="AF19" s="34">
        <v>2</v>
      </c>
      <c r="AG19" s="47">
        <v>2000</v>
      </c>
      <c r="AH19" s="47">
        <f t="shared" si="3"/>
        <v>4000</v>
      </c>
      <c r="AI19" s="47">
        <f t="shared" si="2"/>
        <v>25000</v>
      </c>
      <c r="AJ19" s="3"/>
    </row>
    <row r="20" spans="1:36">
      <c r="A20" s="7">
        <v>8</v>
      </c>
      <c r="B20" s="55" t="s">
        <v>57</v>
      </c>
      <c r="C20" s="202">
        <v>0.25</v>
      </c>
      <c r="D20" s="203">
        <v>0.25</v>
      </c>
      <c r="E20" s="203">
        <v>0.25</v>
      </c>
      <c r="F20" s="204">
        <v>0.25</v>
      </c>
      <c r="G20" s="202">
        <v>0.25</v>
      </c>
      <c r="H20" s="203">
        <v>0.25</v>
      </c>
      <c r="I20" s="203">
        <v>0.25</v>
      </c>
      <c r="J20" s="204">
        <v>0.25</v>
      </c>
      <c r="K20" s="202">
        <v>0.25</v>
      </c>
      <c r="L20" s="203">
        <v>0.25</v>
      </c>
      <c r="M20" s="203">
        <v>0.25</v>
      </c>
      <c r="N20" s="204">
        <v>0.25</v>
      </c>
      <c r="O20" s="202">
        <v>0.25</v>
      </c>
      <c r="P20" s="203">
        <v>0.25</v>
      </c>
      <c r="Q20" s="203">
        <v>0.25</v>
      </c>
      <c r="R20" s="204">
        <v>0.25</v>
      </c>
      <c r="S20" s="202">
        <v>0.25</v>
      </c>
      <c r="T20" s="203">
        <v>0.25</v>
      </c>
      <c r="U20" s="203">
        <v>0.25</v>
      </c>
      <c r="V20" s="204">
        <v>0.25</v>
      </c>
      <c r="W20" s="202">
        <v>0.25</v>
      </c>
      <c r="X20" s="203">
        <v>0.25</v>
      </c>
      <c r="Y20" s="203">
        <v>0.25</v>
      </c>
      <c r="Z20" s="204">
        <v>0.25</v>
      </c>
      <c r="AA20" s="202">
        <v>0.25</v>
      </c>
      <c r="AB20" s="203"/>
      <c r="AC20" s="203"/>
      <c r="AD20" s="204"/>
      <c r="AE20" s="149">
        <f>SUM(C20:AD20)</f>
        <v>6.25</v>
      </c>
      <c r="AF20" s="34">
        <v>6</v>
      </c>
      <c r="AG20" s="47">
        <v>2500</v>
      </c>
      <c r="AH20" s="47">
        <f t="shared" si="3"/>
        <v>15000</v>
      </c>
      <c r="AI20" s="47">
        <f t="shared" si="2"/>
        <v>93750</v>
      </c>
      <c r="AJ20" s="3"/>
    </row>
    <row r="21" spans="1:36" ht="17.25" thickBot="1">
      <c r="A21" s="81">
        <v>9</v>
      </c>
      <c r="B21" s="87" t="s">
        <v>58</v>
      </c>
      <c r="C21" s="205">
        <v>0.25</v>
      </c>
      <c r="D21" s="206">
        <v>0.25</v>
      </c>
      <c r="E21" s="206">
        <v>0.25</v>
      </c>
      <c r="F21" s="207">
        <v>0.25</v>
      </c>
      <c r="G21" s="205">
        <v>0.25</v>
      </c>
      <c r="H21" s="206">
        <v>0.25</v>
      </c>
      <c r="I21" s="206">
        <v>0.25</v>
      </c>
      <c r="J21" s="207">
        <v>0.25</v>
      </c>
      <c r="K21" s="205">
        <v>0.25</v>
      </c>
      <c r="L21" s="206">
        <v>0.25</v>
      </c>
      <c r="M21" s="206">
        <v>0.25</v>
      </c>
      <c r="N21" s="207">
        <v>0.25</v>
      </c>
      <c r="O21" s="205">
        <v>0.25</v>
      </c>
      <c r="P21" s="206">
        <v>0.25</v>
      </c>
      <c r="Q21" s="206">
        <v>0.25</v>
      </c>
      <c r="R21" s="207">
        <v>0.25</v>
      </c>
      <c r="S21" s="205">
        <v>0.25</v>
      </c>
      <c r="T21" s="206">
        <v>0.25</v>
      </c>
      <c r="U21" s="206">
        <v>0.25</v>
      </c>
      <c r="V21" s="207">
        <v>0.25</v>
      </c>
      <c r="W21" s="205">
        <v>0.25</v>
      </c>
      <c r="X21" s="206">
        <v>0.25</v>
      </c>
      <c r="Y21" s="206">
        <v>0.25</v>
      </c>
      <c r="Z21" s="207">
        <v>0.25</v>
      </c>
      <c r="AA21" s="205">
        <v>0.25</v>
      </c>
      <c r="AB21" s="206"/>
      <c r="AC21" s="206"/>
      <c r="AD21" s="207"/>
      <c r="AE21" s="201">
        <f>SUM(C21:AA21)</f>
        <v>6.25</v>
      </c>
      <c r="AF21" s="88">
        <v>7</v>
      </c>
      <c r="AG21" s="89">
        <v>2500</v>
      </c>
      <c r="AH21" s="89">
        <f t="shared" ref="AH21" si="4">AG21*AF21</f>
        <v>17500</v>
      </c>
      <c r="AI21" s="89">
        <f t="shared" si="2"/>
        <v>109375</v>
      </c>
      <c r="AJ21" s="85"/>
    </row>
    <row r="22" spans="1:36" ht="17.25" thickTop="1">
      <c r="A22" s="91"/>
      <c r="B22" s="92"/>
      <c r="AE22" s="93"/>
      <c r="AF22" s="94">
        <f>SUM(AF6:AF11)</f>
        <v>9</v>
      </c>
      <c r="AG22" s="178" t="s">
        <v>38</v>
      </c>
      <c r="AH22" s="178"/>
      <c r="AI22" s="86">
        <f>SUM(AI6:AI11)</f>
        <v>76562.5</v>
      </c>
      <c r="AJ22" s="93"/>
    </row>
    <row r="23" spans="1:36">
      <c r="AF23" s="90">
        <f>SUM(AF13:AF21)</f>
        <v>43</v>
      </c>
      <c r="AG23" s="179" t="s">
        <v>39</v>
      </c>
      <c r="AH23" s="179"/>
      <c r="AI23" s="49">
        <f>SUM(AI14:AI20)</f>
        <v>281250</v>
      </c>
    </row>
    <row r="24" spans="1:36">
      <c r="AF24" s="90">
        <f>SUM(AF22:AF23)</f>
        <v>52</v>
      </c>
      <c r="AG24" s="179" t="s">
        <v>40</v>
      </c>
      <c r="AH24" s="179"/>
      <c r="AI24" s="49">
        <f>SUM(AI22:AI23)</f>
        <v>357812.5</v>
      </c>
    </row>
  </sheetData>
  <mergeCells count="13">
    <mergeCell ref="G3:AD3"/>
    <mergeCell ref="C4:F4"/>
    <mergeCell ref="G4:J4"/>
    <mergeCell ref="K4:N4"/>
    <mergeCell ref="O4:R4"/>
    <mergeCell ref="S4:V4"/>
    <mergeCell ref="W4:Z4"/>
    <mergeCell ref="AA4:AD4"/>
    <mergeCell ref="AG22:AH22"/>
    <mergeCell ref="AG23:AH23"/>
    <mergeCell ref="AG24:AH24"/>
    <mergeCell ref="A12:AJ12"/>
    <mergeCell ref="A5:AJ5"/>
  </mergeCells>
  <conditionalFormatting sqref="AE22:AG22 AE23:AF24 AE21:AF21 AF14:AF20 AE25:AJ1048576 AI22:AJ24 AE1:AJ4 AH13:AJ21 AE6:AJ11">
    <cfRule type="cellIs" dxfId="2" priority="22" stopIfTrue="1" operator="equal">
      <formula>0.5</formula>
    </cfRule>
  </conditionalFormatting>
  <conditionalFormatting sqref="AG14:AG21">
    <cfRule type="cellIs" dxfId="25" priority="17" stopIfTrue="1" operator="equal">
      <formula>0.5</formula>
    </cfRule>
  </conditionalFormatting>
  <conditionalFormatting sqref="AG23">
    <cfRule type="cellIs" dxfId="24" priority="15" stopIfTrue="1" operator="equal">
      <formula>0.5</formula>
    </cfRule>
  </conditionalFormatting>
  <conditionalFormatting sqref="AG24">
    <cfRule type="cellIs" dxfId="23" priority="14" stopIfTrue="1" operator="equal">
      <formula>0.5</formula>
    </cfRule>
  </conditionalFormatting>
  <conditionalFormatting sqref="AE13:AF13 AE14:AE20">
    <cfRule type="cellIs" dxfId="22" priority="10" stopIfTrue="1" operator="equal">
      <formula>0.5</formula>
    </cfRule>
  </conditionalFormatting>
  <conditionalFormatting sqref="AG13">
    <cfRule type="cellIs" dxfId="21" priority="9" stopIfTrue="1" operator="equal">
      <formula>0.5</formula>
    </cfRule>
  </conditionalFormatting>
  <conditionalFormatting sqref="C5:AD8">
    <cfRule type="cellIs" dxfId="20" priority="7" operator="equal">
      <formula>0.25</formula>
    </cfRule>
  </conditionalFormatting>
  <conditionalFormatting sqref="C9:AD9">
    <cfRule type="cellIs" dxfId="19" priority="6" operator="equal">
      <formula>0.25</formula>
    </cfRule>
  </conditionalFormatting>
  <conditionalFormatting sqref="C12:AD12">
    <cfRule type="cellIs" dxfId="18" priority="5" operator="equal">
      <formula>0.25</formula>
    </cfRule>
  </conditionalFormatting>
  <conditionalFormatting sqref="C11:AD11">
    <cfRule type="cellIs" dxfId="17" priority="4" operator="equal">
      <formula>0.25</formula>
    </cfRule>
  </conditionalFormatting>
  <conditionalFormatting sqref="C10:AD10">
    <cfRule type="cellIs" dxfId="16" priority="3" operator="equal">
      <formula>0.25</formula>
    </cfRule>
  </conditionalFormatting>
  <conditionalFormatting sqref="C13:F21">
    <cfRule type="cellIs" dxfId="15" priority="2" operator="equal">
      <formula>0.25</formula>
    </cfRule>
  </conditionalFormatting>
  <conditionalFormatting sqref="G13:AD21">
    <cfRule type="cellIs" dxfId="14" priority="1" operator="equal">
      <formula>0.25</formula>
    </cfRule>
  </conditionalFormatting>
  <pageMargins left="0.11811023622047245" right="0.11811023622047245" top="0.74803149606299213" bottom="0.74803149606299213" header="0.31496062992125984" footer="0.31496062992125984"/>
  <pageSetup paperSize="9" scale="63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1696-9A0D-4363-8D2A-2A466084919D}">
  <sheetPr>
    <pageSetUpPr fitToPage="1"/>
  </sheetPr>
  <dimension ref="A2:G15"/>
  <sheetViews>
    <sheetView zoomScaleNormal="100" workbookViewId="0">
      <selection activeCell="F6" sqref="F6:F7"/>
    </sheetView>
  </sheetViews>
  <sheetFormatPr defaultRowHeight="16.5"/>
  <cols>
    <col min="1" max="1" width="5.140625" style="23" bestFit="1" customWidth="1"/>
    <col min="2" max="2" width="30.5703125" style="23" bestFit="1" customWidth="1"/>
    <col min="3" max="3" width="12.7109375" style="23" bestFit="1" customWidth="1"/>
    <col min="4" max="4" width="14" style="23" bestFit="1" customWidth="1"/>
    <col min="5" max="5" width="12.7109375" style="23" bestFit="1" customWidth="1"/>
    <col min="6" max="6" width="13.85546875" style="23" customWidth="1"/>
    <col min="7" max="7" width="14" style="23" bestFit="1" customWidth="1"/>
    <col min="8" max="16384" width="9.140625" style="23"/>
  </cols>
  <sheetData>
    <row r="2" spans="1:7">
      <c r="B2" s="25" t="s">
        <v>32</v>
      </c>
      <c r="C2" s="36">
        <v>2</v>
      </c>
    </row>
    <row r="3" spans="1:7" ht="36.75" customHeight="1">
      <c r="A3" s="37" t="s">
        <v>6</v>
      </c>
      <c r="B3" s="37" t="s">
        <v>5</v>
      </c>
      <c r="C3" s="185" t="s">
        <v>33</v>
      </c>
      <c r="D3" s="185"/>
      <c r="E3" s="37" t="s">
        <v>37</v>
      </c>
      <c r="F3" s="38" t="s">
        <v>34</v>
      </c>
      <c r="G3" s="38" t="s">
        <v>35</v>
      </c>
    </row>
    <row r="4" spans="1:7" ht="24.75" customHeight="1">
      <c r="A4" s="50">
        <v>0</v>
      </c>
      <c r="B4" s="50" t="s">
        <v>54</v>
      </c>
      <c r="C4" s="51">
        <v>75000</v>
      </c>
      <c r="D4" s="51">
        <f>C4*$C$2</f>
        <v>150000</v>
      </c>
      <c r="E4" s="51">
        <f>8*3000*C2</f>
        <v>48000</v>
      </c>
      <c r="F4" s="38">
        <f>5.5*30</f>
        <v>165</v>
      </c>
      <c r="G4" s="52">
        <f>F4*800</f>
        <v>132000</v>
      </c>
    </row>
    <row r="5" spans="1:7">
      <c r="A5" s="7">
        <v>1</v>
      </c>
      <c r="B5" s="6" t="s">
        <v>49</v>
      </c>
      <c r="C5" s="45">
        <f>'4.Equipment'!AJ6</f>
        <v>100000</v>
      </c>
      <c r="D5" s="43">
        <f>C5*$C$2</f>
        <v>200000</v>
      </c>
      <c r="E5" s="43">
        <f>'5.Manpower'!AH14*'6.Mob-Demob'!$C$2</f>
        <v>24000</v>
      </c>
      <c r="F5" s="41"/>
      <c r="G5" s="42">
        <f t="shared" ref="G5:G12" si="0">F5*800</f>
        <v>0</v>
      </c>
    </row>
    <row r="6" spans="1:7">
      <c r="A6" s="7">
        <v>2</v>
      </c>
      <c r="B6" s="6" t="s">
        <v>50</v>
      </c>
      <c r="C6" s="45">
        <f>'4.Equipment'!AJ7</f>
        <v>20000</v>
      </c>
      <c r="D6" s="43">
        <f t="shared" ref="D6:D9" si="1">C6*$C$2</f>
        <v>40000</v>
      </c>
      <c r="E6" s="43">
        <f>'5.Manpower'!AH15*'6.Mob-Demob'!$C$2</f>
        <v>10000</v>
      </c>
      <c r="F6" s="6">
        <f>0.75*30</f>
        <v>22.5</v>
      </c>
      <c r="G6" s="42">
        <f t="shared" si="0"/>
        <v>18000</v>
      </c>
    </row>
    <row r="7" spans="1:7">
      <c r="A7" s="7">
        <v>3</v>
      </c>
      <c r="B7" s="6" t="s">
        <v>51</v>
      </c>
      <c r="C7" s="45">
        <f>'4.Equipment'!AJ8</f>
        <v>20000</v>
      </c>
      <c r="D7" s="43">
        <f t="shared" si="1"/>
        <v>40000</v>
      </c>
      <c r="E7" s="43">
        <f>'5.Manpower'!AH16*'6.Mob-Demob'!$C$2</f>
        <v>10000</v>
      </c>
      <c r="F7" s="6">
        <f>0.75*30</f>
        <v>22.5</v>
      </c>
      <c r="G7" s="42">
        <f t="shared" si="0"/>
        <v>18000</v>
      </c>
    </row>
    <row r="8" spans="1:7">
      <c r="A8" s="7">
        <v>4</v>
      </c>
      <c r="B8" s="6" t="s">
        <v>52</v>
      </c>
      <c r="C8" s="45">
        <f>'4.Equipment'!AJ9</f>
        <v>10000</v>
      </c>
      <c r="D8" s="43">
        <f t="shared" si="1"/>
        <v>20000</v>
      </c>
      <c r="E8" s="43">
        <f>'5.Manpower'!AH17*'6.Mob-Demob'!$C$2</f>
        <v>4000</v>
      </c>
      <c r="F8" s="6"/>
      <c r="G8" s="42">
        <f t="shared" si="0"/>
        <v>0</v>
      </c>
    </row>
    <row r="9" spans="1:7">
      <c r="A9" s="7">
        <v>5</v>
      </c>
      <c r="B9" s="6" t="s">
        <v>53</v>
      </c>
      <c r="C9" s="45">
        <f>'4.Equipment'!AJ10</f>
        <v>7500</v>
      </c>
      <c r="D9" s="43">
        <f t="shared" si="1"/>
        <v>15000</v>
      </c>
      <c r="E9" s="43">
        <f>'5.Manpower'!AH18*'6.Mob-Demob'!$C$2</f>
        <v>4000</v>
      </c>
      <c r="F9" s="6"/>
      <c r="G9" s="42">
        <f t="shared" si="0"/>
        <v>0</v>
      </c>
    </row>
    <row r="10" spans="1:7">
      <c r="A10" s="7"/>
      <c r="B10" s="6"/>
      <c r="C10" s="39"/>
      <c r="D10" s="40"/>
      <c r="E10" s="40"/>
      <c r="F10" s="6"/>
      <c r="G10" s="42">
        <f t="shared" si="0"/>
        <v>0</v>
      </c>
    </row>
    <row r="11" spans="1:7">
      <c r="A11" s="7"/>
      <c r="B11" s="6"/>
      <c r="C11" s="39"/>
      <c r="D11" s="40"/>
      <c r="E11" s="40"/>
      <c r="F11" s="7"/>
      <c r="G11" s="43">
        <f t="shared" si="0"/>
        <v>0</v>
      </c>
    </row>
    <row r="12" spans="1:7">
      <c r="A12" s="7"/>
      <c r="B12" s="6"/>
      <c r="C12" s="39"/>
      <c r="D12" s="40"/>
      <c r="E12" s="40"/>
      <c r="F12" s="7"/>
      <c r="G12" s="43">
        <f t="shared" si="0"/>
        <v>0</v>
      </c>
    </row>
    <row r="13" spans="1:7">
      <c r="D13" s="46">
        <f>SUM(D5:D12)</f>
        <v>315000</v>
      </c>
      <c r="E13" s="46">
        <f>SUM(E5:E12)</f>
        <v>52000</v>
      </c>
      <c r="F13" s="46"/>
      <c r="G13" s="46">
        <f>SUM(G5:G12)</f>
        <v>36000</v>
      </c>
    </row>
    <row r="15" spans="1:7">
      <c r="F15" s="23" t="s">
        <v>36</v>
      </c>
      <c r="G15" s="44">
        <f>SUM(D13:G13)</f>
        <v>403000</v>
      </c>
    </row>
  </sheetData>
  <mergeCells count="1">
    <mergeCell ref="C3:D3"/>
  </mergeCells>
  <conditionalFormatting sqref="C5:C12">
    <cfRule type="cellIs" dxfId="13" priority="1" stopIfTrue="1" operator="equal">
      <formula>0.5</formula>
    </cfRule>
  </conditionalFormatting>
  <pageMargins left="0.11811023622047245" right="0.11811023622047245" top="0.74803149606299213" bottom="0.74803149606299213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0D24-4875-4B9D-87FE-DD2765FD5E47}">
  <sheetPr>
    <pageSetUpPr fitToPage="1"/>
  </sheetPr>
  <dimension ref="A1:J11"/>
  <sheetViews>
    <sheetView zoomScale="115" zoomScaleNormal="115" workbookViewId="0">
      <selection activeCell="D11" sqref="D11"/>
    </sheetView>
  </sheetViews>
  <sheetFormatPr defaultRowHeight="16.5"/>
  <cols>
    <col min="1" max="1" width="5.140625" style="23" bestFit="1" customWidth="1"/>
    <col min="2" max="2" width="30.5703125" style="23" bestFit="1" customWidth="1"/>
    <col min="3" max="4" width="10" style="2" customWidth="1"/>
    <col min="5" max="5" width="10.7109375" style="2" customWidth="1"/>
    <col min="6" max="6" width="12.5703125" style="2" bestFit="1" customWidth="1"/>
    <col min="7" max="8" width="11.5703125" style="2" bestFit="1" customWidth="1"/>
    <col min="9" max="9" width="12.5703125" style="2" bestFit="1" customWidth="1"/>
    <col min="10" max="10" width="12.5703125" style="2" customWidth="1"/>
    <col min="11" max="16384" width="9.140625" style="23"/>
  </cols>
  <sheetData>
    <row r="1" spans="1:10">
      <c r="C1" s="24"/>
      <c r="D1" s="24"/>
      <c r="E1" s="24"/>
      <c r="F1" s="24"/>
      <c r="G1" s="24"/>
      <c r="H1" s="24"/>
      <c r="I1" s="24"/>
      <c r="J1" s="24"/>
    </row>
    <row r="2" spans="1:10" ht="17.25" thickBot="1">
      <c r="B2" s="35" t="s">
        <v>7</v>
      </c>
      <c r="J2" s="26"/>
    </row>
    <row r="3" spans="1:10">
      <c r="A3" s="12" t="s">
        <v>6</v>
      </c>
      <c r="B3" s="12" t="s">
        <v>5</v>
      </c>
      <c r="C3" s="11"/>
      <c r="D3" s="11"/>
      <c r="E3" s="11"/>
      <c r="F3" s="11"/>
      <c r="G3" s="11"/>
      <c r="H3" s="11"/>
      <c r="I3" s="11"/>
      <c r="J3" s="173" t="s">
        <v>4</v>
      </c>
    </row>
    <row r="4" spans="1:10">
      <c r="A4" s="10"/>
      <c r="B4" s="9"/>
      <c r="C4" s="8" t="s">
        <v>3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1</v>
      </c>
      <c r="J4" s="174"/>
    </row>
    <row r="5" spans="1:10">
      <c r="A5" s="7">
        <v>1</v>
      </c>
      <c r="B5" s="55" t="s">
        <v>54</v>
      </c>
      <c r="C5" s="149">
        <f>'4.Equipment'!AI5</f>
        <v>4.25</v>
      </c>
      <c r="D5" s="53">
        <v>4</v>
      </c>
      <c r="E5" s="54">
        <f>D5*30</f>
        <v>120</v>
      </c>
      <c r="F5" s="47">
        <f>E5*800*C5</f>
        <v>408000</v>
      </c>
      <c r="G5" s="47">
        <v>12000</v>
      </c>
      <c r="H5" s="47">
        <v>6000</v>
      </c>
      <c r="I5" s="47">
        <f>H5+G5+F5</f>
        <v>426000</v>
      </c>
      <c r="J5" s="3"/>
    </row>
    <row r="6" spans="1:10">
      <c r="A6" s="7">
        <v>1</v>
      </c>
      <c r="B6" s="55" t="s">
        <v>49</v>
      </c>
      <c r="C6" s="149">
        <f>'4.Equipment'!AI6</f>
        <v>4.25</v>
      </c>
      <c r="D6" s="53">
        <v>1</v>
      </c>
      <c r="E6" s="54">
        <f>D6*30</f>
        <v>30</v>
      </c>
      <c r="F6" s="47">
        <f>E6*800*C6</f>
        <v>102000</v>
      </c>
      <c r="G6" s="47">
        <v>12000</v>
      </c>
      <c r="H6" s="47">
        <v>6000</v>
      </c>
      <c r="I6" s="47">
        <f>H6+G6+F6</f>
        <v>120000</v>
      </c>
      <c r="J6" s="3"/>
    </row>
    <row r="7" spans="1:10">
      <c r="A7" s="7">
        <v>2</v>
      </c>
      <c r="B7" s="55" t="s">
        <v>50</v>
      </c>
      <c r="C7" s="149">
        <f>'4.Equipment'!AI7</f>
        <v>4.25</v>
      </c>
      <c r="D7" s="53">
        <v>0.5</v>
      </c>
      <c r="E7" s="54">
        <f t="shared" ref="E7:E10" si="0">D7*30</f>
        <v>15</v>
      </c>
      <c r="F7" s="47">
        <f t="shared" ref="F7:F10" si="1">E7*800*C7</f>
        <v>51000</v>
      </c>
      <c r="G7" s="47">
        <v>12000</v>
      </c>
      <c r="H7" s="47">
        <v>6000</v>
      </c>
      <c r="I7" s="47">
        <f t="shared" ref="I7:I10" si="2">H7+G7+F7</f>
        <v>69000</v>
      </c>
      <c r="J7" s="3" t="s">
        <v>0</v>
      </c>
    </row>
    <row r="8" spans="1:10">
      <c r="A8" s="7">
        <v>3</v>
      </c>
      <c r="B8" s="55" t="s">
        <v>51</v>
      </c>
      <c r="C8" s="149">
        <f>'4.Equipment'!AI8</f>
        <v>4.25</v>
      </c>
      <c r="D8" s="53">
        <v>0.5</v>
      </c>
      <c r="E8" s="54">
        <f t="shared" si="0"/>
        <v>15</v>
      </c>
      <c r="F8" s="47">
        <f t="shared" si="1"/>
        <v>51000</v>
      </c>
      <c r="G8" s="47">
        <v>12000</v>
      </c>
      <c r="H8" s="47">
        <v>6000</v>
      </c>
      <c r="I8" s="47">
        <f t="shared" si="2"/>
        <v>69000</v>
      </c>
      <c r="J8" s="3"/>
    </row>
    <row r="9" spans="1:10">
      <c r="A9" s="7">
        <v>4</v>
      </c>
      <c r="B9" s="55" t="s">
        <v>52</v>
      </c>
      <c r="C9" s="149">
        <f>'4.Equipment'!AI9</f>
        <v>4.25</v>
      </c>
      <c r="D9" s="53">
        <v>0.2</v>
      </c>
      <c r="E9" s="54">
        <f t="shared" si="0"/>
        <v>6</v>
      </c>
      <c r="F9" s="47">
        <f t="shared" si="1"/>
        <v>20400</v>
      </c>
      <c r="G9" s="47">
        <v>4000</v>
      </c>
      <c r="H9" s="47">
        <v>2000</v>
      </c>
      <c r="I9" s="47">
        <f t="shared" si="2"/>
        <v>26400</v>
      </c>
      <c r="J9" s="3"/>
    </row>
    <row r="10" spans="1:10">
      <c r="A10" s="7">
        <v>5</v>
      </c>
      <c r="B10" s="55" t="s">
        <v>53</v>
      </c>
      <c r="C10" s="149">
        <f>'4.Equipment'!AI10</f>
        <v>4.25</v>
      </c>
      <c r="D10" s="53">
        <v>0.2</v>
      </c>
      <c r="E10" s="54">
        <f t="shared" si="0"/>
        <v>6</v>
      </c>
      <c r="F10" s="47">
        <f t="shared" si="1"/>
        <v>20400</v>
      </c>
      <c r="G10" s="47">
        <v>4000</v>
      </c>
      <c r="H10" s="47">
        <v>2000</v>
      </c>
      <c r="I10" s="47">
        <f t="shared" si="2"/>
        <v>26400</v>
      </c>
      <c r="J10" s="3"/>
    </row>
    <row r="11" spans="1:10">
      <c r="G11" s="48">
        <f>SUM(G6:G10)</f>
        <v>44000</v>
      </c>
      <c r="H11" s="48">
        <f>SUM(H6:H10)</f>
        <v>22000</v>
      </c>
      <c r="I11" s="48">
        <f>SUM(I6:I10)</f>
        <v>310800</v>
      </c>
    </row>
  </sheetData>
  <mergeCells count="1">
    <mergeCell ref="J3:J4"/>
  </mergeCells>
  <pageMargins left="0.11811023622047245" right="0.11811023622047245" top="0.74803149606299213" bottom="0.74803149606299213" header="0.31496062992125984" footer="0.31496062992125984"/>
  <pageSetup paperSize="9" scale="62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02A5-4205-492A-85F3-1381176CCD08}">
  <sheetPr>
    <pageSetUpPr fitToPage="1"/>
  </sheetPr>
  <dimension ref="A1:F23"/>
  <sheetViews>
    <sheetView zoomScaleNormal="100" workbookViewId="0">
      <selection activeCell="A5" sqref="A5:XFD7"/>
    </sheetView>
  </sheetViews>
  <sheetFormatPr defaultRowHeight="16.5"/>
  <cols>
    <col min="1" max="1" width="5.140625" bestFit="1" customWidth="1"/>
    <col min="2" max="2" width="33" bestFit="1" customWidth="1"/>
    <col min="3" max="3" width="12.140625" style="1" customWidth="1"/>
    <col min="4" max="4" width="13.28515625" style="1" customWidth="1"/>
    <col min="5" max="5" width="13.5703125" style="1" customWidth="1"/>
    <col min="6" max="6" width="12.5703125" style="1" customWidth="1"/>
  </cols>
  <sheetData>
    <row r="1" spans="1:6" ht="20.25">
      <c r="C1" s="15"/>
      <c r="D1" s="15"/>
      <c r="E1" s="15"/>
      <c r="F1" s="15"/>
    </row>
    <row r="2" spans="1:6" ht="21" thickBot="1">
      <c r="B2" s="14" t="s">
        <v>62</v>
      </c>
      <c r="F2" s="13"/>
    </row>
    <row r="3" spans="1:6">
      <c r="A3" s="12" t="s">
        <v>6</v>
      </c>
      <c r="B3" s="12" t="s">
        <v>5</v>
      </c>
      <c r="C3" s="11"/>
      <c r="D3" s="11"/>
      <c r="E3" s="11"/>
      <c r="F3" s="173" t="s">
        <v>4</v>
      </c>
    </row>
    <row r="4" spans="1:6">
      <c r="A4" s="10"/>
      <c r="B4" s="9"/>
      <c r="C4" s="8" t="s">
        <v>41</v>
      </c>
      <c r="D4" s="8" t="s">
        <v>42</v>
      </c>
      <c r="E4" s="8" t="s">
        <v>1</v>
      </c>
      <c r="F4" s="174"/>
    </row>
    <row r="5" spans="1:6">
      <c r="A5" s="7"/>
      <c r="B5" s="6"/>
      <c r="C5" s="5"/>
      <c r="D5" s="47"/>
      <c r="E5" s="47"/>
      <c r="F5" s="3"/>
    </row>
    <row r="6" spans="1:6">
      <c r="A6" s="7"/>
      <c r="B6" s="6"/>
      <c r="C6" s="5"/>
      <c r="D6" s="47"/>
      <c r="E6" s="47"/>
      <c r="F6" s="3"/>
    </row>
    <row r="7" spans="1:6">
      <c r="A7" s="7"/>
      <c r="B7" s="6"/>
      <c r="C7" s="5"/>
      <c r="D7" s="47"/>
      <c r="E7" s="47"/>
      <c r="F7" s="3"/>
    </row>
    <row r="8" spans="1:6">
      <c r="A8" s="7"/>
      <c r="B8" s="6"/>
      <c r="C8" s="5"/>
      <c r="D8" s="47"/>
      <c r="E8" s="47"/>
      <c r="F8" s="3"/>
    </row>
    <row r="9" spans="1:6">
      <c r="A9" s="7"/>
      <c r="B9" s="6"/>
      <c r="C9" s="5"/>
      <c r="D9" s="47"/>
      <c r="E9" s="47"/>
      <c r="F9" s="3"/>
    </row>
    <row r="10" spans="1:6">
      <c r="A10" s="7"/>
      <c r="B10" s="6"/>
      <c r="C10" s="5"/>
      <c r="D10" s="47"/>
      <c r="E10" s="47"/>
      <c r="F10" s="3"/>
    </row>
    <row r="11" spans="1:6">
      <c r="A11" s="7"/>
      <c r="B11" s="6"/>
      <c r="C11" s="5"/>
      <c r="D11" s="47"/>
      <c r="E11" s="47"/>
      <c r="F11" s="3"/>
    </row>
    <row r="12" spans="1:6">
      <c r="A12" s="7"/>
      <c r="B12" s="6"/>
      <c r="C12" s="5"/>
      <c r="D12" s="4"/>
      <c r="E12" s="4"/>
      <c r="F12" s="3"/>
    </row>
    <row r="13" spans="1:6">
      <c r="A13" s="7"/>
      <c r="B13" s="6"/>
      <c r="C13" s="5"/>
      <c r="D13" s="4"/>
      <c r="E13" s="4"/>
      <c r="F13" s="3"/>
    </row>
    <row r="14" spans="1:6">
      <c r="A14" s="7"/>
      <c r="B14" s="6"/>
      <c r="C14" s="5"/>
      <c r="D14" s="4"/>
      <c r="E14" s="4"/>
      <c r="F14" s="3"/>
    </row>
    <row r="15" spans="1:6">
      <c r="A15" s="7"/>
      <c r="B15" s="6"/>
      <c r="C15" s="5"/>
      <c r="D15" s="4"/>
      <c r="E15" s="4"/>
      <c r="F15" s="3"/>
    </row>
    <row r="16" spans="1:6">
      <c r="A16" s="7"/>
      <c r="B16" s="6"/>
      <c r="C16" s="5"/>
      <c r="D16" s="4"/>
      <c r="E16" s="4"/>
      <c r="F16" s="3"/>
    </row>
    <row r="17" spans="1:6">
      <c r="A17" s="7"/>
      <c r="B17" s="6"/>
      <c r="C17" s="5"/>
      <c r="D17" s="4"/>
      <c r="E17" s="4"/>
      <c r="F17" s="3"/>
    </row>
    <row r="18" spans="1:6">
      <c r="A18" s="7"/>
      <c r="B18" s="6"/>
      <c r="C18" s="5"/>
      <c r="D18" s="4"/>
      <c r="E18" s="4"/>
      <c r="F18" s="3"/>
    </row>
    <row r="19" spans="1:6">
      <c r="A19" s="7"/>
      <c r="B19" s="6"/>
      <c r="C19" s="5"/>
      <c r="D19" s="4"/>
      <c r="E19" s="4"/>
      <c r="F19" s="3"/>
    </row>
    <row r="20" spans="1:6">
      <c r="A20" s="7"/>
      <c r="B20" s="6"/>
      <c r="C20" s="5"/>
      <c r="D20" s="4"/>
      <c r="E20" s="4"/>
      <c r="F20" s="3"/>
    </row>
    <row r="21" spans="1:6">
      <c r="A21" s="7"/>
      <c r="B21" s="6"/>
      <c r="C21" s="5"/>
      <c r="D21" s="4"/>
      <c r="E21" s="4"/>
      <c r="F21" s="3"/>
    </row>
    <row r="22" spans="1:6">
      <c r="A22" s="7"/>
      <c r="B22" s="6"/>
      <c r="C22" s="5"/>
      <c r="D22" s="4"/>
      <c r="E22" s="4"/>
      <c r="F22" s="3"/>
    </row>
    <row r="23" spans="1:6">
      <c r="A23" s="186"/>
      <c r="B23" s="186"/>
      <c r="C23" s="186"/>
      <c r="D23" s="186"/>
      <c r="E23" s="48">
        <f>SUM(E5:E22)</f>
        <v>0</v>
      </c>
      <c r="F23" s="2"/>
    </row>
  </sheetData>
  <mergeCells count="2">
    <mergeCell ref="A23:D23"/>
    <mergeCell ref="F3:F4"/>
  </mergeCells>
  <conditionalFormatting sqref="E23:F23 F6:F13 C1:F5 C24:F1048576 C14:C22 E6:E22 C6:D13">
    <cfRule type="cellIs" dxfId="12" priority="5" stopIfTrue="1" operator="equal">
      <formula>0.5</formula>
    </cfRule>
  </conditionalFormatting>
  <conditionalFormatting sqref="D14:D20 F14:F18">
    <cfRule type="cellIs" dxfId="11" priority="4" stopIfTrue="1" operator="equal">
      <formula>0.5</formula>
    </cfRule>
  </conditionalFormatting>
  <conditionalFormatting sqref="F19:F20">
    <cfRule type="cellIs" dxfId="10" priority="3" stopIfTrue="1" operator="equal">
      <formula>0.5</formula>
    </cfRule>
  </conditionalFormatting>
  <conditionalFormatting sqref="F21 D21">
    <cfRule type="cellIs" dxfId="9" priority="2" stopIfTrue="1" operator="equal">
      <formula>0.5</formula>
    </cfRule>
  </conditionalFormatting>
  <conditionalFormatting sqref="F22 D22">
    <cfRule type="cellIs" dxfId="8" priority="1" stopIfTrue="1" operator="equal">
      <formula>0.5</formula>
    </cfRule>
  </conditionalFormatting>
  <pageMargins left="0.11811023622047245" right="0.11811023622047245" top="0.74803149606299213" bottom="0.74803149606299213" header="0.31496062992125984" footer="0.31496062992125984"/>
  <pageSetup paperSize="9" scale="78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529D-EDDB-41B3-8736-E94B97826AEE}">
  <sheetPr>
    <pageSetUpPr fitToPage="1"/>
  </sheetPr>
  <dimension ref="A1:F23"/>
  <sheetViews>
    <sheetView zoomScaleNormal="100" workbookViewId="0">
      <selection activeCell="E23" sqref="E23"/>
    </sheetView>
  </sheetViews>
  <sheetFormatPr defaultRowHeight="16.5"/>
  <cols>
    <col min="1" max="1" width="5.140625" bestFit="1" customWidth="1"/>
    <col min="2" max="2" width="30.5703125" bestFit="1" customWidth="1"/>
    <col min="3" max="3" width="12.140625" style="1" customWidth="1"/>
    <col min="4" max="4" width="13.28515625" style="1" customWidth="1"/>
    <col min="5" max="5" width="13.5703125" style="1" customWidth="1"/>
    <col min="6" max="6" width="12.5703125" style="1" customWidth="1"/>
  </cols>
  <sheetData>
    <row r="1" spans="1:6" ht="20.25">
      <c r="C1" s="15"/>
      <c r="D1" s="15"/>
      <c r="E1" s="15"/>
      <c r="F1" s="15"/>
    </row>
    <row r="2" spans="1:6" ht="21" thickBot="1">
      <c r="B2" s="14" t="s">
        <v>7</v>
      </c>
      <c r="F2" s="13"/>
    </row>
    <row r="3" spans="1:6">
      <c r="A3" s="12" t="s">
        <v>6</v>
      </c>
      <c r="B3" s="12" t="s">
        <v>5</v>
      </c>
      <c r="C3" s="11"/>
      <c r="D3" s="11"/>
      <c r="E3" s="11"/>
      <c r="F3" s="173" t="s">
        <v>4</v>
      </c>
    </row>
    <row r="4" spans="1:6">
      <c r="A4" s="10"/>
      <c r="B4" s="9"/>
      <c r="C4" s="8" t="s">
        <v>41</v>
      </c>
      <c r="D4" s="8" t="s">
        <v>42</v>
      </c>
      <c r="E4" s="8" t="s">
        <v>1</v>
      </c>
      <c r="F4" s="174"/>
    </row>
    <row r="5" spans="1:6">
      <c r="A5" s="56">
        <v>1</v>
      </c>
      <c r="B5" s="6" t="s">
        <v>55</v>
      </c>
      <c r="C5" s="5">
        <v>1</v>
      </c>
      <c r="D5" s="47">
        <f>'5.Manpower'!$AI$24*0.06</f>
        <v>21468.75</v>
      </c>
      <c r="E5" s="47">
        <f>C5*D5</f>
        <v>21468.75</v>
      </c>
      <c r="F5" s="3"/>
    </row>
    <row r="6" spans="1:6">
      <c r="A6" s="56">
        <v>2</v>
      </c>
      <c r="B6" s="6" t="s">
        <v>46</v>
      </c>
      <c r="C6" s="5">
        <v>1</v>
      </c>
      <c r="D6" s="47">
        <f>'5.Manpower'!$AI$24*0.29</f>
        <v>103765.625</v>
      </c>
      <c r="E6" s="47">
        <f>C6*D6</f>
        <v>103765.625</v>
      </c>
      <c r="F6" s="3"/>
    </row>
    <row r="7" spans="1:6">
      <c r="A7" s="56">
        <v>3</v>
      </c>
      <c r="B7" s="6" t="s">
        <v>43</v>
      </c>
      <c r="C7" s="5">
        <f>'5.Manpower'!$AF$24</f>
        <v>52</v>
      </c>
      <c r="D7" s="47">
        <f>450*6</f>
        <v>2700</v>
      </c>
      <c r="E7" s="47">
        <f t="shared" ref="E7:E9" si="0">C7*D7</f>
        <v>140400</v>
      </c>
      <c r="F7" s="3"/>
    </row>
    <row r="8" spans="1:6">
      <c r="A8" s="56">
        <v>4</v>
      </c>
      <c r="B8" s="6" t="s">
        <v>44</v>
      </c>
      <c r="C8" s="5">
        <f>'5.Manpower'!$AF$24</f>
        <v>52</v>
      </c>
      <c r="D8" s="47">
        <v>2000</v>
      </c>
      <c r="E8" s="47">
        <f t="shared" si="0"/>
        <v>104000</v>
      </c>
      <c r="F8" s="3"/>
    </row>
    <row r="9" spans="1:6">
      <c r="A9" s="56">
        <v>5</v>
      </c>
      <c r="B9" s="6" t="s">
        <v>45</v>
      </c>
      <c r="C9" s="5">
        <f>'5.Manpower'!$AF$24</f>
        <v>52</v>
      </c>
      <c r="D9" s="47">
        <f>24*30*6</f>
        <v>4320</v>
      </c>
      <c r="E9" s="47">
        <f t="shared" si="0"/>
        <v>224640</v>
      </c>
      <c r="F9" s="3"/>
    </row>
    <row r="10" spans="1:6">
      <c r="A10" s="7"/>
      <c r="B10" s="6"/>
      <c r="C10" s="5"/>
      <c r="D10" s="47"/>
      <c r="E10" s="47"/>
      <c r="F10" s="3"/>
    </row>
    <row r="11" spans="1:6">
      <c r="A11" s="7"/>
      <c r="B11" s="6"/>
      <c r="C11" s="5"/>
      <c r="D11" s="47"/>
      <c r="E11" s="47"/>
      <c r="F11" s="3"/>
    </row>
    <row r="12" spans="1:6">
      <c r="A12" s="7"/>
      <c r="B12" s="6"/>
      <c r="C12" s="5"/>
      <c r="D12" s="4"/>
      <c r="E12" s="4"/>
      <c r="F12" s="3"/>
    </row>
    <row r="13" spans="1:6">
      <c r="A13" s="7"/>
      <c r="B13" s="6"/>
      <c r="C13" s="5"/>
      <c r="D13" s="4"/>
      <c r="E13" s="4"/>
      <c r="F13" s="3"/>
    </row>
    <row r="14" spans="1:6">
      <c r="A14" s="7"/>
      <c r="B14" s="6"/>
      <c r="C14" s="5"/>
      <c r="D14" s="4"/>
      <c r="E14" s="4"/>
      <c r="F14" s="3"/>
    </row>
    <row r="15" spans="1:6">
      <c r="A15" s="7"/>
      <c r="B15" s="6"/>
      <c r="C15" s="5"/>
      <c r="D15" s="4"/>
      <c r="E15" s="4"/>
      <c r="F15" s="3"/>
    </row>
    <row r="16" spans="1:6">
      <c r="A16" s="7"/>
      <c r="B16" s="6"/>
      <c r="C16" s="5"/>
      <c r="D16" s="4"/>
      <c r="E16" s="4"/>
      <c r="F16" s="3"/>
    </row>
    <row r="17" spans="1:6">
      <c r="A17" s="7"/>
      <c r="B17" s="6"/>
      <c r="C17" s="5"/>
      <c r="D17" s="4"/>
      <c r="E17" s="4"/>
      <c r="F17" s="3"/>
    </row>
    <row r="18" spans="1:6">
      <c r="A18" s="7"/>
      <c r="B18" s="6"/>
      <c r="C18" s="5"/>
      <c r="D18" s="4"/>
      <c r="E18" s="4"/>
      <c r="F18" s="3"/>
    </row>
    <row r="19" spans="1:6">
      <c r="A19" s="7"/>
      <c r="B19" s="6"/>
      <c r="C19" s="5"/>
      <c r="D19" s="4"/>
      <c r="E19" s="4"/>
      <c r="F19" s="3"/>
    </row>
    <row r="20" spans="1:6">
      <c r="A20" s="7"/>
      <c r="B20" s="6"/>
      <c r="C20" s="5"/>
      <c r="D20" s="4"/>
      <c r="E20" s="4"/>
      <c r="F20" s="3"/>
    </row>
    <row r="21" spans="1:6">
      <c r="A21" s="7"/>
      <c r="B21" s="6"/>
      <c r="C21" s="5"/>
      <c r="D21" s="4"/>
      <c r="E21" s="4"/>
      <c r="F21" s="3"/>
    </row>
    <row r="22" spans="1:6">
      <c r="A22" s="7"/>
      <c r="B22" s="6"/>
      <c r="C22" s="5"/>
      <c r="D22" s="4"/>
      <c r="E22" s="4"/>
      <c r="F22" s="3"/>
    </row>
    <row r="23" spans="1:6">
      <c r="A23" s="186"/>
      <c r="B23" s="186"/>
      <c r="C23" s="186"/>
      <c r="D23" s="186"/>
      <c r="E23" s="48">
        <f>SUM(E5:E22)</f>
        <v>594274.375</v>
      </c>
      <c r="F23" s="2"/>
    </row>
  </sheetData>
  <mergeCells count="2">
    <mergeCell ref="F3:F4"/>
    <mergeCell ref="A23:D23"/>
  </mergeCells>
  <conditionalFormatting sqref="E23:F23 F6:F13 C24:F1048576 C14:C22 C1:F5 E6:E22 C6:D13">
    <cfRule type="cellIs" dxfId="7" priority="5" stopIfTrue="1" operator="equal">
      <formula>0.5</formula>
    </cfRule>
  </conditionalFormatting>
  <conditionalFormatting sqref="D14:D20 F14:F18">
    <cfRule type="cellIs" dxfId="6" priority="4" stopIfTrue="1" operator="equal">
      <formula>0.5</formula>
    </cfRule>
  </conditionalFormatting>
  <conditionalFormatting sqref="F19:F20">
    <cfRule type="cellIs" dxfId="5" priority="3" stopIfTrue="1" operator="equal">
      <formula>0.5</formula>
    </cfRule>
  </conditionalFormatting>
  <conditionalFormatting sqref="F21 D21">
    <cfRule type="cellIs" dxfId="4" priority="2" stopIfTrue="1" operator="equal">
      <formula>0.5</formula>
    </cfRule>
  </conditionalFormatting>
  <conditionalFormatting sqref="F22 D22">
    <cfRule type="cellIs" dxfId="3" priority="1" stopIfTrue="1" operator="equal">
      <formula>0.5</formula>
    </cfRule>
  </conditionalFormatting>
  <pageMargins left="0.11811023622047245" right="0.11811023622047245" top="0.74803149606299213" bottom="0.74803149606299213" header="0.31496062992125984" footer="0.31496062992125984"/>
  <pageSetup paperSize="9" scale="7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8</vt:i4>
      </vt:variant>
      <vt:variant>
        <vt:lpstr>Adlandırılmış Aralıklar</vt:lpstr>
      </vt:variant>
      <vt:variant>
        <vt:i4>8</vt:i4>
      </vt:variant>
    </vt:vector>
  </HeadingPairs>
  <TitlesOfParts>
    <vt:vector size="16" baseType="lpstr">
      <vt:lpstr>2.Subcontract Price Summary O1</vt:lpstr>
      <vt:lpstr>3.Schedule</vt:lpstr>
      <vt:lpstr>4.Equipment</vt:lpstr>
      <vt:lpstr>5.Manpower</vt:lpstr>
      <vt:lpstr>6.Mob-Demob</vt:lpstr>
      <vt:lpstr>7.MGO+Lub+Insurance</vt:lpstr>
      <vt:lpstr>8.Material</vt:lpstr>
      <vt:lpstr>9.Indirect</vt:lpstr>
      <vt:lpstr>'2.Subcontract Price Summary O1'!Yazdırma_Alanı</vt:lpstr>
      <vt:lpstr>'3.Schedule'!Yazdırma_Alanı</vt:lpstr>
      <vt:lpstr>'4.Equipment'!Yazdırma_Alanı</vt:lpstr>
      <vt:lpstr>'5.Manpower'!Yazdırma_Alanı</vt:lpstr>
      <vt:lpstr>'6.Mob-Demob'!Yazdırma_Alanı</vt:lpstr>
      <vt:lpstr>'7.MGO+Lub+Insurance'!Yazdırma_Alanı</vt:lpstr>
      <vt:lpstr>'8.Material'!Yazdırma_Alanı</vt:lpstr>
      <vt:lpstr>'9.Indirect'!Yazdırma_Alanı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Vahit Saktan</dc:creator>
  <cp:lastModifiedBy>Vahit Saktan</cp:lastModifiedBy>
  <cp:lastPrinted>2018-10-02T15:19:17Z</cp:lastPrinted>
  <dcterms:created xsi:type="dcterms:W3CDTF">2018-10-02T13:21:28Z</dcterms:created>
  <dcterms:modified xsi:type="dcterms:W3CDTF">2018-11-21T14:49:50Z</dcterms:modified>
</cp:coreProperties>
</file>